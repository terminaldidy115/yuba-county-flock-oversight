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timelines/timeline1.xml" ContentType="application/vnd.ms-excel.timelin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hidePivotFieldList="1"/>
  <mc:AlternateContent xmlns:mc="http://schemas.openxmlformats.org/markup-compatibility/2006">
    <mc:Choice Requires="x15">
      <x15ac:absPath xmlns:x15ac="http://schemas.microsoft.com/office/spreadsheetml/2010/11/ac" url="/Users/thomashammock/Desktop/Flock/"/>
    </mc:Choice>
  </mc:AlternateContent>
  <xr:revisionPtr revIDLastSave="0" documentId="13_ncr:1_{59E028BA-CE8C-2546-8D1B-F40E7BF5F817}" xr6:coauthVersionLast="47" xr6:coauthVersionMax="47" xr10:uidLastSave="{00000000-0000-0000-0000-000000000000}"/>
  <bookViews>
    <workbookView xWindow="32320" yWindow="6500" windowWidth="45680" windowHeight="18620" activeTab="5" xr2:uid="{00000000-000D-0000-FFFF-FFFF00000000}"/>
  </bookViews>
  <sheets>
    <sheet name="Late Night Analysis" sheetId="9" r:id="rId1"/>
    <sheet name="Reason Graph" sheetId="8" r:id="rId2"/>
    <sheet name="Searches by Hour" sheetId="3" r:id="rId3"/>
    <sheet name="Network Analysis" sheetId="10" r:id="rId4"/>
    <sheet name="Search Audit" sheetId="4" r:id="rId5"/>
    <sheet name="flock_run_log" sheetId="11" r:id="rId6"/>
  </sheets>
  <definedNames>
    <definedName name="_xlnm._FilterDatabase" localSheetId="0" hidden="1">'Late Night Analysis'!$A$1:$D$25</definedName>
    <definedName name="_xlnm._FilterDatabase" localSheetId="2" hidden="1">'Searches by Hour'!$A$1:$B$25</definedName>
    <definedName name="ExternalData_1" localSheetId="5" hidden="1">flock_run_log!$A$1:$J$81</definedName>
    <definedName name="ExternalData_1" localSheetId="4" hidden="1">'Search Audit'!$A$1:$I$557</definedName>
    <definedName name="NativeTimeline_Date__Pacific">#N/A</definedName>
  </definedNames>
  <calcPr calcId="191029" iterateDelta="1E-4"/>
  <pivotCaches>
    <pivotCache cacheId="42" r:id="rId7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8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1" l="1"/>
  <c r="C4" i="10"/>
  <c r="C5" i="10"/>
  <c r="C41" i="10" s="1"/>
  <c r="C6" i="10"/>
  <c r="C42" i="10" s="1"/>
  <c r="C7" i="10"/>
  <c r="C43" i="10" s="1"/>
  <c r="C8" i="10"/>
  <c r="C44" i="10" s="1"/>
  <c r="C9" i="10"/>
  <c r="C45" i="10" s="1"/>
  <c r="C10" i="10"/>
  <c r="C46" i="10" s="1"/>
  <c r="C11" i="10"/>
  <c r="C47" i="10" s="1"/>
  <c r="C12" i="10"/>
  <c r="C48" i="10" s="1"/>
  <c r="C13" i="10"/>
  <c r="C49" i="10" s="1"/>
  <c r="C14" i="10"/>
  <c r="C16" i="10"/>
  <c r="C18" i="10"/>
  <c r="C17" i="10"/>
  <c r="C15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B4" i="10"/>
  <c r="B5" i="10"/>
  <c r="B6" i="10"/>
  <c r="B7" i="10"/>
  <c r="B8" i="10"/>
  <c r="B9" i="10"/>
  <c r="B10" i="10"/>
  <c r="B11" i="10"/>
  <c r="B12" i="10"/>
  <c r="B13" i="10"/>
  <c r="B14" i="10"/>
  <c r="B16" i="10"/>
  <c r="B18" i="10"/>
  <c r="B17" i="10"/>
  <c r="B15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C8" i="9"/>
  <c r="C2" i="9"/>
  <c r="C10" i="9"/>
  <c r="C12" i="9"/>
  <c r="C14" i="9"/>
  <c r="C16" i="9"/>
  <c r="C18" i="9"/>
  <c r="C20" i="9"/>
  <c r="C22" i="9"/>
  <c r="C24" i="9"/>
  <c r="C4" i="9"/>
  <c r="C6" i="9"/>
  <c r="C9" i="9"/>
  <c r="C3" i="9"/>
  <c r="C11" i="9"/>
  <c r="C13" i="9"/>
  <c r="C15" i="9"/>
  <c r="C17" i="9"/>
  <c r="C19" i="9"/>
  <c r="C21" i="9"/>
  <c r="C23" i="9"/>
  <c r="C25" i="9"/>
  <c r="C5" i="9"/>
  <c r="C7" i="9"/>
  <c r="B8" i="9"/>
  <c r="D8" i="9" s="1"/>
  <c r="B2" i="9"/>
  <c r="B10" i="9"/>
  <c r="B12" i="9"/>
  <c r="B14" i="9"/>
  <c r="B16" i="9"/>
  <c r="B18" i="9"/>
  <c r="B20" i="9"/>
  <c r="B22" i="9"/>
  <c r="B24" i="9"/>
  <c r="B4" i="9"/>
  <c r="D4" i="9" s="1"/>
  <c r="B6" i="9"/>
  <c r="B9" i="9"/>
  <c r="D9" i="9" s="1"/>
  <c r="B3" i="9"/>
  <c r="B11" i="9"/>
  <c r="B13" i="9"/>
  <c r="D13" i="9" s="1"/>
  <c r="B15" i="9"/>
  <c r="B17" i="9"/>
  <c r="B19" i="9"/>
  <c r="B21" i="9"/>
  <c r="B23" i="9"/>
  <c r="B25" i="9"/>
  <c r="B5" i="9"/>
  <c r="B7" i="9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D15" i="9" l="1"/>
  <c r="D25" i="9"/>
  <c r="D12" i="9"/>
  <c r="D17" i="9"/>
  <c r="D24" i="9"/>
  <c r="D7" i="9"/>
  <c r="D14" i="9"/>
  <c r="D2" i="9"/>
  <c r="D16" i="9"/>
  <c r="D22" i="9"/>
  <c r="D11" i="9"/>
  <c r="D18" i="9"/>
  <c r="D6" i="9"/>
  <c r="D21" i="9"/>
  <c r="D23" i="9"/>
  <c r="D19" i="9"/>
  <c r="D32" i="10"/>
  <c r="D24" i="10"/>
  <c r="D18" i="10"/>
  <c r="D8" i="10"/>
  <c r="B44" i="10" s="1"/>
  <c r="D10" i="9"/>
  <c r="D5" i="9"/>
  <c r="D28" i="10"/>
  <c r="D20" i="10"/>
  <c r="D14" i="10"/>
  <c r="D6" i="10"/>
  <c r="B42" i="10" s="1"/>
  <c r="D12" i="10"/>
  <c r="B48" i="10" s="1"/>
  <c r="D30" i="10"/>
  <c r="D22" i="10"/>
  <c r="B28" i="9"/>
  <c r="D21" i="10"/>
  <c r="D13" i="10"/>
  <c r="B49" i="10" s="1"/>
  <c r="D5" i="10"/>
  <c r="B41" i="10" s="1"/>
  <c r="B28" i="3"/>
  <c r="D29" i="10"/>
  <c r="E34" i="10"/>
  <c r="E15" i="10"/>
  <c r="E10" i="10"/>
  <c r="B60" i="10" s="1"/>
  <c r="E26" i="10"/>
  <c r="D3" i="9"/>
  <c r="D31" i="10"/>
  <c r="D23" i="10"/>
  <c r="D16" i="10"/>
  <c r="D7" i="10"/>
  <c r="B43" i="10" s="1"/>
  <c r="D27" i="10"/>
  <c r="D19" i="10"/>
  <c r="D33" i="10"/>
  <c r="D25" i="10"/>
  <c r="D17" i="10"/>
  <c r="D9" i="10"/>
  <c r="B45" i="10" s="1"/>
  <c r="D11" i="10"/>
  <c r="B47" i="10" s="1"/>
  <c r="B35" i="10"/>
  <c r="C35" i="10"/>
  <c r="D34" i="10"/>
  <c r="D26" i="10"/>
  <c r="D15" i="10"/>
  <c r="D10" i="10"/>
  <c r="B46" i="10" s="1"/>
  <c r="E33" i="10"/>
  <c r="E25" i="10"/>
  <c r="E17" i="10"/>
  <c r="E9" i="10"/>
  <c r="B59" i="10" s="1"/>
  <c r="E32" i="10"/>
  <c r="E24" i="10"/>
  <c r="E18" i="10"/>
  <c r="E8" i="10"/>
  <c r="B58" i="10" s="1"/>
  <c r="E31" i="10"/>
  <c r="E23" i="10"/>
  <c r="E16" i="10"/>
  <c r="E7" i="10"/>
  <c r="B57" i="10" s="1"/>
  <c r="E30" i="10"/>
  <c r="E22" i="10"/>
  <c r="E14" i="10"/>
  <c r="E6" i="10"/>
  <c r="B56" i="10" s="1"/>
  <c r="E29" i="10"/>
  <c r="E21" i="10"/>
  <c r="E13" i="10"/>
  <c r="B63" i="10" s="1"/>
  <c r="E5" i="10"/>
  <c r="B55" i="10" s="1"/>
  <c r="E28" i="10"/>
  <c r="E20" i="10"/>
  <c r="E12" i="10"/>
  <c r="B62" i="10" s="1"/>
  <c r="E4" i="10"/>
  <c r="B54" i="10" s="1"/>
  <c r="C40" i="10"/>
  <c r="D4" i="10"/>
  <c r="E27" i="10"/>
  <c r="E19" i="10"/>
  <c r="E11" i="10"/>
  <c r="B61" i="10" s="1"/>
  <c r="D20" i="9"/>
  <c r="E35" i="10" l="1"/>
  <c r="B40" i="10"/>
  <c r="D35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6EE55B-0B70-6842-A599-F97D6D755877}" keepAlive="1" name="Query - flock_run_log" description="Connection to the 'flock_run_log' query in the workbook." type="5" refreshedVersion="8" background="1" saveData="1">
    <dbPr connection="Provider=Microsoft.Mashup.OleDb.1;Data Source=$Workbook$;Location=flock_run_log;Extended Properties=&quot;&quot;" command="SELECT * FROM [flock_run_log]"/>
  </connection>
  <connection id="2" xr16:uid="{2E8D2E4D-D535-2E4A-9ECC-95C462C512E0}" keepAlive="1" name="Query - search_audit" description="Connection to the 'search_audit' query in the workbook." type="5" refreshedVersion="8" background="1" saveData="1">
    <dbPr connection="Provider=Microsoft.Mashup.OleDb.1;Data Source=$Workbook$;Location=search_audit;Extended Properties=&quot;&quot;" command="SELECT * FROM [search_audit]"/>
  </connection>
</connections>
</file>

<file path=xl/sharedStrings.xml><?xml version="1.0" encoding="utf-8"?>
<sst xmlns="http://schemas.openxmlformats.org/spreadsheetml/2006/main" count="1999" uniqueCount="685">
  <si>
    <t>Search ID</t>
  </si>
  <si>
    <t>User ID</t>
  </si>
  <si>
    <t>Search Date (UTC/Zulu)</t>
  </si>
  <si>
    <t>Search Date (Pacific)</t>
  </si>
  <si>
    <t>Date (Pacific)</t>
  </si>
  <si>
    <t>Day of Week</t>
  </si>
  <si>
    <t>Hour (Pacific)</t>
  </si>
  <si>
    <t>Network Count</t>
  </si>
  <si>
    <t>Reason</t>
  </si>
  <si>
    <t>***</t>
  </si>
  <si>
    <t>Monday</t>
  </si>
  <si>
    <t>STOLEN VEHICLE</t>
  </si>
  <si>
    <t>stolen veh</t>
  </si>
  <si>
    <t>Tuesday</t>
  </si>
  <si>
    <t>Drug Investigation</t>
  </si>
  <si>
    <t>suspect ID</t>
  </si>
  <si>
    <t>suspect vehicle</t>
  </si>
  <si>
    <t>Wednesday</t>
  </si>
  <si>
    <t>Suspect location</t>
  </si>
  <si>
    <t>Thursday</t>
  </si>
  <si>
    <t>Friday</t>
  </si>
  <si>
    <t>Saturday</t>
  </si>
  <si>
    <t>Sunday</t>
  </si>
  <si>
    <t>Drug</t>
  </si>
  <si>
    <t>Pattern of travel</t>
  </si>
  <si>
    <t>THREATS OF SELF HARM</t>
  </si>
  <si>
    <t>Warr</t>
  </si>
  <si>
    <t>wanted subject</t>
  </si>
  <si>
    <t>drug investigation</t>
  </si>
  <si>
    <t>Drug Inves</t>
  </si>
  <si>
    <t>ycso suspect</t>
  </si>
  <si>
    <t>487 pc suspect</t>
  </si>
  <si>
    <t>Total Searches</t>
  </si>
  <si>
    <t>suspect</t>
  </si>
  <si>
    <t>Row Labels</t>
  </si>
  <si>
    <t>Grand Total</t>
  </si>
  <si>
    <t>(blank)</t>
  </si>
  <si>
    <t>Count of Search ID</t>
  </si>
  <si>
    <t>GRAND TOTAL</t>
  </si>
  <si>
    <t>Has Reason</t>
  </si>
  <si>
    <t>Blank Reason</t>
  </si>
  <si>
    <t>% Blank</t>
  </si>
  <si>
    <t>12 AM</t>
  </si>
  <si>
    <t>1 AM</t>
  </si>
  <si>
    <t>2 AM</t>
  </si>
  <si>
    <t>3 AM</t>
  </si>
  <si>
    <t>4 AM</t>
  </si>
  <si>
    <t>5 AM</t>
  </si>
  <si>
    <t>6 AM</t>
  </si>
  <si>
    <t>7 AM</t>
  </si>
  <si>
    <t>8 AM</t>
  </si>
  <si>
    <t>9 AM</t>
  </si>
  <si>
    <t>10 AM</t>
  </si>
  <si>
    <t>11 AM</t>
  </si>
  <si>
    <t>12 PM</t>
  </si>
  <si>
    <t>1 PM</t>
  </si>
  <si>
    <t>2 PM</t>
  </si>
  <si>
    <t>3 PM</t>
  </si>
  <si>
    <t>4 PM</t>
  </si>
  <si>
    <t>5 PM</t>
  </si>
  <si>
    <t>6 PM</t>
  </si>
  <si>
    <t>7 PM</t>
  </si>
  <si>
    <t>8 PM</t>
  </si>
  <si>
    <t>9 PM</t>
  </si>
  <si>
    <t>10 PM</t>
  </si>
  <si>
    <t>11 PM</t>
  </si>
  <si>
    <t>Network Count Analysis</t>
  </si>
  <si>
    <t>Top Reason (Non-Blank)</t>
  </si>
  <si>
    <t>Top Reason Count</t>
  </si>
  <si>
    <t>TOTAL</t>
  </si>
  <si>
    <t>10851 / Suspect</t>
  </si>
  <si>
    <t>(all blank)</t>
  </si>
  <si>
    <t>288PC / drug investigation</t>
  </si>
  <si>
    <t>Chart Data: Top 10 Network Counts by Volume</t>
  </si>
  <si>
    <t>Net: 2</t>
  </si>
  <si>
    <t>Net: 3</t>
  </si>
  <si>
    <t>Net: 36</t>
  </si>
  <si>
    <t>Net: 15</t>
  </si>
  <si>
    <t>Net: 531</t>
  </si>
  <si>
    <t>Net: 1</t>
  </si>
  <si>
    <t>Net: 433</t>
  </si>
  <si>
    <t>Net: 532</t>
  </si>
  <si>
    <t>Net: 432</t>
  </si>
  <si>
    <t>Net: 35</t>
  </si>
  <si>
    <t>% Blank Rate by Network Count</t>
  </si>
  <si>
    <t>Run Date/Time</t>
  </si>
  <si>
    <t>Rows Before</t>
  </si>
  <si>
    <t>Rows After</t>
  </si>
  <si>
    <t>New Rows</t>
  </si>
  <si>
    <t>New Rows Date Min</t>
  </si>
  <si>
    <t>New Rows Date Max</t>
  </si>
  <si>
    <t>Blank Reason #</t>
  </si>
  <si>
    <t>Blank Reason %</t>
  </si>
  <si>
    <t>Backdated Entries</t>
  </si>
  <si>
    <t>Backdated Detail</t>
  </si>
  <si>
    <t/>
  </si>
  <si>
    <t>SUSPECT VEHICLE</t>
  </si>
  <si>
    <t>Total Backdated Entries</t>
  </si>
  <si>
    <t>f8f149f8-d49b-47ce-94f7-f71836b1c213</t>
  </si>
  <si>
    <t>0245d710-0f42-4536-8da4-e89d0b7fca66</t>
  </si>
  <si>
    <t>450a2436-ffb9-4091-870e-bb577d83e740</t>
  </si>
  <si>
    <t>1f9a2b8c-06f9-4d82-82c9-88bec1416b8d</t>
  </si>
  <si>
    <t>35c97636-cceb-4c8f-ab05-5fba5fad5db1</t>
  </si>
  <si>
    <t>ec8cd435-9104-4b33-8aff-e4c6efc47069</t>
  </si>
  <si>
    <t>9deb58ee-6fa6-4945-8f0d-2552ad873694</t>
  </si>
  <si>
    <t>ee8e65e1-754b-414f-923e-893043d18688</t>
  </si>
  <si>
    <t>a8b6e533-f5d8-4d02-bdd8-2c5918e24a5a</t>
  </si>
  <si>
    <t>8b389137-3d8f-4354-a0ba-a86eead912b0</t>
  </si>
  <si>
    <t>fba041cb-c412-4eef-a62b-7004f0327c7d</t>
  </si>
  <si>
    <t>9128dc15-c017-4362-91c9-21df0dd02fa2</t>
  </si>
  <si>
    <t>ef1d04b2-13c6-43f2-a615-2da796a9b6da</t>
  </si>
  <si>
    <t>d19bf5f8-21ae-4b8e-838a-5811d014ef75</t>
  </si>
  <si>
    <t>25eb2c00-3ed3-49ce-8cdc-e37b77b598e8</t>
  </si>
  <si>
    <t>3bf1e235-c174-42c7-b634-9c5f18b60543</t>
  </si>
  <si>
    <t>investigation</t>
  </si>
  <si>
    <t>6d25ff15-d390-41da-898e-24079c7cf91a</t>
  </si>
  <si>
    <t>4008265e-1227-4500-8cee-09bc72cc6c53</t>
  </si>
  <si>
    <t>91f824ab-c6af-4fc6-ab76-47762aa88fc5</t>
  </si>
  <si>
    <t>76fda84b-49bf-4580-9502-a85c0b1cbf03</t>
  </si>
  <si>
    <t>ade7f1cb-9d51-4225-8831-69fb0c86faa0</t>
  </si>
  <si>
    <t>4799764d-8b3f-4681-83bf-d99d83493e3a</t>
  </si>
  <si>
    <t>320fdbc6-a537-4528-a163-0ce87a2353c5</t>
  </si>
  <si>
    <t>445b9545-5a1b-4b21-a109-f2d179191d1b</t>
  </si>
  <si>
    <t>8ed16535-d59e-41ca-b252-2a281b95d1fa</t>
  </si>
  <si>
    <t>77a90166-da1b-4ead-83b3-167e76428514</t>
  </si>
  <si>
    <t>97b2e435-1ec6-4c1d-88dd-7319feb92713</t>
  </si>
  <si>
    <t>82ce7be4-7d43-4177-b0f3-77942999c01d</t>
  </si>
  <si>
    <t>7f23a352-93a3-4fb7-ac60-f42232284dc9</t>
  </si>
  <si>
    <t>7e63eebd-85f9-4234-b8ca-477dd1044a90</t>
  </si>
  <si>
    <t>b96d2dca-261b-44ed-8fdd-a95e5b7bb74f</t>
  </si>
  <si>
    <t>886b54fd-8a50-4186-b0be-0146973b8fea</t>
  </si>
  <si>
    <t>8c0f5006-9dad-4282-a4bb-5582ca1f30fc</t>
  </si>
  <si>
    <t>566b1cfc-a7ca-4bfa-817b-519dc20cad78</t>
  </si>
  <si>
    <t>ac8eea1e-c2d8-4d0b-8f87-e428017be5b6</t>
  </si>
  <si>
    <t>96919256-16e4-4b36-ad37-46b08c3d4e38</t>
  </si>
  <si>
    <t>0ad81a13-1e4d-4a57-9fbd-fe8c6ff32de7</t>
  </si>
  <si>
    <t>Invest</t>
  </si>
  <si>
    <t>221da6cc-a2ec-465d-9b7d-52c2a148dd13</t>
  </si>
  <si>
    <t>47dd147f-39fd-451a-9c2b-9f54129de928</t>
  </si>
  <si>
    <t>87cc67f9-2c82-482e-a0fd-a89dce30052b</t>
  </si>
  <si>
    <t>8f874dfc-4a79-4027-b6e4-ad50d5a4cada</t>
  </si>
  <si>
    <t>b7420707-b04c-4b86-b7cf-7275a22a282b</t>
  </si>
  <si>
    <t>Suspect Vehicle search</t>
  </si>
  <si>
    <t>0ee8c71f-84be-4d48-9343-03972d38a084</t>
  </si>
  <si>
    <t>f6fdd320-23cb-4461-bf04-032a9bc1e42a</t>
  </si>
  <si>
    <t>345a7e9b-ad28-4291-9ed1-eab79d758037</t>
  </si>
  <si>
    <t>2e25c5d7-9afe-4a3c-9019-06d1358ffde4</t>
  </si>
  <si>
    <t>a0ac1203-7a99-44a5-833e-ea0135a27486</t>
  </si>
  <si>
    <t>bd0f5b5f-1aad-4a14-af38-7a8f46a6c151</t>
  </si>
  <si>
    <t>1fb47425-b77d-4561-a8ca-3325eddb2d8a</t>
  </si>
  <si>
    <t>2966beac-9bcd-443e-b153-e352e69091c6</t>
  </si>
  <si>
    <t>f2e11208-6b2a-4adc-a66a-298db820d89e</t>
  </si>
  <si>
    <t>772b4658-5f7b-4e23-8cd0-89afe25c03a2</t>
  </si>
  <si>
    <t>d63aff2a-987c-41d1-90a4-d2c968731c74</t>
  </si>
  <si>
    <t>433a25cf-7560-4990-9b06-ce9d2d2445bc</t>
  </si>
  <si>
    <t>96095385-adc0-434a-8bbb-2a501f71a910</t>
  </si>
  <si>
    <t>eee1cd45-766e-4d1f-b216-e958062abe12</t>
  </si>
  <si>
    <t>c3851a29-5717-4082-a9da-2305d730ca6b</t>
  </si>
  <si>
    <t>e5417d35-3b26-4e70-b7bb-6cc4167d0ec0</t>
  </si>
  <si>
    <t>34827284-7f06-4345-938a-ec17a75a8493</t>
  </si>
  <si>
    <t>e0418ed7-9602-4b59-88ff-bf9bd5fe837e</t>
  </si>
  <si>
    <t>6cb70c2c-a10c-477c-bc33-c2c872888ec0</t>
  </si>
  <si>
    <t>3ce625be-fab6-404e-88a0-41cb918369cd</t>
  </si>
  <si>
    <t>f36fb9f0-7246-4db6-a542-26f0b55d95d7</t>
  </si>
  <si>
    <t>f9f03fb5-cf53-437c-a6c5-d3ca41049019</t>
  </si>
  <si>
    <t>526ff91e-7f92-4e82-bb24-fcc3446a39a2</t>
  </si>
  <si>
    <t>9ead0fc5-0017-4547-b3e8-8a6ad6c58243</t>
  </si>
  <si>
    <t>74294842-4aa9-4ae6-a275-60c4942a9372</t>
  </si>
  <si>
    <t>21afac18-2672-4bf5-a4b5-e08cea6859f2</t>
  </si>
  <si>
    <t>e691b374-8c8d-47d4-8462-eba78d06aef9</t>
  </si>
  <si>
    <t>d4869c57-4f0d-4cf2-b13e-a29f040d6c23</t>
  </si>
  <si>
    <t>1d81befc-1d99-48f0-a898-e7bf6879ba4d</t>
  </si>
  <si>
    <t>50528f86-22bc-4f10-b2d9-5eb8b9b0fc36</t>
  </si>
  <si>
    <t>842b0dc4-2cc9-49e7-bc34-bcabf8bb1ea2</t>
  </si>
  <si>
    <t>22c7a16a-2430-4178-9b47-950f2e3ccf6c</t>
  </si>
  <si>
    <t>881ee7e6-77e1-47d4-8f24-3d4e9c797ca6</t>
  </si>
  <si>
    <t>8d897bcc-57be-46b8-869e-6d8cc1ac9976</t>
  </si>
  <si>
    <t>81ef3ebd-289e-4849-9546-8d2753689938</t>
  </si>
  <si>
    <t>5d7744a1-ec30-4fc3-bef3-220cceb263fc</t>
  </si>
  <si>
    <t>case</t>
  </si>
  <si>
    <t>2808de53-9032-4354-b8a7-6c7885e1da51</t>
  </si>
  <si>
    <t>50e7f438-dc20-4576-8f17-330b185f4188</t>
  </si>
  <si>
    <t>473261e9-5f96-4591-8db2-246d5a0d414b</t>
  </si>
  <si>
    <t>70014ee0-91d6-4fcd-941d-42e298adf4c3</t>
  </si>
  <si>
    <t>4512aab4-c252-4860-bed1-1e85031ebf37</t>
  </si>
  <si>
    <t>fd302418-65ae-43ab-94a9-02722fe2fa5e</t>
  </si>
  <si>
    <t>81912a64-514f-43e0-9cc3-07726c03a8f1</t>
  </si>
  <si>
    <t>f969c533-9f35-4217-99a9-7c5d6ff1eb90</t>
  </si>
  <si>
    <t>3a7d74dd-a9fa-4a10-9240-3e2c56cda29c</t>
  </si>
  <si>
    <t>d35a42fa-007e-42c6-9678-a45bc7bc13ed</t>
  </si>
  <si>
    <t>2596926f-aa60-443b-a9c8-0681f526c11d</t>
  </si>
  <si>
    <t>7922d60b-cab0-4229-85b0-085dc6c26992</t>
  </si>
  <si>
    <t>1ca981d0-eaa4-408c-8bde-9f19214eb74e</t>
  </si>
  <si>
    <t>572d7edd-91cd-4538-b55a-08a4b99a0340</t>
  </si>
  <si>
    <t>08503c6a-613d-42d2-8158-0e68c5db60bb</t>
  </si>
  <si>
    <t>2f37689e-c891-47d4-b1c6-0246180109c9</t>
  </si>
  <si>
    <t>01f787ab-4e6f-44f9-867d-1ffac3f99f97</t>
  </si>
  <si>
    <t>2fe848e1-58b6-44e7-9cb9-9afec81721a2</t>
  </si>
  <si>
    <t>3ba5e037-46dc-4f55-8784-fa83870b2b2e</t>
  </si>
  <si>
    <t>e037f515-6218-4931-9fb3-9557db0b8d48</t>
  </si>
  <si>
    <t>d58fefa9-739b-4100-a6b1-e48e996b47e3</t>
  </si>
  <si>
    <t>3c876c1e-073e-4e29-8490-3ab5d92c4aa2</t>
  </si>
  <si>
    <t>1f1f7308-13a7-40d0-b080-fa4b38b92209</t>
  </si>
  <si>
    <t>a8a3daa9-df6a-4ac5-9fe2-38627e4dee68</t>
  </si>
  <si>
    <t>1c018366-1e66-4b21-b86d-c2693c72f887</t>
  </si>
  <si>
    <t>c17dbd4c-736a-4691-bc3f-a27e80b9e461</t>
  </si>
  <si>
    <t>b2b08a98-8e34-4a4a-9005-a88c1a46afef</t>
  </si>
  <si>
    <t>040c7d24-3043-4734-9877-f4fd2ab96fe3</t>
  </si>
  <si>
    <t>45cbbe63-1d33-4676-b998-a90329bac0ed</t>
  </si>
  <si>
    <t>14b99261-384f-4a02-bd4b-0d62cba70ba6</t>
  </si>
  <si>
    <t>0ac926d9-4456-4928-ad42-d45a8f82e030</t>
  </si>
  <si>
    <t>95d7c34e-6576-4b56-858b-e551225e7714</t>
  </si>
  <si>
    <t>92c86e84-6775-4817-bec9-c67c0b756629</t>
  </si>
  <si>
    <t>Investigate</t>
  </si>
  <si>
    <t>c687706c-ca8f-4cf4-86a6-e4dbed0d661d</t>
  </si>
  <si>
    <t>0d7b8658-17ef-477e-adab-3a7fddc4142b</t>
  </si>
  <si>
    <t>6ff1b7c5-024d-4171-9661-16613b9b703d</t>
  </si>
  <si>
    <t>c69ef3d8-12fc-486d-bc9c-3c746276696e</t>
  </si>
  <si>
    <t>14d94b8e-a173-4bbf-a35c-8627ead90b9e</t>
  </si>
  <si>
    <t>48ad6fb5-dfad-4aa7-9ab1-69df106ed10e</t>
  </si>
  <si>
    <t>8592ed1a-8472-4909-b374-9787ae24ee72</t>
  </si>
  <si>
    <t>00c6e85f-7a7d-4a2f-8e2e-be268fe2ee2e</t>
  </si>
  <si>
    <t>e5d23a85-0627-4cc2-a84a-cdf3cf2a7918</t>
  </si>
  <si>
    <t>e7d6743f-a072-40f4-b162-22b400149c60</t>
  </si>
  <si>
    <t>a1e8182a-66d1-4a5d-8867-bbfbf3b1543d</t>
  </si>
  <si>
    <t>313cd1e7-8b98-4b37-9862-00600bb89669</t>
  </si>
  <si>
    <t>ef3c5b8d-04b4-4293-9d66-20476f3cdee6</t>
  </si>
  <si>
    <t>cd13178a-6966-46bb-aa39-cced5d334619</t>
  </si>
  <si>
    <t>f0d9afd3-ca46-4d60-bf83-8f1ee1cda8f6</t>
  </si>
  <si>
    <t>baaf9755-f573-4744-84f3-0dc8d1e68bc0</t>
  </si>
  <si>
    <t>03b5aab3-8dcc-495f-9c32-d493352a0515</t>
  </si>
  <si>
    <t>3ccfbe33-4068-4d4e-9166-fb41b3c449ab</t>
  </si>
  <si>
    <t>6581b689-f6ce-4a9d-94a1-bf7f90c45e07</t>
  </si>
  <si>
    <t>c414a7ca-ffbb-49b7-b441-5c6208aa517d</t>
  </si>
  <si>
    <t>ce22c7be-3290-4f1c-acb7-872c4806f2a2</t>
  </si>
  <si>
    <t>investigate</t>
  </si>
  <si>
    <t>b32a0567-22df-45c9-aab6-6c8d8870d4ee</t>
  </si>
  <si>
    <t>e8ed111c-df94-41d4-b348-883b1c920bf6</t>
  </si>
  <si>
    <t>f54b729b-18d0-4dd3-8cb4-cf2779b68f68</t>
  </si>
  <si>
    <t>Case</t>
  </si>
  <si>
    <t>0c523c3b-944f-4b86-8f6f-0acfbf0dd8ba</t>
  </si>
  <si>
    <t>f88ddccf-e997-4431-a3da-3156741fa38e</t>
  </si>
  <si>
    <t>71868575-76be-4f98-b2a9-2875d4dd47fd</t>
  </si>
  <si>
    <t>1a9d6219-8249-4494-bb68-00f850058e3e</t>
  </si>
  <si>
    <t>0c1e41dc-0a69-49a9-8c3f-2dc8f9b6a0b3</t>
  </si>
  <si>
    <t>Search for possible GTA</t>
  </si>
  <si>
    <t>564bbd92-d2ae-4287-b60c-13476c8f811c</t>
  </si>
  <si>
    <t>77fdb3a5-4393-4751-bdd0-37a63d94f9a6</t>
  </si>
  <si>
    <t>94d2922a-fc3a-4ef2-9ee6-0466a6af275f</t>
  </si>
  <si>
    <t>40e1da84-f615-4ba9-aadd-86949bd9b3e0</t>
  </si>
  <si>
    <t>fae821af-ba75-4c25-b8e5-d7ef7065378f</t>
  </si>
  <si>
    <t>d175e736-5c44-4ca3-8d5d-82797301d215</t>
  </si>
  <si>
    <t>60e6a34c-d2ca-433e-962b-d63b395d4696</t>
  </si>
  <si>
    <t>4c38887c-259b-4910-a97e-0127ce96221f</t>
  </si>
  <si>
    <t>705a3acd-681e-44cb-bde0-1759bafa28de</t>
  </si>
  <si>
    <t>98a1ddc4-ebd4-4f29-955b-f50605b1a7c9</t>
  </si>
  <si>
    <t>51ffb2da-e9b8-4876-90a9-b20928a534f0</t>
  </si>
  <si>
    <t>e83dcd40-64ce-46a8-8646-86886878357c</t>
  </si>
  <si>
    <t>2ae3fe40-0c19-4b05-a594-ec51280b0396</t>
  </si>
  <si>
    <t>c86e66e4-c82d-4f2b-bc41-0e5fe576de78</t>
  </si>
  <si>
    <t>008cc17d-be6c-42ca-b926-e2b01b3f6651</t>
  </si>
  <si>
    <t>a393e330-fba3-42a9-9e5e-641c8e9d456e</t>
  </si>
  <si>
    <t>82641148-ec06-478b-85cb-11c10c04f851</t>
  </si>
  <si>
    <t>9355670c-4ef3-42be-8efb-4887d00cc7ff</t>
  </si>
  <si>
    <t>2d25fb18-e610-4f56-8845-baac0b2cc4dd</t>
  </si>
  <si>
    <t>043ca040-1fa2-4b63-a8b8-df0a92005e79</t>
  </si>
  <si>
    <t>ae778362-ee97-466e-b611-df6d9597d8af</t>
  </si>
  <si>
    <t>81a19cb6-9e3a-4f33-8d1f-b8a2d7fdf364</t>
  </si>
  <si>
    <t>suspect veh in dop from la fiesta</t>
  </si>
  <si>
    <t>6439947c-cfc4-43bf-a6ac-f2df157d7870</t>
  </si>
  <si>
    <t>9b3ac0e3-0e55-4eb9-91d3-90a08559f033</t>
  </si>
  <si>
    <t>1fd2476b-9394-4e2e-8715-b6599034cb7a</t>
  </si>
  <si>
    <t>a679990a-1bb5-4caf-ac04-a35987c6de72</t>
  </si>
  <si>
    <t>4aabe280-9343-4e58-9f73-08e36af03788</t>
  </si>
  <si>
    <t>adf465ad-1121-43db-b1a1-3c5ddc624d72</t>
  </si>
  <si>
    <t>f7907a1e-f53a-4715-aa94-79c0a6be3350</t>
  </si>
  <si>
    <t>dddf4aa8-f5c7-4386-b89e-b1f3fd8daae2</t>
  </si>
  <si>
    <t>UNLAW MV</t>
  </si>
  <si>
    <t>42d36e44-8325-4c16-8deb-1d3c5da575c5</t>
  </si>
  <si>
    <t>e5ce1d25-4bfd-4f7d-a4f7-29af062e6bcc</t>
  </si>
  <si>
    <t>55459101-487f-444a-a52b-4b6cea04b390</t>
  </si>
  <si>
    <t>Suspect Veh</t>
  </si>
  <si>
    <t>ff7a1d2c-ee77-4f85-82ac-8410c769a46b</t>
  </si>
  <si>
    <t>5e99d29e-61f3-4bf8-876a-03911a115809</t>
  </si>
  <si>
    <t>e880d5c3-7338-4910-802b-860601a8f8d8</t>
  </si>
  <si>
    <t>11a2163b-9a98-45a3-9f0f-27ebd9f998c1</t>
  </si>
  <si>
    <t>a8144d27-1f9f-4bdd-be73-627220b0b1df</t>
  </si>
  <si>
    <t>28b46e00-f208-4f5b-b7d8-0def70fa1a61</t>
  </si>
  <si>
    <t>aff299d4-150b-4028-87f4-d393b5ed5111</t>
  </si>
  <si>
    <t>f75fac52-f17a-477d-98fd-c1f96e4e02c4</t>
  </si>
  <si>
    <t>aff78d40-f422-433f-b364-6ff2badf7db4</t>
  </si>
  <si>
    <t>7e0b7c95-f4fc-4263-bae3-7f6af675946c</t>
  </si>
  <si>
    <t>61f18ef7-581e-44d7-b2ad-c6c07862d9a0</t>
  </si>
  <si>
    <t>c42c5e63-8f83-4dd8-bb45-7b9837dbc462</t>
  </si>
  <si>
    <t>2a5f687c-aed8-4737-ab7a-b39ec77ef8be</t>
  </si>
  <si>
    <t>af5c0563-6545-437d-9071-d06e574706a7</t>
  </si>
  <si>
    <t>25508ae6-eec7-462d-8403-85505838506d</t>
  </si>
  <si>
    <t>d28d4346-4efa-4c12-804c-6f1ebf55797f</t>
  </si>
  <si>
    <t>Hit and run</t>
  </si>
  <si>
    <t>83ed517f-6dd5-48b0-a87f-9d9409f93045</t>
  </si>
  <si>
    <t>e27c9c11-1714-4736-bb75-59feadb8b05b</t>
  </si>
  <si>
    <t>08026f30-c74d-435f-93b8-7a04ccf638cd</t>
  </si>
  <si>
    <t>9d17b721-e747-483f-baf2-4ae65004cb0a</t>
  </si>
  <si>
    <t>5225495d-3c50-45ae-88f2-5a93a81154b3</t>
  </si>
  <si>
    <t>invest</t>
  </si>
  <si>
    <t>d4be5a22-681f-4f5b-9efb-17dd07b0a5fc</t>
  </si>
  <si>
    <t>4295398d-05fd-4f6a-ab81-0b8853a7fa5c</t>
  </si>
  <si>
    <t>a59949d0-1883-4faa-aa0e-df309cf7d6d3</t>
  </si>
  <si>
    <t>ec210e9f-eb2c-401e-b967-b50ba51479c6</t>
  </si>
  <si>
    <t>165baf7e-d3a7-4bbf-95b2-1889ad876a9b</t>
  </si>
  <si>
    <t>cf208495-c641-43a8-9b8c-df9d40e49495</t>
  </si>
  <si>
    <t>f958da53-4401-47e0-aeb4-5e1d2b816290</t>
  </si>
  <si>
    <t>f00ac724-cc27-498e-84d7-87b76f8d62df</t>
  </si>
  <si>
    <t>b3764cd6-3955-425f-988f-070421a726af</t>
  </si>
  <si>
    <t>d9e26dbc-77d7-4fe3-b0cf-e23d2a554f7f</t>
  </si>
  <si>
    <t>6414349c-98be-41f3-9ddf-7e2df0588900</t>
  </si>
  <si>
    <t>640b8385-910c-483e-907d-e2fc33816909</t>
  </si>
  <si>
    <t>b97b1507-173e-41f9-aa88-94558ec388ff</t>
  </si>
  <si>
    <t>d766f2b3-bf2f-4cea-8fd7-44bacb719b8a</t>
  </si>
  <si>
    <t>Fraudulent use of CC</t>
  </si>
  <si>
    <t>8fb17f66-d8dc-4549-8281-caba991efc25</t>
  </si>
  <si>
    <t>fde83979-0ad3-4ee8-af26-0070f7d7afd3</t>
  </si>
  <si>
    <t>0ef2c054-4d01-46bd-9f3d-c1840f567401</t>
  </si>
  <si>
    <t>Narc Inv Surveillance- Green Motorcycle</t>
  </si>
  <si>
    <t>85d24b4b-54f1-4c33-bc8c-6d749c7343f5</t>
  </si>
  <si>
    <t>c7785ab4-4620-49aa-9380-b1d5cb3f9e0d</t>
  </si>
  <si>
    <t>5fe3689e-abf5-4574-a9ac-1640c60b6423</t>
  </si>
  <si>
    <t>3b0eb5c3-8078-48df-8ee3-65dfe572bf78</t>
  </si>
  <si>
    <t>cd7b67f3-044d-42e9-8b6b-ca746b28e692</t>
  </si>
  <si>
    <t>32b1f577-9fde-4018-9e09-0d533f7d5338</t>
  </si>
  <si>
    <t>b5a09621-5213-4451-b07d-2818dbc8686c</t>
  </si>
  <si>
    <t>02cc08ab-1e23-4058-9f75-826b11f4044c</t>
  </si>
  <si>
    <t>71c38cbc-3746-4e6b-9328-d1a373fcc018</t>
  </si>
  <si>
    <t>f5a2d3f4-d3b4-4018-8594-a9b7f6dd2b53</t>
  </si>
  <si>
    <t>91f1a00d-0d6a-4b0e-9efb-a70e011b737e</t>
  </si>
  <si>
    <t>64a4d20b-78fa-47c9-8108-f47fd9919b24</t>
  </si>
  <si>
    <t>57e05cf1-6b1c-4495-9f35-1df7a3fedbe3</t>
  </si>
  <si>
    <t>cf7172ea-9f67-4238-8709-45e18198ddfe</t>
  </si>
  <si>
    <t>3868670c-71de-4edd-931c-1fdda808d3ec</t>
  </si>
  <si>
    <t>9f7e8fdb-e5de-4718-b3e5-d50ea7be599c</t>
  </si>
  <si>
    <t>GTA</t>
  </si>
  <si>
    <t>16dc622f-fd19-4bf8-9e24-8363c0868103</t>
  </si>
  <si>
    <t>b7405343-834d-4616-8dbe-810a8fd8e1d7</t>
  </si>
  <si>
    <t>d01f0a12-1167-452c-9fea-31207b283110</t>
  </si>
  <si>
    <t>c534fe61-5dbf-4346-94e4-846f2c63f53d</t>
  </si>
  <si>
    <t>ccf4bbd3-e8ae-4f42-828a-4f8fee58ed1a</t>
  </si>
  <si>
    <t>Locate involved vehicle</t>
  </si>
  <si>
    <t>97b86e32-fa51-4d70-85d3-2508f1af99e8</t>
  </si>
  <si>
    <t>8ae19c87-f768-46cc-9b2d-7cdd3d4af486</t>
  </si>
  <si>
    <t>055d7455-14dc-407e-b971-9b45cd8f9eeb</t>
  </si>
  <si>
    <t>b8c84d41-7f80-4856-b13f-e7aa61fa0939</t>
  </si>
  <si>
    <t>2b33ecac-f989-439b-ac30-5348cf5c616a</t>
  </si>
  <si>
    <t>f798616f-2bcb-4a62-8e07-d7bf1a374c5f</t>
  </si>
  <si>
    <t>dc730522-deb3-4f07-bf7d-271f70311bb5</t>
  </si>
  <si>
    <t>29f10b10-469d-41bb-9f40-7d45440d9cc2</t>
  </si>
  <si>
    <t>06de47e0-5af2-40ec-be5c-8345abebb11f</t>
  </si>
  <si>
    <t>35410780-0d76-40c3-b41b-374eaeed451f</t>
  </si>
  <si>
    <t>6df2c153-b88d-4024-87c3-6bab26cfc4dc</t>
  </si>
  <si>
    <t>17a94ae1-4a39-48ca-ba01-b06644a08803</t>
  </si>
  <si>
    <t>f9b6e0ef-9f10-4067-be3e-2be2065cd7f3</t>
  </si>
  <si>
    <t>1e7df3e6-dfae-441f-8907-c27b27327fba</t>
  </si>
  <si>
    <t>0cca0b27-7684-45c6-a6cb-939bdb7cd897</t>
  </si>
  <si>
    <t>7e9a385b-cc14-4e7d-a0b7-12e877576605</t>
  </si>
  <si>
    <t>eab3acfb-f0eb-4237-98f7-6575515734a8</t>
  </si>
  <si>
    <t>6782020c-1b27-40f3-84a7-6c33645ed42f</t>
  </si>
  <si>
    <t>090046ae-c23c-4918-9b80-eab2ad0686c8</t>
  </si>
  <si>
    <t>Case Follow-Up</t>
  </si>
  <si>
    <t>ab2fc46d-df6d-48b8-8c0e-d8da4d12ab88</t>
  </si>
  <si>
    <t>5edc9c27-648a-4f9d-beb4-abc70fdd1ded</t>
  </si>
  <si>
    <t>163cc654-cb92-44f3-b511-792b442016bd</t>
  </si>
  <si>
    <t>fb83689c-c8ec-43aa-9c1f-2fb0c6e5e634</t>
  </si>
  <si>
    <t>968293dd-90fd-48cd-8680-86770403ffba</t>
  </si>
  <si>
    <t>9cbd564b-a2d0-4eb2-aef4-c87f5a4615c4</t>
  </si>
  <si>
    <t>6a9f9eb7-d6c3-458a-9de2-1b83b1de211b</t>
  </si>
  <si>
    <t>3c7013ea-49d6-4883-98e1-b4ab02642e2e</t>
  </si>
  <si>
    <t>33b4bd1c-735d-4b39-909d-1b2556f44f31</t>
  </si>
  <si>
    <t>c0af5332-a201-4ec1-90a5-34ed010901f4</t>
  </si>
  <si>
    <t>729d2979-14b9-4255-ae57-dd7f14f3da8a</t>
  </si>
  <si>
    <t>0f506707-6151-4610-92c6-2b9cf72147d6</t>
  </si>
  <si>
    <t>03f4e5e5-d4e6-4984-8f44-c2e250bd382e</t>
  </si>
  <si>
    <t>c15c2313-df67-4089-b0bf-224de3032e2e</t>
  </si>
  <si>
    <t>4c692da2-d5e7-48be-97b6-2cbe455836b9</t>
  </si>
  <si>
    <t>8fc3afbd-e1ab-4305-9041-add05dcc3591</t>
  </si>
  <si>
    <t>872b27e1-2d48-4a41-8d69-9321093a60d5</t>
  </si>
  <si>
    <t>70dcf9c9-ad16-4614-841f-4a9ee1d8f74a</t>
  </si>
  <si>
    <t>37e27a32-058a-4029-b540-5de43aa405be</t>
  </si>
  <si>
    <t>80d32257-a1d0-47d5-b1d8-5e95021319f2</t>
  </si>
  <si>
    <t>CGIC</t>
  </si>
  <si>
    <t>a12f9861-1b88-40ef-b107-997376f9e5e4</t>
  </si>
  <si>
    <t>8f0b3a36-8a52-41a8-bd4e-51aa038d51ee</t>
  </si>
  <si>
    <t>36c3c1ab-c389-4bcc-b548-6ebca6cc10f0</t>
  </si>
  <si>
    <t>051360c9-a0e3-4ce8-b92b-f67642d211f3</t>
  </si>
  <si>
    <t>cc73c940-5e9b-41ed-b710-b31ff537d49b</t>
  </si>
  <si>
    <t>9620840c-556f-4f40-bd8c-e005509f3dab</t>
  </si>
  <si>
    <t>Felony suspect</t>
  </si>
  <si>
    <t>b5124e4b-b5ca-4ee2-8061-d53b3d1c63fc</t>
  </si>
  <si>
    <t>16a18646-50ce-4100-803e-96b9aa1abe42</t>
  </si>
  <si>
    <t>b1020763-4aa8-4b8d-b0fc-15ddf4f3951b</t>
  </si>
  <si>
    <t>03741712-3d37-4d33-8212-0db40b72da4b</t>
  </si>
  <si>
    <t>47b0051d-4e0e-4b26-a4e3-eeec315fa7bb</t>
  </si>
  <si>
    <t>d6337acd-ed5d-4447-8dde-2e5d471b0f87</t>
  </si>
  <si>
    <t>9a35a025-12fd-4a24-81e8-16880278e9af</t>
  </si>
  <si>
    <t>c840b720-47bc-4089-b681-10660f140e20</t>
  </si>
  <si>
    <t>f35742d7-7efb-4517-9517-d1ad80dd93fc</t>
  </si>
  <si>
    <t>7b04e1ec-ba0b-426c-9545-159be42b23b6</t>
  </si>
  <si>
    <t>e81d8a26-cfc7-4ec1-a4c4-5d1b44987b94</t>
  </si>
  <si>
    <t>cca4e44f-4c4b-4c06-aa77-4292ee006609</t>
  </si>
  <si>
    <t>dc21ad48-752f-4552-9a49-e887fb62d62f</t>
  </si>
  <si>
    <t>db6ec08d-98f3-4d71-ba18-9db32bc00b5e</t>
  </si>
  <si>
    <t>43271748-70ba-4d22-8753-60445892b8c6</t>
  </si>
  <si>
    <t>ffac83b0-85b3-4bb5-94fa-df2bfc653c47</t>
  </si>
  <si>
    <t>49ca52da-c9c7-475c-ab0e-187697040e5c</t>
  </si>
  <si>
    <t>8bc5403e-a81a-44fb-ac07-a570fd56ddb7</t>
  </si>
  <si>
    <t>577b2f3b-fc90-45f6-9eb0-0b4a64877ff0</t>
  </si>
  <si>
    <t>2b2b897b-a539-4576-a978-2508acad6de1</t>
  </si>
  <si>
    <t>74bea3ec-a2b5-4495-bd6f-c9956493467b</t>
  </si>
  <si>
    <t>ebfc64e5-4983-4afa-ad34-6bcb7b5e5dec</t>
  </si>
  <si>
    <t>64167c53-b396-4b08-8c8b-578231851b7d</t>
  </si>
  <si>
    <t>1b22507d-0596-41a1-8c0d-d380cc6c3f21</t>
  </si>
  <si>
    <t>3f4d9e8d-b405-4361-9afc-0bc457c10a7f</t>
  </si>
  <si>
    <t>10771bc5-b2f9-49a4-9c18-021b2a34d4ce</t>
  </si>
  <si>
    <t>144d5dcc-c02c-49dc-9145-8a25423bd847</t>
  </si>
  <si>
    <t>d931a77c-a93f-43cf-b2d3-f1a102fa0c3f</t>
  </si>
  <si>
    <t>675600e1-4e74-4803-bdb1-475538cd176a</t>
  </si>
  <si>
    <t>3d72b8cd-50e9-40bb-8080-a1a2b05d3d73</t>
  </si>
  <si>
    <t>243f5ee7-88e1-4bb4-9d92-6688b139903f</t>
  </si>
  <si>
    <t>ed03dafd-d69d-46c8-bfde-3b0d0ac9e5b4</t>
  </si>
  <si>
    <t>e67aa5d4-00b0-4cf1-9279-680ff220f918</t>
  </si>
  <si>
    <t>c27623ee-9c8e-45bb-a69b-e6adce8032a3</t>
  </si>
  <si>
    <t>b6c96291-e72c-4a24-88ac-9dcee1041231</t>
  </si>
  <si>
    <t>fefae1ee-572d-47d1-aff9-073e9f3414f1</t>
  </si>
  <si>
    <t>a6b28d85-9821-4dd9-9961-c8a2260f8dd6</t>
  </si>
  <si>
    <t>a259538c-f3ee-4311-8054-0c88b58b03e7</t>
  </si>
  <si>
    <t>f5145349-1b6f-426a-be04-429dc95f08e3</t>
  </si>
  <si>
    <t>24b92056-cfb8-4ca9-8e14-a5393e50cf1d</t>
  </si>
  <si>
    <t>8120e624-86be-4bfc-8b74-907e5d758ef1</t>
  </si>
  <si>
    <t>69915fa3-4298-4293-8b50-72f614c8228b</t>
  </si>
  <si>
    <t>64d5bf22-2666-4606-93ed-0d904931abf9</t>
  </si>
  <si>
    <t>a1d55089-8434-4148-9a0c-af4fee72fd12</t>
  </si>
  <si>
    <t>f9d4e971-fcf7-4841-9d42-a9b2791968b0</t>
  </si>
  <si>
    <t>7064f3be-1cfd-4d93-85f6-abbc4435cb8a</t>
  </si>
  <si>
    <t>bbe6fc71-17a0-4964-aecf-ac4c26a5dcf4</t>
  </si>
  <si>
    <t>614a3a9a-059b-49a0-8b92-0af4548c47e6</t>
  </si>
  <si>
    <t>b6cf1f87-57e3-43ff-9a27-42b68004cf42</t>
  </si>
  <si>
    <t>85f8a621-e258-4256-83b6-026055fda06a</t>
  </si>
  <si>
    <t>18762ab7-1b17-483a-9c1b-ea9c2836ae3e</t>
  </si>
  <si>
    <t>2ecacaee-eddc-4716-ab43-1a424e46955f</t>
  </si>
  <si>
    <t>b706e5c7-52bf-43fa-8d7a-9b9c8dcdd877</t>
  </si>
  <si>
    <t>121b8614-6e70-45b2-b03b-1c3c4a40d3fd</t>
  </si>
  <si>
    <t>0ea78249-0676-487b-81c1-95af5e300956</t>
  </si>
  <si>
    <t>53d99c72-07da-482c-8450-2fa545b30b56</t>
  </si>
  <si>
    <t>bf9019f9-300f-44af-b148-f9ab98f7d110</t>
  </si>
  <si>
    <t>4d4e403e-ee81-4c01-b609-03df8cd63509</t>
  </si>
  <si>
    <t>fe7a6195-2489-4848-8543-434fee114d8e</t>
  </si>
  <si>
    <t>2c6a274d-b243-4869-ab89-97e6ba70f3bb</t>
  </si>
  <si>
    <t>31c7ce44-9fe9-46b2-af4d-49912a626a43</t>
  </si>
  <si>
    <t>2b44ab0a-0780-4bb9-895f-81fd0ee14c30</t>
  </si>
  <si>
    <t>547ae407-6044-4f56-823d-5e5cb3da80e0</t>
  </si>
  <si>
    <t>ad17d0ed-b6cc-486c-80be-4535b4a6a642</t>
  </si>
  <si>
    <t>0bacae7c-9d93-4892-93e2-48cf1959c1fd</t>
  </si>
  <si>
    <t>VEH VS PED</t>
  </si>
  <si>
    <t>bd2e03bc-87f3-49ac-ba2d-698d4ef2b503</t>
  </si>
  <si>
    <t>f5aca2d5-6cee-46eb-8c6c-d52fb12ae979</t>
  </si>
  <si>
    <t>5e8b20cb-8aa2-4035-b348-30c0cd1c4473</t>
  </si>
  <si>
    <t>fa6d48ca-6b1d-40ee-9efe-fec51d153364</t>
  </si>
  <si>
    <t>eb360417-6b20-460b-84d8-828500e5959c</t>
  </si>
  <si>
    <t>3351de9b-e4da-4375-8cb7-64516131688c</t>
  </si>
  <si>
    <t>c236b266-cc6f-4a35-b9da-bca7ac8a12f8</t>
  </si>
  <si>
    <t>fa57c977-cdbc-4eef-997c-906f1ab053ad</t>
  </si>
  <si>
    <t>520000e2-27a2-43ef-ab19-97617405187a</t>
  </si>
  <si>
    <t>3f7a8719-24fb-4365-b7a9-474f8ef21ab9</t>
  </si>
  <si>
    <t>40e9b767-c1dd-494c-8acc-80caaa57fdda</t>
  </si>
  <si>
    <t>9e7cc562-064c-477e-a5a4-058922685d18</t>
  </si>
  <si>
    <t>76b2da8d-2725-4e49-ae95-7df3738bec2d</t>
  </si>
  <si>
    <t>f31d326b-2e05-4dfc-84a4-a3942347d7f5</t>
  </si>
  <si>
    <t>cae61335-9fcc-4e90-972a-7d6c676a7df9</t>
  </si>
  <si>
    <t>60725b1b-0b75-4045-abea-d478b7460901</t>
  </si>
  <si>
    <t>d72fefa5-4fc6-410d-9399-1e4ac9b373a6</t>
  </si>
  <si>
    <t>f6549bdf-e524-4c7b-ab8c-c1b32ca8727d</t>
  </si>
  <si>
    <t>6c8302f5-8230-494b-a082-d2d9ffd534cb</t>
  </si>
  <si>
    <t>5375141b-9b21-4557-91a3-be79c0c2418a</t>
  </si>
  <si>
    <t>fe36bc52-9262-494b-8f1d-d0f5cdbe3e1a</t>
  </si>
  <si>
    <t>1cabed7a-b705-4a20-8036-63e36348fb0d</t>
  </si>
  <si>
    <t>85169c29-03fd-4af5-b5cc-56959e9fc321</t>
  </si>
  <si>
    <t>f1d8e306-fbee-4c3b-8997-53ef3824d92e</t>
  </si>
  <si>
    <t>2bb0a78f-3c1d-4a49-af48-fd62f266e16a</t>
  </si>
  <si>
    <t>53aa46a2-7aa1-4523-8c88-b557999f81f3</t>
  </si>
  <si>
    <t>Wanted Subject</t>
  </si>
  <si>
    <t>5e27e3f6-21bf-44d0-8104-2bd19fe2ae37</t>
  </si>
  <si>
    <t>f63c6440-145d-4438-ace6-8a28e584e895</t>
  </si>
  <si>
    <t>2ca9c75d-edf7-451a-bbc6-8e5a2611ff35</t>
  </si>
  <si>
    <t>e3bcdecd-90e1-4bc2-aae2-8d137c4e9026</t>
  </si>
  <si>
    <t>5da6548d-0398-46ce-a9ec-b08f271d921d</t>
  </si>
  <si>
    <t>eb58c9ce-6cd5-4e3d-ba36-e0d0296becbf</t>
  </si>
  <si>
    <t>Sex Crimes Investigation</t>
  </si>
  <si>
    <t>a7f34e76-82ac-4aad-bf1b-2ded86293210</t>
  </si>
  <si>
    <t>2624230b-1952-487b-8b38-b3f5b4d1c1c4</t>
  </si>
  <si>
    <t>912ad450-276f-4083-8f14-ed4ccbb6b9e2</t>
  </si>
  <si>
    <t>efe120f7-8a82-48bf-b578-0f705b84aa73</t>
  </si>
  <si>
    <t>3f9ec811-ddee-48b3-b86d-a90b4dbd6d67</t>
  </si>
  <si>
    <t>c7e90c11-fcb0-44ea-bde2-af384224f61a</t>
  </si>
  <si>
    <t>36358fe2-1e3d-4e6b-9d3c-f3cb81345fb5</t>
  </si>
  <si>
    <t>d7e1c5a6-2b72-4f99-b2c1-ecac7bb5e0ef</t>
  </si>
  <si>
    <t>fcd38d46-9b9c-4034-bdde-12c8998d7572</t>
  </si>
  <si>
    <t>cdb7135e-cd81-48a8-9343-fd70c320f038</t>
  </si>
  <si>
    <t>cfc5272d-137d-47e2-9412-163f9535d13d</t>
  </si>
  <si>
    <t>439c8f90-caf5-4bc7-9f95-59a6311e7065</t>
  </si>
  <si>
    <t>a604b508-896a-47d3-9f67-555fa52feaf7</t>
  </si>
  <si>
    <t>46e4d6cf-985b-445e-926e-45692e28d4c4</t>
  </si>
  <si>
    <t>583cc868-abb3-46e7-9552-7bff616e04de</t>
  </si>
  <si>
    <t>0f56c93c-88bd-4dcf-8a41-539ef49f9ca9</t>
  </si>
  <si>
    <t>b0df6307-b163-4ee3-a5e8-922573afe805</t>
  </si>
  <si>
    <t>cb7e64a5-3211-46b8-9777-434025eba442</t>
  </si>
  <si>
    <t>4b29e27f-0a7c-4027-b64e-071380d8b42e</t>
  </si>
  <si>
    <t>95c971db-92b0-40a5-9e2a-b9facbcc27e3</t>
  </si>
  <si>
    <t>de7ad14d-ac0d-4b2b-8b7e-2df5084004c1</t>
  </si>
  <si>
    <t>4b0dac8e-611d-4d5e-8cc8-034d3c649d4d</t>
  </si>
  <si>
    <t>5e796792-b873-4b20-aacf-da51ae084023</t>
  </si>
  <si>
    <t>e44c88bf-3929-424b-bde2-0b2136d6049f</t>
  </si>
  <si>
    <t>90a91cc3-94ef-452b-a343-b299f8107c11</t>
  </si>
  <si>
    <t>c5048530-256e-4877-bba9-4b1638842b01</t>
  </si>
  <si>
    <t>fc87b930-718a-4278-a02e-1333bd45c9ae</t>
  </si>
  <si>
    <t>52d2c3eb-0637-4114-a36b-ce9eff98e16d</t>
  </si>
  <si>
    <t>3731990b-9f02-4a24-8c14-2011020c1152</t>
  </si>
  <si>
    <t>d8acab26-d131-4966-aeef-a32f6103261e</t>
  </si>
  <si>
    <t>aa06ec62-d431-49b5-8bad-e4f478397dd9</t>
  </si>
  <si>
    <t>fae955a0-d596-4ce4-9e4a-f725206210bd</t>
  </si>
  <si>
    <t>ad52008c-a54f-4ca5-9b70-ba5fb5902057</t>
  </si>
  <si>
    <t>56bb09c5-c8bb-4722-8e97-a5b96cf653d4</t>
  </si>
  <si>
    <t>3e974f4a-ea15-4f07-96f7-a6a3d32b923f</t>
  </si>
  <si>
    <t>5443ff34-06b0-4889-96e1-dba833d46762</t>
  </si>
  <si>
    <t>stolen</t>
  </si>
  <si>
    <t>adf5794f-f42e-406a-aa40-d60d4acfeef6</t>
  </si>
  <si>
    <t>9563343a-1da1-474f-9cdd-a5385ce8844a</t>
  </si>
  <si>
    <t>48a40829-a2ba-4fb9-b6a5-7a3ba42b55b4</t>
  </si>
  <si>
    <t>b0534a76-b2f9-409e-a422-f3afe713f28a</t>
  </si>
  <si>
    <t>fc848cec-6dad-4687-85e2-7db650472ea4</t>
  </si>
  <si>
    <t>50d06123-1219-4dff-9c02-b7e1fc184d1c</t>
  </si>
  <si>
    <t>a91e4850-da13-43ff-8318-5059bc736052</t>
  </si>
  <si>
    <t>75c03720-d61f-434f-982d-bbe98aebcb7c</t>
  </si>
  <si>
    <t>cc4cf4db-f3dc-4284-a202-f944c3baddb6</t>
  </si>
  <si>
    <t>ba02b18f-b1dd-48ec-beb8-c39f3ebbfa00</t>
  </si>
  <si>
    <t>7d408641-285e-40d0-b00e-8b8d13808791</t>
  </si>
  <si>
    <t>31ed5af5-0f6d-4990-847b-41ea9fc8ea0d</t>
  </si>
  <si>
    <t>15b5a4f1-5ac4-4696-ae52-c48fc8fe9aa1</t>
  </si>
  <si>
    <t>4bf3acbf-a69a-47d9-9c10-22eb8c807c71</t>
  </si>
  <si>
    <t>f5928a09-8060-4024-99d1-cd6293bbc08e</t>
  </si>
  <si>
    <t>743c7385-7b47-4069-ba95-c154af589054</t>
  </si>
  <si>
    <t>e484c3b0-ac3d-440a-9de6-c65e77b6d174</t>
  </si>
  <si>
    <t>Investigation</t>
  </si>
  <si>
    <t>be85d11e-a00f-411f-89fc-d4e10e50411e</t>
  </si>
  <si>
    <t>c31bb83a-673e-43f7-9b9c-28aba66891f1</t>
  </si>
  <si>
    <t>8629c93b-6850-4aa9-b04c-f7679c1f50cc</t>
  </si>
  <si>
    <t>ca3513b2-8d28-410d-8053-a7010d5c164e</t>
  </si>
  <si>
    <t>ccedc63f-bfd6-4ecd-9d98-32218b674194</t>
  </si>
  <si>
    <t>aeb50731-4ae7-4803-aa02-4dbecec714d9</t>
  </si>
  <si>
    <t>fa735f8d-7275-48f5-bce2-fb2daa659ca3</t>
  </si>
  <si>
    <t>ed6faaab-3cfa-4338-83fd-38e6f557f61d</t>
  </si>
  <si>
    <t>f312f144-268a-47bb-8739-849d236b78dc</t>
  </si>
  <si>
    <t>aa47d0ff-5161-447d-8feb-f2eaf96150f7</t>
  </si>
  <si>
    <t>f8fe5304-5c0e-4f69-ab5e-678efe73d912</t>
  </si>
  <si>
    <t>90dd591c-6660-4e02-9ceb-3651465bfef2</t>
  </si>
  <si>
    <t>da2b725e-c5a2-4f0f-b6c2-6001a54698e5</t>
  </si>
  <si>
    <t>06808692-a0e4-43c8-b548-376b44873f1f</t>
  </si>
  <si>
    <t>596932ff-4341-452a-a6fc-d6b61e2c3a80</t>
  </si>
  <si>
    <t>5ed4d68a-a136-49cf-8f63-334aa7f36b32</t>
  </si>
  <si>
    <t>802376fa-f208-479c-96e4-6baefa11133f</t>
  </si>
  <si>
    <t>52d5da8c-0686-43af-ba53-2f33dd999312</t>
  </si>
  <si>
    <t>4271e6ce-3da7-4f37-aade-cb25fa45b8f8</t>
  </si>
  <si>
    <t>c129f29a-af70-4115-a030-aef149f2144b</t>
  </si>
  <si>
    <t>84fdab99-40ce-4aca-bbf8-3dea260a6588</t>
  </si>
  <si>
    <t>54e3c005-e4eb-4a21-a24a-7ed0abd0558b</t>
  </si>
  <si>
    <t>ba14bd2f-20b1-4ec3-b13a-0cce4ad18dc8</t>
  </si>
  <si>
    <t>203f3de8-51bf-42dd-89f9-8de4a381fa89</t>
  </si>
  <si>
    <t>e4571ec0-b83a-474f-b65c-5102bc73406d</t>
  </si>
  <si>
    <t>be66d02a-ac1c-480e-a31e-20d02436b05e</t>
  </si>
  <si>
    <t>aa02ba31-b269-4454-a867-c4b83fda5e9d</t>
  </si>
  <si>
    <t>3857610b-f098-4507-89ef-ea61502ca669</t>
  </si>
  <si>
    <t>f45728f1-8bee-4c5a-8079-9ca479be4ea2</t>
  </si>
  <si>
    <t>08d8cfba-bb20-4a3a-acbc-befb9024f811</t>
  </si>
  <si>
    <t>f167e82a-6f26-4348-96e3-271e1dc53db0</t>
  </si>
  <si>
    <t>daeac72b-dd38-4fb0-a67f-deb6ba1c8db5</t>
  </si>
  <si>
    <t>2f047fd0-f95c-47cf-9ccc-2e22386ea222</t>
  </si>
  <si>
    <t>834db16f-5976-4c96-a439-39b93d6fe8bb</t>
  </si>
  <si>
    <t>fc9a3e30-abfe-4c93-aa1f-14990e8c0534</t>
  </si>
  <si>
    <t>a6d6920b-8595-4ecd-b556-cc2b220dfc2e</t>
  </si>
  <si>
    <t>d87db161-0fe9-435b-bd6e-070e9b5aa8c0</t>
  </si>
  <si>
    <t>c32045e7-e35b-40f6-881d-5a8163892ec0</t>
  </si>
  <si>
    <t>5a6225e8-39d4-4aac-a774-ef54c72824e2</t>
  </si>
  <si>
    <t>e23f4087-54a5-4e1f-ad9f-c5a7964bb6ef</t>
  </si>
  <si>
    <t>af5f9924-b23f-400f-bcc6-edc75bdfa2cd</t>
  </si>
  <si>
    <t>f2019547-6cd6-4290-9f1b-58bc901672e3</t>
  </si>
  <si>
    <t>4c4022db-e12f-48ce-be4d-639d3d52ccab</t>
  </si>
  <si>
    <t>8acbbae4-a9d8-4b42-a5f3-42b3b4d351d2</t>
  </si>
  <si>
    <t>b607db08-4dfb-46db-a2d2-b5f35d89be4c</t>
  </si>
  <si>
    <t>1da909df-6593-4fbc-a550-0b1099fd2563</t>
  </si>
  <si>
    <t>r17405</t>
  </si>
  <si>
    <t>93813085-f089-46e8-bc8c-719b541c66bd</t>
  </si>
  <si>
    <t>951fdd8d-7662-4530-9a1f-1aa7fc754818</t>
  </si>
  <si>
    <t>92a12ae8-4995-4fa4-91e4-d6cad75a2ba1</t>
  </si>
  <si>
    <t>5a82291c-83f7-46a6-94ae-7d6f53b1e807</t>
  </si>
  <si>
    <t>f316ab50-2a87-49cc-b2ff-b2b1e5e81042</t>
  </si>
  <si>
    <t>aac36bcf-9048-40c8-b779-cf6ac34da73e</t>
  </si>
  <si>
    <t>8e77e5cd-6e87-447e-a8c6-854b406437eb</t>
  </si>
  <si>
    <t>b798e876-7931-42d5-8bb8-03f459bd22e2</t>
  </si>
  <si>
    <t>33306e68-ac7e-46d1-a83a-dd5472797293</t>
  </si>
  <si>
    <t>8b5d664e-8b97-45cf-960f-08782449e358</t>
  </si>
  <si>
    <t>ac9e6b14-3cf1-4b73-b073-d1ab3c1e9e43</t>
  </si>
  <si>
    <t>efd67f47-5b91-4b38-8110-dfaddc673336</t>
  </si>
  <si>
    <t>4ef9c831-7050-4e60-a7bc-bd92227abe95</t>
  </si>
  <si>
    <t>RESEARCH</t>
  </si>
  <si>
    <t>e7a1d8c3-a2bb-4cc7-805d-26f32ae25384</t>
  </si>
  <si>
    <t>229c4416-24a0-496b-aa01-3de47e269716</t>
  </si>
  <si>
    <t>67378d43-0820-4e4c-8dae-41fd98d32c17</t>
  </si>
  <si>
    <t>171134d9-e032-461b-a641-61ac0de7260d</t>
  </si>
  <si>
    <t>fc022de4-e322-4cdd-b4c3-281ff6467aa9</t>
  </si>
  <si>
    <t>91704fbd-53e2-4a3f-a83f-d5d455179d53</t>
  </si>
  <si>
    <t>d4f3876a-a7c4-4e24-bc97-1682817e362f</t>
  </si>
  <si>
    <t>983e3179-3cf7-49db-84b1-273f3c7bfb26</t>
  </si>
  <si>
    <t>6c6b5c66-c65b-4cb9-904c-d5bfc8b23de2</t>
  </si>
  <si>
    <t>3a96f2f6-d141-4d8a-a912-2381c89bcc89</t>
  </si>
  <si>
    <t>STOLEN VEH</t>
  </si>
  <si>
    <t>6a89b24f-3c29-4f36-8cc2-5f0d9ccdba2f</t>
  </si>
  <si>
    <t>56331c2e-286e-417c-8d38-8e636b63df4d</t>
  </si>
  <si>
    <t>438d782d-098f-4a79-818d-5b3932b126b5</t>
  </si>
  <si>
    <t>7963096b-56ee-4043-bad0-7976cdfc5077</t>
  </si>
  <si>
    <t>0a4fdc42-f89b-42ef-b238-aa7d963facd1</t>
  </si>
  <si>
    <t>f4c78e74-8076-470f-8117-5944891d1a52</t>
  </si>
  <si>
    <t>54662f7c-5521-4332-84e3-87583a2f8ea7</t>
  </si>
  <si>
    <t>93bd11f9-e71d-4e67-b0a5-1a7860538ac3</t>
  </si>
  <si>
    <t>7bde3316-6727-41f0-807b-8954811a10d0</t>
  </si>
  <si>
    <t>278e96bd-375c-4914-a3b8-5d686e1f2254</t>
  </si>
  <si>
    <t>e26e43e6-41c5-496e-bdb6-3c046c006678</t>
  </si>
  <si>
    <t>Research</t>
  </si>
  <si>
    <t>fcf21606-e235-4558-9dc4-ae551c3e49fa</t>
  </si>
  <si>
    <t>af897f21-6293-41a1-845e-9c12c5f20d97</t>
  </si>
  <si>
    <t>15eeccbf-737d-43ca-a1f0-2d4e0fbf9c30</t>
  </si>
  <si>
    <t>58929ea1-9e1a-47c0-84b8-820f6e8467e2</t>
  </si>
  <si>
    <t>57336bec-4cda-4297-b5e1-020b3780a6b1</t>
  </si>
  <si>
    <t>5e4a4b78-fa09-4216-bc52-ce77f892d0a2</t>
  </si>
  <si>
    <t>71ebe68e-3485-4d4f-b414-a26051bebeb3</t>
  </si>
  <si>
    <t>02dd4548-d140-4de7-9e87-8ddf4fff12a2</t>
  </si>
  <si>
    <t>fbfb1fa7-7f54-4878-a212-4fa1c9b68100</t>
  </si>
  <si>
    <t>6eafe162-e2f8-444f-99b0-d8930e7cc1f1</t>
  </si>
  <si>
    <t>3b8786d4-12c2-440c-9089-104ea5dba1a1</t>
  </si>
  <si>
    <t>dd9c0769-3ad9-4df9-ad78-58e3ef8f150e</t>
  </si>
  <si>
    <t>09567aa8-b83a-4678-a4ac-4e2764d73966</t>
  </si>
  <si>
    <t>e44919ac-73d8-496b-8f82-666ec41a00b4</t>
  </si>
  <si>
    <t>9f11a695-894b-44e8-8a44-1051d24741c1</t>
  </si>
  <si>
    <t>59641a25-e52f-497c-b72b-037e980f076f</t>
  </si>
  <si>
    <t>8bcfd29f-c569-4c37-9a62-47bc14e3ca9d</t>
  </si>
  <si>
    <t>8a68f77a-1587-4f80-a73d-2a80d8acbfb5</t>
  </si>
  <si>
    <t>81bf0b9e-af1b-4fd5-9a62-1bc02cd279fb</t>
  </si>
  <si>
    <t>69ddf92f-cfdd-4bc2-8b44-9f42418674f5</t>
  </si>
  <si>
    <t>de964faa-2b02-4359-88c1-d65f649fecf0</t>
  </si>
  <si>
    <t>92628607-4ba0-43ed-ad58-dee1b4fba277</t>
  </si>
  <si>
    <t>c22b257d-53bb-48ad-855a-fb5278b4977d</t>
  </si>
  <si>
    <t>f4ac3502-55b5-4f92-8442-2ca7486c60a5</t>
  </si>
  <si>
    <t>bf362d37-3a8b-4ae6-8887-59837323e5dc</t>
  </si>
  <si>
    <t>locate video of crime</t>
  </si>
  <si>
    <t>6e21945c-8197-4878-a7a3-dc7d80dea5d1</t>
  </si>
  <si>
    <t>a8a8b1f4-0a3d-47de-a32c-5a598d6076b7</t>
  </si>
  <si>
    <t>2586228a-5375-4622-b47c-2dbf1485189f</t>
  </si>
  <si>
    <t>8f568092-3670-4bf3-9d85-efeaaf36cdbc</t>
  </si>
  <si>
    <t>5b2aee19-0f14-4a4e-85e0-da96b59e5d26</t>
  </si>
  <si>
    <t>a0d621ba-e799-4df6-b68a-a805bd446455</t>
  </si>
  <si>
    <t>a4dd85d5-c82c-4f9d-8d5d-919275dd5d1d</t>
  </si>
  <si>
    <t>05202d6c-2b54-4ce8-a45b-adfc720f3c48</t>
  </si>
  <si>
    <t>e86ec61d-437e-423e-8e57-15c631ecfd24</t>
  </si>
  <si>
    <t>0c737e89-6fb6-4896-aa5f-5bd36d341f2d</t>
  </si>
  <si>
    <t>b67f9b72-bfc8-4276-b9ff-c94001c2dd77</t>
  </si>
  <si>
    <t>d03f5bf1-1605-4cb7-8f24-3ac09476d35a</t>
  </si>
  <si>
    <t>e38f197a-f271-4ee4-87c6-7eba20bc5826</t>
  </si>
  <si>
    <t>0df5825f-71fe-4f0e-9f52-8ea1c67abdae</t>
  </si>
  <si>
    <t>0543ea2b-f6b9-4618-a229-a1ce0356efea</t>
  </si>
  <si>
    <t>b09548ec-99f8-4f21-9106-91739be84055</t>
  </si>
  <si>
    <t>222aac89-7e54-44e0-ba5f-31b059dd720a</t>
  </si>
  <si>
    <t>d6a2baac-323a-463c-9398-d9c36e2c054d</t>
  </si>
  <si>
    <t>0c46133f-3c27-420b-a8ba-6d9b06c3e055</t>
  </si>
  <si>
    <t>collision</t>
  </si>
  <si>
    <t>527b05a0-6fa9-46aa-96cf-e04cb461aebb</t>
  </si>
  <si>
    <t>38c723f4-b525-4cef-80f9-4ff2d7049ada</t>
  </si>
  <si>
    <t>7a38b261-017f-4f04-b311-62a6bb15408a</t>
  </si>
  <si>
    <t>70feabfe-28c1-4d34-bb42-79b07d6b1505</t>
  </si>
  <si>
    <t>8e396bb5-2148-4e91-9f14-6f084368dfa4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</si>
</sst>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2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0" fontId="4" fillId="3" borderId="0" xfId="0" applyFont="1" applyFill="1"/>
    <xf numFmtId="164" fontId="0" fillId="0" borderId="0" xfId="0" applyNumberFormat="1"/>
    <xf numFmtId="49" fontId="0" fillId="0" borderId="0" xfId="0" applyNumberFormat="1"/>
    <xf numFmtId="0" fontId="5" fillId="0" borderId="0" xfId="0" applyFont="1"/>
    <xf numFmtId="0" fontId="3" fillId="0" borderId="1" xfId="0" applyFont="1" applyBorder="1"/>
    <xf numFmtId="164" fontId="3" fillId="0" borderId="1" xfId="0" applyNumberFormat="1" applyFont="1" applyBorder="1"/>
    <xf numFmtId="0" fontId="6" fillId="0" borderId="0" xfId="0" applyFont="1"/>
    <xf numFmtId="0" fontId="0" fillId="0" borderId="0" xfId="0" applyNumberFormat="1"/>
  </cellXfs>
  <cellStyles count="1">
    <cellStyle name="Normal" xfId="0" builtinId="0"/>
  </cellStyles>
  <dxfs count="9">
    <dxf>
      <numFmt numFmtId="19" formatCode="m/d/yy"/>
    </dxf>
    <dxf>
      <numFmt numFmtId="19" formatCode="m/d/yy"/>
    </dxf>
    <dxf>
      <numFmt numFmtId="27" formatCode="m/d/yy\ h:mm"/>
    </dxf>
    <dxf>
      <numFmt numFmtId="19" formatCode="m/d/yy"/>
    </dxf>
    <dxf>
      <numFmt numFmtId="27" formatCode="m/d/yy\ h:mm"/>
    </dxf>
    <dxf>
      <alignment horizontal="right" vertical="bottom" textRotation="0" wrapText="0" indent="0" justifyLastLine="0" shrinkToFit="0" readingOrder="0"/>
    </dxf>
    <dxf>
      <numFmt numFmtId="27" formatCode="m/d/yy\ h:mm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1/relationships/timelineCache" Target="timelineCaches/timelineCach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Searches by Hour: Blank vs. Has Reason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'Late Night Analysis'!$B$1</c:f>
              <c:strCache>
                <c:ptCount val="1"/>
                <c:pt idx="0">
                  <c:v>Has Reason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strRef>
              <c:f>'Late Night Analysis'!$A$2:$A$25</c:f>
              <c:strCache>
                <c:ptCount val="24"/>
                <c:pt idx="0">
                  <c:v>1 AM</c:v>
                </c:pt>
                <c:pt idx="1">
                  <c:v>1 PM</c:v>
                </c:pt>
                <c:pt idx="2">
                  <c:v>10 AM</c:v>
                </c:pt>
                <c:pt idx="3">
                  <c:v>10 PM</c:v>
                </c:pt>
                <c:pt idx="4">
                  <c:v>11 AM</c:v>
                </c:pt>
                <c:pt idx="5">
                  <c:v>11 PM</c:v>
                </c:pt>
                <c:pt idx="6">
                  <c:v>12 AM</c:v>
                </c:pt>
                <c:pt idx="7">
                  <c:v>12 PM</c:v>
                </c:pt>
                <c:pt idx="8">
                  <c:v>2 AM</c:v>
                </c:pt>
                <c:pt idx="9">
                  <c:v>2 PM</c:v>
                </c:pt>
                <c:pt idx="10">
                  <c:v>3 AM</c:v>
                </c:pt>
                <c:pt idx="11">
                  <c:v>3 PM</c:v>
                </c:pt>
                <c:pt idx="12">
                  <c:v>4 AM</c:v>
                </c:pt>
                <c:pt idx="13">
                  <c:v>4 PM</c:v>
                </c:pt>
                <c:pt idx="14">
                  <c:v>5 AM</c:v>
                </c:pt>
                <c:pt idx="15">
                  <c:v>5 PM</c:v>
                </c:pt>
                <c:pt idx="16">
                  <c:v>6 AM</c:v>
                </c:pt>
                <c:pt idx="17">
                  <c:v>6 PM</c:v>
                </c:pt>
                <c:pt idx="18">
                  <c:v>7 AM</c:v>
                </c:pt>
                <c:pt idx="19">
                  <c:v>7 PM</c:v>
                </c:pt>
                <c:pt idx="20">
                  <c:v>8 AM</c:v>
                </c:pt>
                <c:pt idx="21">
                  <c:v>8 PM</c:v>
                </c:pt>
                <c:pt idx="22">
                  <c:v>9 AM</c:v>
                </c:pt>
                <c:pt idx="23">
                  <c:v>9 PM</c:v>
                </c:pt>
              </c:strCache>
            </c:strRef>
          </c:cat>
          <c:val>
            <c:numRef>
              <c:f>'Late Night Analysis'!$B$2:$B$25</c:f>
              <c:numCache>
                <c:formatCode>General</c:formatCode>
                <c:ptCount val="24"/>
                <c:pt idx="0">
                  <c:v>7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12</c:v>
                </c:pt>
                <c:pt idx="7">
                  <c:v>5</c:v>
                </c:pt>
                <c:pt idx="8">
                  <c:v>4</c:v>
                </c:pt>
                <c:pt idx="9">
                  <c:v>3</c:v>
                </c:pt>
                <c:pt idx="10">
                  <c:v>10</c:v>
                </c:pt>
                <c:pt idx="11">
                  <c:v>2</c:v>
                </c:pt>
                <c:pt idx="12">
                  <c:v>7</c:v>
                </c:pt>
                <c:pt idx="13">
                  <c:v>2</c:v>
                </c:pt>
                <c:pt idx="14">
                  <c:v>5</c:v>
                </c:pt>
                <c:pt idx="15">
                  <c:v>0</c:v>
                </c:pt>
                <c:pt idx="16">
                  <c:v>12</c:v>
                </c:pt>
                <c:pt idx="17">
                  <c:v>1</c:v>
                </c:pt>
                <c:pt idx="18">
                  <c:v>7</c:v>
                </c:pt>
                <c:pt idx="19">
                  <c:v>1</c:v>
                </c:pt>
                <c:pt idx="20">
                  <c:v>15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9E-364B-AA08-426E36C4B435}"/>
            </c:ext>
          </c:extLst>
        </c:ser>
        <c:ser>
          <c:idx val="1"/>
          <c:order val="1"/>
          <c:tx>
            <c:strRef>
              <c:f>'Late Night Analysis'!$C$1</c:f>
              <c:strCache>
                <c:ptCount val="1"/>
                <c:pt idx="0">
                  <c:v>Blank Reason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'Late Night Analysis'!$A$2:$A$25</c:f>
              <c:strCache>
                <c:ptCount val="24"/>
                <c:pt idx="0">
                  <c:v>1 AM</c:v>
                </c:pt>
                <c:pt idx="1">
                  <c:v>1 PM</c:v>
                </c:pt>
                <c:pt idx="2">
                  <c:v>10 AM</c:v>
                </c:pt>
                <c:pt idx="3">
                  <c:v>10 PM</c:v>
                </c:pt>
                <c:pt idx="4">
                  <c:v>11 AM</c:v>
                </c:pt>
                <c:pt idx="5">
                  <c:v>11 PM</c:v>
                </c:pt>
                <c:pt idx="6">
                  <c:v>12 AM</c:v>
                </c:pt>
                <c:pt idx="7">
                  <c:v>12 PM</c:v>
                </c:pt>
                <c:pt idx="8">
                  <c:v>2 AM</c:v>
                </c:pt>
                <c:pt idx="9">
                  <c:v>2 PM</c:v>
                </c:pt>
                <c:pt idx="10">
                  <c:v>3 AM</c:v>
                </c:pt>
                <c:pt idx="11">
                  <c:v>3 PM</c:v>
                </c:pt>
                <c:pt idx="12">
                  <c:v>4 AM</c:v>
                </c:pt>
                <c:pt idx="13">
                  <c:v>4 PM</c:v>
                </c:pt>
                <c:pt idx="14">
                  <c:v>5 AM</c:v>
                </c:pt>
                <c:pt idx="15">
                  <c:v>5 PM</c:v>
                </c:pt>
                <c:pt idx="16">
                  <c:v>6 AM</c:v>
                </c:pt>
                <c:pt idx="17">
                  <c:v>6 PM</c:v>
                </c:pt>
                <c:pt idx="18">
                  <c:v>7 AM</c:v>
                </c:pt>
                <c:pt idx="19">
                  <c:v>7 PM</c:v>
                </c:pt>
                <c:pt idx="20">
                  <c:v>8 AM</c:v>
                </c:pt>
                <c:pt idx="21">
                  <c:v>8 PM</c:v>
                </c:pt>
                <c:pt idx="22">
                  <c:v>9 AM</c:v>
                </c:pt>
                <c:pt idx="23">
                  <c:v>9 PM</c:v>
                </c:pt>
              </c:strCache>
            </c:strRef>
          </c:cat>
          <c:val>
            <c:numRef>
              <c:f>'Late Night Analysis'!$C$2:$C$25</c:f>
              <c:numCache>
                <c:formatCode>General</c:formatCode>
                <c:ptCount val="24"/>
                <c:pt idx="0">
                  <c:v>29</c:v>
                </c:pt>
                <c:pt idx="1">
                  <c:v>23</c:v>
                </c:pt>
                <c:pt idx="2">
                  <c:v>22</c:v>
                </c:pt>
                <c:pt idx="3">
                  <c:v>1</c:v>
                </c:pt>
                <c:pt idx="4">
                  <c:v>17</c:v>
                </c:pt>
                <c:pt idx="5">
                  <c:v>17</c:v>
                </c:pt>
                <c:pt idx="6">
                  <c:v>27</c:v>
                </c:pt>
                <c:pt idx="7">
                  <c:v>16</c:v>
                </c:pt>
                <c:pt idx="8">
                  <c:v>24</c:v>
                </c:pt>
                <c:pt idx="9">
                  <c:v>24</c:v>
                </c:pt>
                <c:pt idx="10">
                  <c:v>25</c:v>
                </c:pt>
                <c:pt idx="11">
                  <c:v>11</c:v>
                </c:pt>
                <c:pt idx="12">
                  <c:v>23</c:v>
                </c:pt>
                <c:pt idx="13">
                  <c:v>16</c:v>
                </c:pt>
                <c:pt idx="14">
                  <c:v>23</c:v>
                </c:pt>
                <c:pt idx="15">
                  <c:v>5</c:v>
                </c:pt>
                <c:pt idx="16">
                  <c:v>27</c:v>
                </c:pt>
                <c:pt idx="17">
                  <c:v>6</c:v>
                </c:pt>
                <c:pt idx="18">
                  <c:v>43</c:v>
                </c:pt>
                <c:pt idx="19">
                  <c:v>3</c:v>
                </c:pt>
                <c:pt idx="20">
                  <c:v>37</c:v>
                </c:pt>
                <c:pt idx="21">
                  <c:v>4</c:v>
                </c:pt>
                <c:pt idx="22">
                  <c:v>20</c:v>
                </c:pt>
                <c:pt idx="2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9E-364B-AA08-426E36C4B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75283647"/>
        <c:axId val="150600159"/>
      </c:barChart>
      <c:catAx>
        <c:axId val="2752836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 (Pacific Time)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00159"/>
        <c:crosses val="autoZero"/>
        <c:auto val="1"/>
        <c:lblAlgn val="ctr"/>
        <c:lblOffset val="100"/>
        <c:noMultiLvlLbl val="0"/>
      </c:catAx>
      <c:valAx>
        <c:axId val="15060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Searches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283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[search_audit_reno.xlsx]Reason Graph!PivotTable1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'Reason Graph'!$B$3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606-8240-9BE6-AD7A81A8D09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606-8240-9BE6-AD7A81A8D09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606-8240-9BE6-AD7A81A8D09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606-8240-9BE6-AD7A81A8D09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606-8240-9BE6-AD7A81A8D09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606-8240-9BE6-AD7A81A8D09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606-8240-9BE6-AD7A81A8D09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606-8240-9BE6-AD7A81A8D09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606-8240-9BE6-AD7A81A8D09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606-8240-9BE6-AD7A81A8D09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606-8240-9BE6-AD7A81A8D09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7606-8240-9BE6-AD7A81A8D09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7606-8240-9BE6-AD7A81A8D099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7606-8240-9BE6-AD7A81A8D099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7606-8240-9BE6-AD7A81A8D099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7606-8240-9BE6-AD7A81A8D099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7606-8240-9BE6-AD7A81A8D099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7606-8240-9BE6-AD7A81A8D099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7606-8240-9BE6-AD7A81A8D099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7606-8240-9BE6-AD7A81A8D099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7606-8240-9BE6-AD7A81A8D099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7606-8240-9BE6-AD7A81A8D099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7606-8240-9BE6-AD7A81A8D099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7606-8240-9BE6-AD7A81A8D099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7606-8240-9BE6-AD7A81A8D099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7606-8240-9BE6-AD7A81A8D099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7606-8240-9BE6-AD7A81A8D099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7606-8240-9BE6-AD7A81A8D099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7606-8240-9BE6-AD7A81A8D099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7606-8240-9BE6-AD7A81A8D099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7606-8240-9BE6-AD7A81A8D099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7606-8240-9BE6-AD7A81A8D099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7606-8240-9BE6-AD7A81A8D099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7606-8240-9BE6-AD7A81A8D099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7606-8240-9BE6-AD7A81A8D099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7606-8240-9BE6-AD7A81A8D099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7606-8240-9BE6-AD7A81A8D099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7606-8240-9BE6-AD7A81A8D099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7606-8240-9BE6-AD7A81A8D099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7606-8240-9BE6-AD7A81A8D099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7606-8240-9BE6-AD7A81A8D099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7606-8240-9BE6-AD7A81A8D099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7606-8240-9BE6-AD7A81A8D099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7606-8240-9BE6-AD7A81A8D099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7606-8240-9BE6-AD7A81A8D099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7606-8240-9BE6-AD7A81A8D099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7606-8240-9BE6-AD7A81A8D099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7606-8240-9BE6-AD7A81A8D099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7606-8240-9BE6-AD7A81A8D099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7606-8240-9BE6-AD7A81A8D099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7606-8240-9BE6-AD7A81A8D099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7606-8240-9BE6-AD7A81A8D099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7606-8240-9BE6-AD7A81A8D099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7606-8240-9BE6-AD7A81A8D099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7606-8240-9BE6-AD7A81A8D099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7606-8240-9BE6-AD7A81A8D099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7606-8240-9BE6-AD7A81A8D099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7606-8240-9BE6-AD7A81A8D099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7606-8240-9BE6-AD7A81A8D099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7606-8240-9BE6-AD7A81A8D099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7606-8240-9BE6-AD7A81A8D099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7606-8240-9BE6-AD7A81A8D099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7606-8240-9BE6-AD7A81A8D099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7606-8240-9BE6-AD7A81A8D099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7606-8240-9BE6-AD7A81A8D099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7606-8240-9BE6-AD7A81A8D099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7606-8240-9BE6-AD7A81A8D099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7606-8240-9BE6-AD7A81A8D099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7606-8240-9BE6-AD7A81A8D099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7606-8240-9BE6-AD7A81A8D099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D-7606-8240-9BE6-AD7A81A8D099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F-7606-8240-9BE6-AD7A81A8D099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1-7606-8240-9BE6-AD7A81A8D099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3-7606-8240-9BE6-AD7A81A8D099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5-7606-8240-9BE6-AD7A81A8D099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7-7606-8240-9BE6-AD7A81A8D099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9-7606-8240-9BE6-AD7A81A8D099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B-7606-8240-9BE6-AD7A81A8D099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D-7606-8240-9BE6-AD7A81A8D099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F-7606-8240-9BE6-AD7A81A8D099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1-7606-8240-9BE6-AD7A81A8D099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3-7606-8240-9BE6-AD7A81A8D099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5-7606-8240-9BE6-AD7A81A8D099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7-7606-8240-9BE6-AD7A81A8D099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9-7606-8240-9BE6-AD7A81A8D099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B-7606-8240-9BE6-AD7A81A8D099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D-7606-8240-9BE6-AD7A81A8D099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F-7606-8240-9BE6-AD7A81A8D099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1-7606-8240-9BE6-AD7A81A8D099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3-7606-8240-9BE6-AD7A81A8D099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5-7606-8240-9BE6-AD7A81A8D099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7-7606-8240-9BE6-AD7A81A8D099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9-7606-8240-9BE6-AD7A81A8D099}"/>
              </c:ext>
            </c:extLst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B-7606-8240-9BE6-AD7A81A8D099}"/>
              </c:ext>
            </c:extLst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D-7606-8240-9BE6-AD7A81A8D099}"/>
              </c:ext>
            </c:extLst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F-7606-8240-9BE6-AD7A81A8D099}"/>
              </c:ext>
            </c:extLst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1-7606-8240-9BE6-AD7A81A8D099}"/>
              </c:ext>
            </c:extLst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3-7606-8240-9BE6-AD7A81A8D099}"/>
              </c:ext>
            </c:extLst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5-7606-8240-9BE6-AD7A81A8D099}"/>
              </c:ext>
            </c:extLst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7-7606-8240-9BE6-AD7A81A8D099}"/>
              </c:ext>
            </c:extLst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9-7606-8240-9BE6-AD7A81A8D099}"/>
              </c:ext>
            </c:extLst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B-7606-8240-9BE6-AD7A81A8D099}"/>
              </c:ext>
            </c:extLst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D-7606-8240-9BE6-AD7A81A8D099}"/>
              </c:ext>
            </c:extLst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F-7606-8240-9BE6-AD7A81A8D099}"/>
              </c:ext>
            </c:extLst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1-7606-8240-9BE6-AD7A81A8D099}"/>
              </c:ext>
            </c:extLst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3-7606-8240-9BE6-AD7A81A8D099}"/>
              </c:ext>
            </c:extLst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5-7606-8240-9BE6-AD7A81A8D099}"/>
              </c:ext>
            </c:extLst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7-7606-8240-9BE6-AD7A81A8D099}"/>
              </c:ext>
            </c:extLst>
          </c:dPt>
          <c:dPt>
            <c:idx val="1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9-7606-8240-9BE6-AD7A81A8D099}"/>
              </c:ext>
            </c:extLst>
          </c:dPt>
          <c:dPt>
            <c:idx val="1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B-7606-8240-9BE6-AD7A81A8D099}"/>
              </c:ext>
            </c:extLst>
          </c:dPt>
          <c:dPt>
            <c:idx val="1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D-7606-8240-9BE6-AD7A81A8D099}"/>
              </c:ext>
            </c:extLst>
          </c:dPt>
          <c:dPt>
            <c:idx val="1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F-7606-8240-9BE6-AD7A81A8D099}"/>
              </c:ext>
            </c:extLst>
          </c:dPt>
          <c:dPt>
            <c:idx val="1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1-7606-8240-9BE6-AD7A81A8D099}"/>
              </c:ext>
            </c:extLst>
          </c:dPt>
          <c:dPt>
            <c:idx val="1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3-7606-8240-9BE6-AD7A81A8D099}"/>
              </c:ext>
            </c:extLst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5-7606-8240-9BE6-AD7A81A8D099}"/>
              </c:ext>
            </c:extLst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7-7606-8240-9BE6-AD7A81A8D099}"/>
              </c:ext>
            </c:extLst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9-7606-8240-9BE6-AD7A81A8D099}"/>
              </c:ext>
            </c:extLst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B-7606-8240-9BE6-AD7A81A8D099}"/>
              </c:ext>
            </c:extLst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D-7606-8240-9BE6-AD7A81A8D099}"/>
              </c:ext>
            </c:extLst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F-7606-8240-9BE6-AD7A81A8D099}"/>
              </c:ext>
            </c:extLst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1-7606-8240-9BE6-AD7A81A8D099}"/>
              </c:ext>
            </c:extLst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3-7606-8240-9BE6-AD7A81A8D099}"/>
              </c:ext>
            </c:extLst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5-7606-8240-9BE6-AD7A81A8D099}"/>
              </c:ext>
            </c:extLst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7-7606-8240-9BE6-AD7A81A8D099}"/>
              </c:ext>
            </c:extLst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9-7606-8240-9BE6-AD7A81A8D099}"/>
              </c:ext>
            </c:extLst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B-7606-8240-9BE6-AD7A81A8D099}"/>
              </c:ext>
            </c:extLst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D-7606-8240-9BE6-AD7A81A8D099}"/>
              </c:ext>
            </c:extLst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F-7606-8240-9BE6-AD7A81A8D099}"/>
              </c:ext>
            </c:extLst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1-7606-8240-9BE6-AD7A81A8D099}"/>
              </c:ext>
            </c:extLst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3-7606-8240-9BE6-AD7A81A8D099}"/>
              </c:ext>
            </c:extLst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5-7606-8240-9BE6-AD7A81A8D099}"/>
              </c:ext>
            </c:extLst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7-7606-8240-9BE6-AD7A81A8D099}"/>
              </c:ext>
            </c:extLst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9-7606-8240-9BE6-AD7A81A8D099}"/>
              </c:ext>
            </c:extLst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B-7606-8240-9BE6-AD7A81A8D099}"/>
              </c:ext>
            </c:extLst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D-C486-4347-9D86-E1700896C907}"/>
              </c:ext>
            </c:extLst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F-C486-4347-9D86-E1700896C907}"/>
              </c:ext>
            </c:extLst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1-C486-4347-9D86-E1700896C907}"/>
              </c:ext>
            </c:extLst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3-C486-4347-9D86-E1700896C907}"/>
              </c:ext>
            </c:extLst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5-A6C9-5D4D-810D-872794A27244}"/>
              </c:ext>
            </c:extLst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7-A6C9-5D4D-810D-872794A27244}"/>
              </c:ext>
            </c:extLst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9-A6C9-5D4D-810D-872794A27244}"/>
              </c:ext>
            </c:extLst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B-A6C9-5D4D-810D-872794A27244}"/>
              </c:ext>
            </c:extLst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D-A6C9-5D4D-810D-872794A27244}"/>
              </c:ext>
            </c:extLst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F-A6C9-5D4D-810D-872794A27244}"/>
              </c:ext>
            </c:extLst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1-A6C9-5D4D-810D-872794A27244}"/>
              </c:ext>
            </c:extLst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3-A6C9-5D4D-810D-872794A27244}"/>
              </c:ext>
            </c:extLst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5-A6C9-5D4D-810D-872794A27244}"/>
              </c:ext>
            </c:extLst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7-6CFA-1949-8759-8BFD7F5E84EA}"/>
              </c:ext>
            </c:extLst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9-3DDE-814C-B53A-4E98EEC18772}"/>
              </c:ext>
            </c:extLst>
          </c:dPt>
          <c:cat>
            <c:strRef>
              <c:f>'Reason Graph'!$A$4:$A$33</c:f>
              <c:strCache>
                <c:ptCount val="30"/>
                <c:pt idx="0">
                  <c:v>drug investigation</c:v>
                </c:pt>
                <c:pt idx="1">
                  <c:v>stolen veh</c:v>
                </c:pt>
                <c:pt idx="2">
                  <c:v>suspect</c:v>
                </c:pt>
                <c:pt idx="3">
                  <c:v>Suspect Veh</c:v>
                </c:pt>
                <c:pt idx="4">
                  <c:v>suspect vehicle</c:v>
                </c:pt>
                <c:pt idx="5">
                  <c:v>wanted subject</c:v>
                </c:pt>
                <c:pt idx="6">
                  <c:v>(blank)</c:v>
                </c:pt>
                <c:pt idx="7">
                  <c:v>investigation</c:v>
                </c:pt>
                <c:pt idx="8">
                  <c:v>Invest</c:v>
                </c:pt>
                <c:pt idx="9">
                  <c:v>Suspect Vehicle search</c:v>
                </c:pt>
                <c:pt idx="10">
                  <c:v>case</c:v>
                </c:pt>
                <c:pt idx="11">
                  <c:v>Investigate</c:v>
                </c:pt>
                <c:pt idx="12">
                  <c:v>Search for possible GTA</c:v>
                </c:pt>
                <c:pt idx="13">
                  <c:v>suspect veh in dop from la fiesta</c:v>
                </c:pt>
                <c:pt idx="14">
                  <c:v>UNLAW MV</c:v>
                </c:pt>
                <c:pt idx="15">
                  <c:v>Hit and run</c:v>
                </c:pt>
                <c:pt idx="16">
                  <c:v>Fraudulent use of CC</c:v>
                </c:pt>
                <c:pt idx="17">
                  <c:v>Narc Inv Surveillance- Green Motorcycle</c:v>
                </c:pt>
                <c:pt idx="18">
                  <c:v>GTA</c:v>
                </c:pt>
                <c:pt idx="19">
                  <c:v>Locate involved vehicle</c:v>
                </c:pt>
                <c:pt idx="20">
                  <c:v>Case Follow-Up</c:v>
                </c:pt>
                <c:pt idx="21">
                  <c:v>CGIC</c:v>
                </c:pt>
                <c:pt idx="22">
                  <c:v>Felony suspect</c:v>
                </c:pt>
                <c:pt idx="23">
                  <c:v>VEH VS PED</c:v>
                </c:pt>
                <c:pt idx="24">
                  <c:v>Sex Crimes Investigation</c:v>
                </c:pt>
                <c:pt idx="25">
                  <c:v>stolen</c:v>
                </c:pt>
                <c:pt idx="26">
                  <c:v>r17405</c:v>
                </c:pt>
                <c:pt idx="27">
                  <c:v>RESEARCH</c:v>
                </c:pt>
                <c:pt idx="28">
                  <c:v>locate video of crime</c:v>
                </c:pt>
                <c:pt idx="29">
                  <c:v>collision</c:v>
                </c:pt>
              </c:strCache>
            </c:strRef>
          </c:cat>
          <c:val>
            <c:numRef>
              <c:f>'Reason Graph'!$B$4:$B$33</c:f>
              <c:numCache>
                <c:formatCode>General</c:formatCode>
                <c:ptCount val="30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446</c:v>
                </c:pt>
                <c:pt idx="7">
                  <c:v>21</c:v>
                </c:pt>
                <c:pt idx="8">
                  <c:v>18</c:v>
                </c:pt>
                <c:pt idx="9">
                  <c:v>1</c:v>
                </c:pt>
                <c:pt idx="10">
                  <c:v>11</c:v>
                </c:pt>
                <c:pt idx="11">
                  <c:v>6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4</c:v>
                </c:pt>
                <c:pt idx="17">
                  <c:v>2</c:v>
                </c:pt>
                <c:pt idx="18">
                  <c:v>5</c:v>
                </c:pt>
                <c:pt idx="19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4</c:v>
                </c:pt>
                <c:pt idx="25">
                  <c:v>1</c:v>
                </c:pt>
                <c:pt idx="26">
                  <c:v>1</c:v>
                </c:pt>
                <c:pt idx="27">
                  <c:v>4</c:v>
                </c:pt>
                <c:pt idx="28">
                  <c:v>1</c:v>
                </c:pt>
                <c:pt idx="2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4D-B74D-8631-8F93C4A9AF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'Total Searches'</a:t>
            </a:r>
          </a:p>
        </c:rich>
      </c:tx>
      <c:layout>
        <c:manualLayout>
          <c:xMode val="edge"/>
          <c:yMode val="edge"/>
          <c:x val="0.36494444444444446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'Searches by Hour'!$B$1</c:f>
              <c:strCache>
                <c:ptCount val="1"/>
                <c:pt idx="0">
                  <c:v>Total Searches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'Searches by Hour'!$A$2:$A$25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'Searches by Hour'!$B$2:$B$25</c:f>
              <c:numCache>
                <c:formatCode>General</c:formatCode>
                <c:ptCount val="24"/>
                <c:pt idx="0">
                  <c:v>39</c:v>
                </c:pt>
                <c:pt idx="1">
                  <c:v>36</c:v>
                </c:pt>
                <c:pt idx="2">
                  <c:v>28</c:v>
                </c:pt>
                <c:pt idx="3">
                  <c:v>35</c:v>
                </c:pt>
                <c:pt idx="4">
                  <c:v>30</c:v>
                </c:pt>
                <c:pt idx="5">
                  <c:v>28</c:v>
                </c:pt>
                <c:pt idx="6">
                  <c:v>39</c:v>
                </c:pt>
                <c:pt idx="7">
                  <c:v>50</c:v>
                </c:pt>
                <c:pt idx="8">
                  <c:v>52</c:v>
                </c:pt>
                <c:pt idx="9">
                  <c:v>21</c:v>
                </c:pt>
                <c:pt idx="10">
                  <c:v>24</c:v>
                </c:pt>
                <c:pt idx="11">
                  <c:v>20</c:v>
                </c:pt>
                <c:pt idx="12">
                  <c:v>21</c:v>
                </c:pt>
                <c:pt idx="13">
                  <c:v>27</c:v>
                </c:pt>
                <c:pt idx="14">
                  <c:v>27</c:v>
                </c:pt>
                <c:pt idx="15">
                  <c:v>13</c:v>
                </c:pt>
                <c:pt idx="16">
                  <c:v>18</c:v>
                </c:pt>
                <c:pt idx="17">
                  <c:v>5</c:v>
                </c:pt>
                <c:pt idx="18">
                  <c:v>7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3</c:v>
                </c:pt>
                <c:pt idx="2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39-6A49-9FD5-39486621A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0205599"/>
        <c:axId val="1208716095"/>
      </c:barChart>
      <c:catAx>
        <c:axId val="1650205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 (Pacific)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716095"/>
        <c:crosses val="autoZero"/>
        <c:auto val="1"/>
        <c:lblAlgn val="ctr"/>
        <c:lblOffset val="100"/>
        <c:noMultiLvlLbl val="0"/>
      </c:catAx>
      <c:valAx>
        <c:axId val="120871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Searches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205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Network Counts: Blank vs. Has Reason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'Network Analysis'!$B$39</c:f>
              <c:strCache>
                <c:ptCount val="1"/>
                <c:pt idx="0">
                  <c:v>Has Reason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strRef>
              <c:f>'Network Analysis'!$A$40:$A$49</c:f>
              <c:strCache>
                <c:ptCount val="10"/>
                <c:pt idx="0">
                  <c:v>Net: 2</c:v>
                </c:pt>
                <c:pt idx="1">
                  <c:v>Net: 3</c:v>
                </c:pt>
                <c:pt idx="2">
                  <c:v>Net: 36</c:v>
                </c:pt>
                <c:pt idx="3">
                  <c:v>Net: 15</c:v>
                </c:pt>
                <c:pt idx="4">
                  <c:v>Net: 531</c:v>
                </c:pt>
                <c:pt idx="5">
                  <c:v>Net: 1</c:v>
                </c:pt>
                <c:pt idx="6">
                  <c:v>Net: 433</c:v>
                </c:pt>
                <c:pt idx="7">
                  <c:v>Net: 532</c:v>
                </c:pt>
                <c:pt idx="8">
                  <c:v>Net: 432</c:v>
                </c:pt>
                <c:pt idx="9">
                  <c:v>Net: 35</c:v>
                </c:pt>
              </c:strCache>
            </c:strRef>
          </c:cat>
          <c:val>
            <c:numRef>
              <c:f>'Network Analysis'!$B$40:$B$49</c:f>
              <c:numCache>
                <c:formatCode>General</c:formatCode>
                <c:ptCount val="10"/>
                <c:pt idx="0">
                  <c:v>0</c:v>
                </c:pt>
                <c:pt idx="1">
                  <c:v>64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6C-0444-8E0E-4A97F66FEFCD}"/>
            </c:ext>
          </c:extLst>
        </c:ser>
        <c:ser>
          <c:idx val="1"/>
          <c:order val="1"/>
          <c:tx>
            <c:strRef>
              <c:f>'Network Analysis'!$C$39</c:f>
              <c:strCache>
                <c:ptCount val="1"/>
                <c:pt idx="0">
                  <c:v>Blank Reason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'Network Analysis'!$A$40:$A$49</c:f>
              <c:strCache>
                <c:ptCount val="10"/>
                <c:pt idx="0">
                  <c:v>Net: 2</c:v>
                </c:pt>
                <c:pt idx="1">
                  <c:v>Net: 3</c:v>
                </c:pt>
                <c:pt idx="2">
                  <c:v>Net: 36</c:v>
                </c:pt>
                <c:pt idx="3">
                  <c:v>Net: 15</c:v>
                </c:pt>
                <c:pt idx="4">
                  <c:v>Net: 531</c:v>
                </c:pt>
                <c:pt idx="5">
                  <c:v>Net: 1</c:v>
                </c:pt>
                <c:pt idx="6">
                  <c:v>Net: 433</c:v>
                </c:pt>
                <c:pt idx="7">
                  <c:v>Net: 532</c:v>
                </c:pt>
                <c:pt idx="8">
                  <c:v>Net: 432</c:v>
                </c:pt>
                <c:pt idx="9">
                  <c:v>Net: 35</c:v>
                </c:pt>
              </c:strCache>
            </c:strRef>
          </c:cat>
          <c:val>
            <c:numRef>
              <c:f>'Network Analysis'!$C$40:$C$49</c:f>
              <c:numCache>
                <c:formatCode>General</c:formatCode>
                <c:ptCount val="10"/>
                <c:pt idx="0">
                  <c:v>1</c:v>
                </c:pt>
                <c:pt idx="1">
                  <c:v>226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6C-0444-8E0E-4A97F66FE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9610111"/>
        <c:axId val="383442799"/>
      </c:barChart>
      <c:catAx>
        <c:axId val="1496101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Network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442799"/>
        <c:crosses val="autoZero"/>
        <c:auto val="1"/>
        <c:lblAlgn val="ctr"/>
        <c:lblOffset val="100"/>
        <c:noMultiLvlLbl val="0"/>
      </c:catAx>
      <c:valAx>
        <c:axId val="383442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Searches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10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Blank Rate vs. Network Count (Top 10)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'Network Analysis'!$B$53</c:f>
              <c:strCache>
                <c:ptCount val="1"/>
                <c:pt idx="0">
                  <c:v>% Blank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'Network Analysis'!$A$54:$A$63</c:f>
              <c:numCache>
                <c:formatCode>General</c:formatCode>
                <c:ptCount val="10"/>
                <c:pt idx="0">
                  <c:v>2</c:v>
                </c:pt>
                <c:pt idx="1">
                  <c:v>3</c:v>
                </c:pt>
                <c:pt idx="2">
                  <c:v>36</c:v>
                </c:pt>
                <c:pt idx="3">
                  <c:v>15</c:v>
                </c:pt>
                <c:pt idx="4">
                  <c:v>531</c:v>
                </c:pt>
                <c:pt idx="5">
                  <c:v>1</c:v>
                </c:pt>
                <c:pt idx="6">
                  <c:v>433</c:v>
                </c:pt>
                <c:pt idx="7">
                  <c:v>532</c:v>
                </c:pt>
                <c:pt idx="8">
                  <c:v>432</c:v>
                </c:pt>
                <c:pt idx="9">
                  <c:v>35</c:v>
                </c:pt>
              </c:numCache>
            </c:numRef>
          </c:xVal>
          <c:yVal>
            <c:numRef>
              <c:f>'Network Analysis'!$B$54:$B$63</c:f>
              <c:numCache>
                <c:formatCode>0.0%</c:formatCode>
                <c:ptCount val="10"/>
                <c:pt idx="0">
                  <c:v>1</c:v>
                </c:pt>
                <c:pt idx="1">
                  <c:v>0.77931034482758621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7B-5842-934D-0A8D73A19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3203135"/>
        <c:axId val="568381055"/>
      </c:scatterChart>
      <c:valAx>
        <c:axId val="493203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Networks Queried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381055"/>
        <c:crosses val="autoZero"/>
        <c:crossBetween val="midCat"/>
      </c:valAx>
      <c:valAx>
        <c:axId val="56838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Blank Reason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203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8EEDDE-DBD6-EEF8-9A4C-ED48162E25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1498600</xdr:colOff>
      <xdr:row>48</xdr:row>
      <xdr:rowOff>127000</xdr:rowOff>
    </xdr:from>
    <xdr:to>
      <xdr:col>6</xdr:col>
      <xdr:colOff>2311400</xdr:colOff>
      <xdr:row>55</xdr:row>
      <xdr:rowOff>114300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4" name="Date (Pacific)">
              <a:extLst>
                <a:ext uri="{FF2B5EF4-FFF2-40B4-BE49-F238E27FC236}">
                  <a16:creationId xmlns:a16="http://schemas.microsoft.com/office/drawing/2014/main" id="{EC6B9948-0747-CC8C-D66D-DDE051D7A8B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 (Pacific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19800" y="9271000"/>
              <a:ext cx="11137900" cy="132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2</xdr:col>
      <xdr:colOff>889000</xdr:colOff>
      <xdr:row>0</xdr:row>
      <xdr:rowOff>177800</xdr:rowOff>
    </xdr:from>
    <xdr:to>
      <xdr:col>7</xdr:col>
      <xdr:colOff>381000</xdr:colOff>
      <xdr:row>43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2DF365B-C617-730E-99DD-1B0FD9A934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546100</xdr:colOff>
      <xdr:row>2</xdr:row>
      <xdr:rowOff>0</xdr:rowOff>
    </xdr:from>
    <xdr:to>
      <xdr:col>12</xdr:col>
      <xdr:colOff>546100</xdr:colOff>
      <xdr:row>24</xdr:row>
      <xdr:rowOff>63500</xdr:rowOff>
    </xdr:to>
    <xdr:graphicFrame macro="">
      <xdr:nvGraphicFramePr>
        <xdr:cNvPr id="2" name="Chart 1" descr="Chart type: Line. 'Total Searches'&#10;&#10;Description automatically generated">
          <a:extLst>
            <a:ext uri="{FF2B5EF4-FFF2-40B4-BE49-F238E27FC236}">
              <a16:creationId xmlns:a16="http://schemas.microsoft.com/office/drawing/2014/main" id="{0763F550-64B2-D8B6-9490-CB87E49600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19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122B8C-EE4B-F1B6-E765-1537643992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23</xdr:row>
      <xdr:rowOff>0</xdr:rowOff>
    </xdr:from>
    <xdr:to>
      <xdr:col>19</xdr:col>
      <xdr:colOff>0</xdr:colOff>
      <xdr:row>43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84A824-02CD-786A-53AD-BEF807FAFB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omas Hammock" refreshedDate="46138.409901041668" createdVersion="8" refreshedVersion="8" minRefreshableVersion="3" recordCount="1521" xr:uid="{DD8B81AD-E158-3C40-BF86-01D5043CE90D}">
  <cacheSource type="worksheet">
    <worksheetSource ref="A1:I1048576" sheet="Search Audit"/>
  </cacheSource>
  <cacheFields count="9">
    <cacheField name="Search ID" numFmtId="0">
      <sharedItems containsBlank="1"/>
    </cacheField>
    <cacheField name="User ID" numFmtId="0">
      <sharedItems containsBlank="1"/>
    </cacheField>
    <cacheField name="Search Date (UTC/Zulu)" numFmtId="0">
      <sharedItems containsNonDate="0" containsDate="1" containsString="0" containsBlank="1" minDate="2026-03-26T17:11:54" maxDate="2026-04-25T16:00:53"/>
    </cacheField>
    <cacheField name="Network Count" numFmtId="0">
      <sharedItems containsString="0" containsBlank="1" containsNumber="1" containsInteger="1" minValue="1" maxValue="6093"/>
    </cacheField>
    <cacheField name="Reason" numFmtId="0">
      <sharedItems containsBlank="1" containsMixedTypes="1" containsNumber="1" minValue="20" maxValue="49949" count="40">
        <m/>
        <s v="investigation"/>
        <s v="Invest"/>
        <s v="Suspect Vehicle search"/>
        <s v="wanted subject"/>
        <s v="case"/>
        <s v="Investigate"/>
        <s v="suspect"/>
        <s v="Search for possible GTA"/>
        <s v="stolen veh"/>
        <s v="suspect veh in dop from la fiesta"/>
        <s v="UNLAW MV"/>
        <s v="Suspect Veh"/>
        <s v="Hit and run"/>
        <s v="Fraudulent use of CC"/>
        <s v="Narc Inv Surveillance- Green Motorcycle"/>
        <s v="drug investigation"/>
        <s v="GTA"/>
        <s v="Locate involved vehicle"/>
        <s v="suspect vehicle"/>
        <s v="Case Follow-Up"/>
        <s v="CGIC"/>
        <s v="Felony suspect"/>
        <s v="VEH VS PED"/>
        <s v="Sex Crimes Investigation"/>
        <s v="stolen"/>
        <s v="r17405"/>
        <s v="RESEARCH"/>
        <s v="locate video of crime"/>
        <s v="collision"/>
        <n v="288" u="1"/>
        <n v="10851" u="1"/>
        <n v="1036" u="1"/>
        <n v="836" u="1"/>
        <n v="5150" u="1"/>
        <n v="2800.2" u="1"/>
        <n v="207" u="1"/>
        <n v="49949" u="1"/>
        <n v="242" u="1"/>
        <n v="20" u="1"/>
      </sharedItems>
    </cacheField>
    <cacheField name="Search Date (Pacific)" numFmtId="0">
      <sharedItems containsNonDate="0" containsDate="1" containsString="0" containsBlank="1" minDate="2026-03-26T10:11:54" maxDate="2026-04-25T09:00:53"/>
    </cacheField>
    <cacheField name="Date (Pacific)" numFmtId="0">
      <sharedItems containsNonDate="0" containsDate="1" containsString="0" containsBlank="1" minDate="2026-03-26T00:00:00" maxDate="2026-04-26T00:00:00" count="32"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m/>
      </sharedItems>
    </cacheField>
    <cacheField name="Day of Week" numFmtId="0">
      <sharedItems containsBlank="1"/>
    </cacheField>
    <cacheField name="Hour (Pacific)" numFmtId="0">
      <sharedItems containsString="0" containsBlank="1" containsNumber="1" containsInteger="1" minValue="0" maxValue="23"/>
    </cacheField>
  </cacheFields>
  <extLst>
    <ext xmlns:x14="http://schemas.microsoft.com/office/spreadsheetml/2009/9/main" uri="{725AE2AE-9491-48be-B2B4-4EB974FC3084}">
      <x14:pivotCacheDefinition pivotCacheId="188289512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1">
  <r>
    <s v="f8f149f8-d49b-47ce-94f7-f71836b1c213"/>
    <s v="***"/>
    <d v="2026-03-26T17:11:54"/>
    <n v="3"/>
    <x v="0"/>
    <d v="2026-03-26T10:11:54"/>
    <x v="0"/>
    <s v="Thursday"/>
    <n v="10"/>
  </r>
  <r>
    <s v="0245d710-0f42-4536-8da4-e89d0b7fca66"/>
    <s v="***"/>
    <d v="2026-03-26T17:50:02"/>
    <n v="202"/>
    <x v="0"/>
    <d v="2026-03-26T10:50:02"/>
    <x v="0"/>
    <s v="Thursday"/>
    <n v="10"/>
  </r>
  <r>
    <s v="450a2436-ffb9-4091-870e-bb577d83e740"/>
    <s v="***"/>
    <d v="2026-03-26T18:13:24"/>
    <n v="3"/>
    <x v="0"/>
    <d v="2026-03-26T11:13:24"/>
    <x v="0"/>
    <s v="Thursday"/>
    <n v="11"/>
  </r>
  <r>
    <s v="1f9a2b8c-06f9-4d82-82c9-88bec1416b8d"/>
    <s v="***"/>
    <d v="2026-03-26T18:13:57"/>
    <n v="3"/>
    <x v="0"/>
    <d v="2026-03-26T11:13:57"/>
    <x v="0"/>
    <s v="Thursday"/>
    <n v="11"/>
  </r>
  <r>
    <s v="35c97636-cceb-4c8f-ab05-5fba5fad5db1"/>
    <s v="***"/>
    <d v="2026-03-26T18:20:10"/>
    <n v="202"/>
    <x v="0"/>
    <d v="2026-03-26T11:20:10"/>
    <x v="0"/>
    <s v="Thursday"/>
    <n v="11"/>
  </r>
  <r>
    <s v="ec8cd435-9104-4b33-8aff-e4c6efc47069"/>
    <s v="***"/>
    <d v="2026-03-26T18:37:55"/>
    <n v="3"/>
    <x v="0"/>
    <d v="2026-03-26T11:37:55"/>
    <x v="0"/>
    <s v="Thursday"/>
    <n v="11"/>
  </r>
  <r>
    <s v="9deb58ee-6fa6-4945-8f0d-2552ad873694"/>
    <s v="***"/>
    <d v="2026-03-26T19:01:18"/>
    <n v="202"/>
    <x v="0"/>
    <d v="2026-03-26T12:01:18"/>
    <x v="0"/>
    <s v="Thursday"/>
    <n v="12"/>
  </r>
  <r>
    <s v="ee8e65e1-754b-414f-923e-893043d18688"/>
    <s v="***"/>
    <d v="2026-03-26T19:03:42"/>
    <n v="3"/>
    <x v="0"/>
    <d v="2026-03-26T12:03:42"/>
    <x v="0"/>
    <s v="Thursday"/>
    <n v="12"/>
  </r>
  <r>
    <s v="a8b6e533-f5d8-4d02-bdd8-2c5918e24a5a"/>
    <s v="***"/>
    <d v="2026-03-26T19:37:04"/>
    <n v="3"/>
    <x v="0"/>
    <d v="2026-03-26T12:37:04"/>
    <x v="0"/>
    <s v="Thursday"/>
    <n v="12"/>
  </r>
  <r>
    <s v="8b389137-3d8f-4354-a0ba-a86eead912b0"/>
    <s v="***"/>
    <d v="2026-03-26T20:02:53"/>
    <n v="269"/>
    <x v="0"/>
    <d v="2026-03-26T13:02:53"/>
    <x v="0"/>
    <s v="Thursday"/>
    <n v="13"/>
  </r>
  <r>
    <s v="fba041cb-c412-4eef-a62b-7004f0327c7d"/>
    <s v="***"/>
    <d v="2026-03-26T20:03:08"/>
    <n v="3"/>
    <x v="0"/>
    <d v="2026-03-26T13:03:08"/>
    <x v="0"/>
    <s v="Thursday"/>
    <n v="13"/>
  </r>
  <r>
    <s v="9128dc15-c017-4362-91c9-21df0dd02fa2"/>
    <s v="***"/>
    <d v="2026-03-26T20:14:19"/>
    <n v="202"/>
    <x v="0"/>
    <d v="2026-03-26T13:14:19"/>
    <x v="0"/>
    <s v="Thursday"/>
    <n v="13"/>
  </r>
  <r>
    <s v="ef1d04b2-13c6-43f2-a615-2da796a9b6da"/>
    <s v="***"/>
    <d v="2026-03-26T21:32:56"/>
    <n v="3"/>
    <x v="0"/>
    <d v="2026-03-26T14:32:56"/>
    <x v="0"/>
    <s v="Thursday"/>
    <n v="14"/>
  </r>
  <r>
    <s v="d19bf5f8-21ae-4b8e-838a-5811d014ef75"/>
    <s v="***"/>
    <d v="2026-03-26T23:13:26"/>
    <n v="3"/>
    <x v="0"/>
    <d v="2026-03-26T16:13:26"/>
    <x v="0"/>
    <s v="Thursday"/>
    <n v="16"/>
  </r>
  <r>
    <s v="25eb2c00-3ed3-49ce-8cdc-e37b77b598e8"/>
    <s v="***"/>
    <d v="2026-03-27T01:52:35"/>
    <n v="3"/>
    <x v="0"/>
    <d v="2026-03-26T18:52:35"/>
    <x v="0"/>
    <s v="Thursday"/>
    <n v="18"/>
  </r>
  <r>
    <s v="3bf1e235-c174-42c7-b634-9c5f18b60543"/>
    <s v="***"/>
    <d v="2026-03-27T06:47:29"/>
    <n v="3"/>
    <x v="1"/>
    <d v="2026-03-26T23:47:29"/>
    <x v="0"/>
    <s v="Thursday"/>
    <n v="23"/>
  </r>
  <r>
    <s v="6d25ff15-d390-41da-898e-24079c7cf91a"/>
    <s v="***"/>
    <d v="2026-03-27T14:55:53"/>
    <n v="202"/>
    <x v="0"/>
    <d v="2026-03-27T07:55:53"/>
    <x v="1"/>
    <s v="Friday"/>
    <n v="7"/>
  </r>
  <r>
    <s v="4008265e-1227-4500-8cee-09bc72cc6c53"/>
    <s v="***"/>
    <d v="2026-03-27T15:08:37"/>
    <n v="202"/>
    <x v="0"/>
    <d v="2026-03-27T08:08:37"/>
    <x v="1"/>
    <s v="Friday"/>
    <n v="8"/>
  </r>
  <r>
    <s v="91f824ab-c6af-4fc6-ab76-47762aa88fc5"/>
    <s v="***"/>
    <d v="2026-03-27T16:10:30"/>
    <n v="202"/>
    <x v="0"/>
    <d v="2026-03-27T09:10:30"/>
    <x v="1"/>
    <s v="Friday"/>
    <n v="9"/>
  </r>
  <r>
    <s v="76fda84b-49bf-4580-9502-a85c0b1cbf03"/>
    <s v="***"/>
    <d v="2026-03-27T20:42:28"/>
    <n v="202"/>
    <x v="0"/>
    <d v="2026-03-27T13:42:28"/>
    <x v="1"/>
    <s v="Friday"/>
    <n v="13"/>
  </r>
  <r>
    <s v="ade7f1cb-9d51-4225-8831-69fb0c86faa0"/>
    <s v="***"/>
    <d v="2026-03-27T22:54:25"/>
    <n v="3"/>
    <x v="0"/>
    <d v="2026-03-27T15:54:25"/>
    <x v="1"/>
    <s v="Friday"/>
    <n v="15"/>
  </r>
  <r>
    <s v="4799764d-8b3f-4681-83bf-d99d83493e3a"/>
    <s v="***"/>
    <d v="2026-03-27T23:17:15"/>
    <n v="3"/>
    <x v="0"/>
    <d v="2026-03-27T16:17:15"/>
    <x v="1"/>
    <s v="Friday"/>
    <n v="16"/>
  </r>
  <r>
    <s v="320fdbc6-a537-4528-a163-0ce87a2353c5"/>
    <s v="***"/>
    <d v="2026-03-28T01:54:57"/>
    <n v="3"/>
    <x v="0"/>
    <d v="2026-03-27T18:54:57"/>
    <x v="1"/>
    <s v="Friday"/>
    <n v="18"/>
  </r>
  <r>
    <s v="445b9545-5a1b-4b21-a109-f2d179191d1b"/>
    <s v="***"/>
    <d v="2026-03-28T03:02:34"/>
    <n v="269"/>
    <x v="0"/>
    <d v="2026-03-27T20:02:34"/>
    <x v="1"/>
    <s v="Friday"/>
    <n v="20"/>
  </r>
  <r>
    <s v="8ed16535-d59e-41ca-b252-2a281b95d1fa"/>
    <s v="***"/>
    <d v="2026-03-28T18:56:10"/>
    <n v="3"/>
    <x v="0"/>
    <d v="2026-03-28T11:56:10"/>
    <x v="2"/>
    <s v="Saturday"/>
    <n v="11"/>
  </r>
  <r>
    <s v="77a90166-da1b-4ead-83b3-167e76428514"/>
    <s v="***"/>
    <d v="2026-03-28T19:06:59"/>
    <n v="3"/>
    <x v="0"/>
    <d v="2026-03-28T12:06:59"/>
    <x v="2"/>
    <s v="Saturday"/>
    <n v="12"/>
  </r>
  <r>
    <s v="97b2e435-1ec6-4c1d-88dd-7319feb92713"/>
    <s v="***"/>
    <d v="2026-03-28T20:03:57"/>
    <n v="3"/>
    <x v="0"/>
    <d v="2026-03-28T13:03:57"/>
    <x v="2"/>
    <s v="Saturday"/>
    <n v="13"/>
  </r>
  <r>
    <s v="82ce7be4-7d43-4177-b0f3-77942999c01d"/>
    <s v="***"/>
    <d v="2026-03-29T03:08:37"/>
    <n v="269"/>
    <x v="0"/>
    <d v="2026-03-28T20:08:37"/>
    <x v="2"/>
    <s v="Saturday"/>
    <n v="20"/>
  </r>
  <r>
    <s v="7f23a352-93a3-4fb7-ac60-f42232284dc9"/>
    <s v="***"/>
    <d v="2026-03-29T06:27:04"/>
    <n v="3"/>
    <x v="0"/>
    <d v="2026-03-28T23:27:04"/>
    <x v="2"/>
    <s v="Saturday"/>
    <n v="23"/>
  </r>
  <r>
    <s v="7e63eebd-85f9-4234-b8ca-477dd1044a90"/>
    <s v="***"/>
    <d v="2026-03-29T07:37:22"/>
    <n v="269"/>
    <x v="0"/>
    <d v="2026-03-29T00:37:22"/>
    <x v="3"/>
    <s v="Sunday"/>
    <n v="0"/>
  </r>
  <r>
    <s v="b96d2dca-261b-44ed-8fdd-a95e5b7bb74f"/>
    <s v="***"/>
    <d v="2026-03-29T09:50:22"/>
    <n v="269"/>
    <x v="0"/>
    <d v="2026-03-29T02:50:22"/>
    <x v="3"/>
    <s v="Sunday"/>
    <n v="2"/>
  </r>
  <r>
    <s v="886b54fd-8a50-4186-b0be-0146973b8fea"/>
    <s v="***"/>
    <d v="2026-03-29T10:00:22"/>
    <n v="269"/>
    <x v="0"/>
    <d v="2026-03-29T03:00:22"/>
    <x v="3"/>
    <s v="Sunday"/>
    <n v="3"/>
  </r>
  <r>
    <s v="8c0f5006-9dad-4282-a4bb-5582ca1f30fc"/>
    <s v="***"/>
    <d v="2026-03-29T15:43:56"/>
    <n v="202"/>
    <x v="0"/>
    <d v="2026-03-29T08:43:56"/>
    <x v="3"/>
    <s v="Sunday"/>
    <n v="8"/>
  </r>
  <r>
    <s v="566b1cfc-a7ca-4bfa-817b-519dc20cad78"/>
    <s v="***"/>
    <d v="2026-03-29T21:33:02"/>
    <n v="269"/>
    <x v="0"/>
    <d v="2026-03-29T14:33:02"/>
    <x v="3"/>
    <s v="Sunday"/>
    <n v="14"/>
  </r>
  <r>
    <s v="ac8eea1e-c2d8-4d0b-8f87-e428017be5b6"/>
    <s v="***"/>
    <d v="2026-03-30T08:19:26"/>
    <n v="269"/>
    <x v="0"/>
    <d v="2026-03-30T01:19:26"/>
    <x v="4"/>
    <s v="Monday"/>
    <n v="1"/>
  </r>
  <r>
    <s v="96919256-16e4-4b36-ad37-46b08c3d4e38"/>
    <s v="***"/>
    <d v="2026-03-30T12:53:09"/>
    <n v="269"/>
    <x v="0"/>
    <d v="2026-03-30T05:53:09"/>
    <x v="4"/>
    <s v="Monday"/>
    <n v="5"/>
  </r>
  <r>
    <s v="0ad81a13-1e4d-4a57-9fbd-fe8c6ff32de7"/>
    <s v="***"/>
    <d v="2026-03-30T15:38:17"/>
    <n v="3"/>
    <x v="2"/>
    <d v="2026-03-30T08:38:17"/>
    <x v="4"/>
    <s v="Monday"/>
    <n v="8"/>
  </r>
  <r>
    <s v="221da6cc-a2ec-465d-9b7d-52c2a148dd13"/>
    <s v="***"/>
    <d v="2026-03-30T16:08:24"/>
    <n v="202"/>
    <x v="0"/>
    <d v="2026-03-30T09:08:24"/>
    <x v="4"/>
    <s v="Monday"/>
    <n v="9"/>
  </r>
  <r>
    <s v="47dd147f-39fd-451a-9c2b-9f54129de928"/>
    <s v="***"/>
    <d v="2026-03-30T17:51:02"/>
    <n v="3"/>
    <x v="0"/>
    <d v="2026-03-30T10:51:02"/>
    <x v="4"/>
    <s v="Monday"/>
    <n v="10"/>
  </r>
  <r>
    <s v="87cc67f9-2c82-482e-a0fd-a89dce30052b"/>
    <s v="***"/>
    <d v="2026-03-30T21:16:16"/>
    <n v="3"/>
    <x v="0"/>
    <d v="2026-03-30T14:16:16"/>
    <x v="4"/>
    <s v="Monday"/>
    <n v="14"/>
  </r>
  <r>
    <s v="8f874dfc-4a79-4027-b6e4-ad50d5a4cada"/>
    <s v="***"/>
    <d v="2026-03-30T21:44:03"/>
    <n v="3"/>
    <x v="1"/>
    <d v="2026-03-30T14:44:03"/>
    <x v="4"/>
    <s v="Monday"/>
    <n v="14"/>
  </r>
  <r>
    <s v="b7420707-b04c-4b86-b7cf-7275a22a282b"/>
    <s v="***"/>
    <d v="2026-03-31T05:44:01"/>
    <n v="3"/>
    <x v="3"/>
    <d v="2026-03-30T22:44:01"/>
    <x v="4"/>
    <s v="Monday"/>
    <n v="22"/>
  </r>
  <r>
    <s v="0ee8c71f-84be-4d48-9343-03972d38a084"/>
    <s v="***"/>
    <d v="2026-03-31T06:27:49"/>
    <n v="3"/>
    <x v="0"/>
    <d v="2026-03-30T23:27:49"/>
    <x v="4"/>
    <s v="Monday"/>
    <n v="23"/>
  </r>
  <r>
    <s v="f6fdd320-23cb-4461-bf04-032a9bc1e42a"/>
    <s v="***"/>
    <d v="2026-03-31T08:14:44"/>
    <n v="269"/>
    <x v="0"/>
    <d v="2026-03-31T01:14:44"/>
    <x v="5"/>
    <s v="Tuesday"/>
    <n v="1"/>
  </r>
  <r>
    <s v="345a7e9b-ad28-4291-9ed1-eab79d758037"/>
    <s v="***"/>
    <d v="2026-03-31T08:19:21"/>
    <n v="3"/>
    <x v="0"/>
    <d v="2026-03-31T01:19:21"/>
    <x v="5"/>
    <s v="Tuesday"/>
    <n v="1"/>
  </r>
  <r>
    <s v="2e25c5d7-9afe-4a3c-9019-06d1358ffde4"/>
    <s v="***"/>
    <d v="2026-03-31T10:51:36"/>
    <n v="269"/>
    <x v="0"/>
    <d v="2026-03-31T03:51:36"/>
    <x v="5"/>
    <s v="Tuesday"/>
    <n v="3"/>
  </r>
  <r>
    <s v="a0ac1203-7a99-44a5-833e-ea0135a27486"/>
    <s v="***"/>
    <d v="2026-03-31T13:10:41"/>
    <n v="269"/>
    <x v="1"/>
    <d v="2026-03-31T06:10:41"/>
    <x v="5"/>
    <s v="Tuesday"/>
    <n v="6"/>
  </r>
  <r>
    <s v="bd0f5b5f-1aad-4a14-af38-7a8f46a6c151"/>
    <s v="***"/>
    <d v="2026-03-31T13:13:37"/>
    <n v="269"/>
    <x v="0"/>
    <d v="2026-03-31T06:13:37"/>
    <x v="5"/>
    <s v="Tuesday"/>
    <n v="6"/>
  </r>
  <r>
    <s v="1fb47425-b77d-4561-a8ca-3325eddb2d8a"/>
    <s v="***"/>
    <d v="2026-03-31T13:49:00"/>
    <n v="269"/>
    <x v="0"/>
    <d v="2026-03-31T06:49:00"/>
    <x v="5"/>
    <s v="Tuesday"/>
    <n v="6"/>
  </r>
  <r>
    <s v="2966beac-9bcd-443e-b153-e352e69091c6"/>
    <s v="***"/>
    <d v="2026-03-31T14:00:05"/>
    <n v="9"/>
    <x v="0"/>
    <d v="2026-03-31T07:00:05"/>
    <x v="5"/>
    <s v="Tuesday"/>
    <n v="7"/>
  </r>
  <r>
    <s v="f2e11208-6b2a-4adc-a66a-298db820d89e"/>
    <s v="***"/>
    <d v="2026-03-31T15:12:51"/>
    <n v="269"/>
    <x v="1"/>
    <d v="2026-03-31T08:12:51"/>
    <x v="5"/>
    <s v="Tuesday"/>
    <n v="8"/>
  </r>
  <r>
    <s v="772b4658-5f7b-4e23-8cd0-89afe25c03a2"/>
    <s v="***"/>
    <d v="2026-03-31T15:49:14"/>
    <n v="269"/>
    <x v="0"/>
    <d v="2026-03-31T08:49:14"/>
    <x v="5"/>
    <s v="Tuesday"/>
    <n v="8"/>
  </r>
  <r>
    <s v="d63aff2a-987c-41d1-90a4-d2c968731c74"/>
    <s v="***"/>
    <d v="2026-03-31T15:51:58"/>
    <n v="12"/>
    <x v="0"/>
    <d v="2026-03-31T08:51:58"/>
    <x v="5"/>
    <s v="Tuesday"/>
    <n v="8"/>
  </r>
  <r>
    <s v="433a25cf-7560-4990-9b06-ce9d2d2445bc"/>
    <s v="***"/>
    <d v="2026-03-31T17:10:11"/>
    <n v="269"/>
    <x v="0"/>
    <d v="2026-03-31T10:10:11"/>
    <x v="5"/>
    <s v="Tuesday"/>
    <n v="10"/>
  </r>
  <r>
    <s v="96095385-adc0-434a-8bbb-2a501f71a910"/>
    <s v="***"/>
    <d v="2026-03-31T17:14:22"/>
    <n v="3"/>
    <x v="0"/>
    <d v="2026-03-31T10:14:22"/>
    <x v="5"/>
    <s v="Tuesday"/>
    <n v="10"/>
  </r>
  <r>
    <s v="eee1cd45-766e-4d1f-b216-e958062abe12"/>
    <s v="***"/>
    <d v="2026-03-31T21:26:21"/>
    <n v="269"/>
    <x v="0"/>
    <d v="2026-03-31T14:26:21"/>
    <x v="5"/>
    <s v="Tuesday"/>
    <n v="14"/>
  </r>
  <r>
    <s v="c3851a29-5717-4082-a9da-2305d730ca6b"/>
    <s v="***"/>
    <d v="2026-03-31T21:53:55"/>
    <n v="3"/>
    <x v="0"/>
    <d v="2026-03-31T14:53:55"/>
    <x v="5"/>
    <s v="Tuesday"/>
    <n v="14"/>
  </r>
  <r>
    <s v="e5417d35-3b26-4e70-b7bb-6cc4167d0ec0"/>
    <s v="***"/>
    <d v="2026-03-31T22:20:50"/>
    <n v="202"/>
    <x v="0"/>
    <d v="2026-03-31T15:20:50"/>
    <x v="5"/>
    <s v="Tuesday"/>
    <n v="15"/>
  </r>
  <r>
    <s v="34827284-7f06-4345-938a-ec17a75a8493"/>
    <s v="***"/>
    <d v="2026-03-31T23:58:04"/>
    <n v="202"/>
    <x v="0"/>
    <d v="2026-03-31T16:58:04"/>
    <x v="5"/>
    <s v="Tuesday"/>
    <n v="16"/>
  </r>
  <r>
    <s v="e0418ed7-9602-4b59-88ff-bf9bd5fe837e"/>
    <s v="***"/>
    <d v="2026-04-01T02:59:15"/>
    <n v="3"/>
    <x v="0"/>
    <d v="2026-03-31T19:59:15"/>
    <x v="5"/>
    <s v="Tuesday"/>
    <n v="19"/>
  </r>
  <r>
    <s v="6cb70c2c-a10c-477c-bc33-c2c872888ec0"/>
    <s v="***"/>
    <d v="2026-04-01T03:00:04"/>
    <n v="3"/>
    <x v="0"/>
    <d v="2026-03-31T20:00:04"/>
    <x v="5"/>
    <s v="Tuesday"/>
    <n v="20"/>
  </r>
  <r>
    <s v="3ce625be-fab6-404e-88a0-41cb918369cd"/>
    <s v="***"/>
    <d v="2026-04-01T08:16:36"/>
    <n v="3"/>
    <x v="0"/>
    <d v="2026-04-01T01:16:36"/>
    <x v="6"/>
    <s v="Wednesday"/>
    <n v="1"/>
  </r>
  <r>
    <s v="f36fb9f0-7246-4db6-a542-26f0b55d95d7"/>
    <s v="***"/>
    <d v="2026-04-01T09:43:03"/>
    <n v="3"/>
    <x v="4"/>
    <d v="2026-04-01T02:43:03"/>
    <x v="6"/>
    <s v="Wednesday"/>
    <n v="2"/>
  </r>
  <r>
    <s v="f9f03fb5-cf53-437c-a6c5-d3ca41049019"/>
    <s v="***"/>
    <d v="2026-04-01T12:30:12"/>
    <n v="3"/>
    <x v="0"/>
    <d v="2026-04-01T05:30:12"/>
    <x v="6"/>
    <s v="Wednesday"/>
    <n v="5"/>
  </r>
  <r>
    <s v="526ff91e-7f92-4e82-bb24-fcc3446a39a2"/>
    <s v="***"/>
    <d v="2026-04-01T13:23:04"/>
    <n v="202"/>
    <x v="0"/>
    <d v="2026-04-01T06:23:04"/>
    <x v="6"/>
    <s v="Wednesday"/>
    <n v="6"/>
  </r>
  <r>
    <s v="9ead0fc5-0017-4547-b3e8-8a6ad6c58243"/>
    <s v="***"/>
    <d v="2026-04-01T14:02:00"/>
    <n v="202"/>
    <x v="0"/>
    <d v="2026-04-01T07:02:00"/>
    <x v="6"/>
    <s v="Wednesday"/>
    <n v="7"/>
  </r>
  <r>
    <s v="74294842-4aa9-4ae6-a275-60c4942a9372"/>
    <s v="***"/>
    <d v="2026-04-01T14:16:26"/>
    <n v="9"/>
    <x v="0"/>
    <d v="2026-04-01T07:16:26"/>
    <x v="6"/>
    <s v="Wednesday"/>
    <n v="7"/>
  </r>
  <r>
    <s v="21afac18-2672-4bf5-a4b5-e08cea6859f2"/>
    <s v="***"/>
    <d v="2026-04-01T17:21:04"/>
    <n v="3"/>
    <x v="0"/>
    <d v="2026-04-01T10:21:04"/>
    <x v="6"/>
    <s v="Wednesday"/>
    <n v="10"/>
  </r>
  <r>
    <s v="e691b374-8c8d-47d4-8462-eba78d06aef9"/>
    <s v="***"/>
    <d v="2026-04-01T17:34:53"/>
    <n v="3"/>
    <x v="0"/>
    <d v="2026-04-01T10:34:53"/>
    <x v="6"/>
    <s v="Wednesday"/>
    <n v="10"/>
  </r>
  <r>
    <s v="d4869c57-4f0d-4cf2-b13e-a29f040d6c23"/>
    <s v="***"/>
    <d v="2026-04-01T18:04:34"/>
    <n v="3"/>
    <x v="1"/>
    <d v="2026-04-01T11:04:34"/>
    <x v="6"/>
    <s v="Wednesday"/>
    <n v="11"/>
  </r>
  <r>
    <s v="1d81befc-1d99-48f0-a898-e7bf6879ba4d"/>
    <s v="***"/>
    <d v="2026-04-01T18:10:03"/>
    <n v="3"/>
    <x v="0"/>
    <d v="2026-04-01T11:10:03"/>
    <x v="6"/>
    <s v="Wednesday"/>
    <n v="11"/>
  </r>
  <r>
    <s v="50528f86-22bc-4f10-b2d9-5eb8b9b0fc36"/>
    <s v="***"/>
    <d v="2026-04-01T18:40:14"/>
    <n v="202"/>
    <x v="0"/>
    <d v="2026-04-01T11:40:14"/>
    <x v="6"/>
    <s v="Wednesday"/>
    <n v="11"/>
  </r>
  <r>
    <s v="842b0dc4-2cc9-49e7-bc34-bcabf8bb1ea2"/>
    <s v="***"/>
    <d v="2026-04-01T20:17:55"/>
    <n v="269"/>
    <x v="1"/>
    <d v="2026-04-01T13:17:55"/>
    <x v="6"/>
    <s v="Wednesday"/>
    <n v="13"/>
  </r>
  <r>
    <s v="22c7a16a-2430-4178-9b47-950f2e3ccf6c"/>
    <s v="***"/>
    <d v="2026-04-01T20:39:26"/>
    <n v="3"/>
    <x v="0"/>
    <d v="2026-04-01T13:39:26"/>
    <x v="6"/>
    <s v="Wednesday"/>
    <n v="13"/>
  </r>
  <r>
    <s v="881ee7e6-77e1-47d4-8f24-3d4e9c797ca6"/>
    <s v="***"/>
    <d v="2026-04-01T20:42:19"/>
    <n v="202"/>
    <x v="0"/>
    <d v="2026-04-01T13:42:19"/>
    <x v="6"/>
    <s v="Wednesday"/>
    <n v="13"/>
  </r>
  <r>
    <s v="8d897bcc-57be-46b8-869e-6d8cc1ac9976"/>
    <s v="***"/>
    <d v="2026-04-01T21:20:18"/>
    <n v="202"/>
    <x v="0"/>
    <d v="2026-04-01T14:20:18"/>
    <x v="6"/>
    <s v="Wednesday"/>
    <n v="14"/>
  </r>
  <r>
    <s v="81ef3ebd-289e-4849-9546-8d2753689938"/>
    <s v="***"/>
    <d v="2026-04-01T21:46:37"/>
    <n v="3"/>
    <x v="0"/>
    <d v="2026-04-01T14:46:37"/>
    <x v="6"/>
    <s v="Wednesday"/>
    <n v="14"/>
  </r>
  <r>
    <s v="5d7744a1-ec30-4fc3-bef3-220cceb263fc"/>
    <s v="***"/>
    <d v="2026-04-02T07:08:33"/>
    <n v="3"/>
    <x v="5"/>
    <d v="2026-04-02T00:08:33"/>
    <x v="7"/>
    <s v="Thursday"/>
    <n v="0"/>
  </r>
  <r>
    <s v="2808de53-9032-4354-b8a7-6c7885e1da51"/>
    <s v="***"/>
    <d v="2026-04-02T07:42:36"/>
    <n v="9"/>
    <x v="0"/>
    <d v="2026-04-02T00:42:36"/>
    <x v="7"/>
    <s v="Thursday"/>
    <n v="0"/>
  </r>
  <r>
    <s v="50e7f438-dc20-4576-8f17-330b185f4188"/>
    <s v="***"/>
    <d v="2026-04-02T07:55:29"/>
    <n v="269"/>
    <x v="0"/>
    <d v="2026-04-02T00:55:29"/>
    <x v="7"/>
    <s v="Thursday"/>
    <n v="0"/>
  </r>
  <r>
    <s v="473261e9-5f96-4591-8db2-246d5a0d414b"/>
    <s v="***"/>
    <d v="2026-04-02T08:08:04"/>
    <n v="269"/>
    <x v="0"/>
    <d v="2026-04-02T01:08:04"/>
    <x v="7"/>
    <s v="Thursday"/>
    <n v="1"/>
  </r>
  <r>
    <s v="70014ee0-91d6-4fcd-941d-42e298adf4c3"/>
    <s v="***"/>
    <d v="2026-04-02T08:36:05"/>
    <n v="3"/>
    <x v="0"/>
    <d v="2026-04-02T01:36:05"/>
    <x v="7"/>
    <s v="Thursday"/>
    <n v="1"/>
  </r>
  <r>
    <s v="4512aab4-c252-4860-bed1-1e85031ebf37"/>
    <s v="***"/>
    <d v="2026-04-02T09:54:31"/>
    <n v="269"/>
    <x v="1"/>
    <d v="2026-04-02T02:54:31"/>
    <x v="7"/>
    <s v="Thursday"/>
    <n v="2"/>
  </r>
  <r>
    <s v="fd302418-65ae-43ab-94a9-02722fe2fa5e"/>
    <s v="***"/>
    <d v="2026-04-02T10:05:36"/>
    <n v="269"/>
    <x v="1"/>
    <d v="2026-04-02T03:05:36"/>
    <x v="7"/>
    <s v="Thursday"/>
    <n v="3"/>
  </r>
  <r>
    <s v="81912a64-514f-43e0-9cc3-07726c03a8f1"/>
    <s v="***"/>
    <d v="2026-04-02T10:58:05"/>
    <n v="3"/>
    <x v="0"/>
    <d v="2026-04-02T03:58:05"/>
    <x v="7"/>
    <s v="Thursday"/>
    <n v="3"/>
  </r>
  <r>
    <s v="f969c533-9f35-4217-99a9-7c5d6ff1eb90"/>
    <s v="***"/>
    <d v="2026-04-02T11:06:25"/>
    <n v="3"/>
    <x v="0"/>
    <d v="2026-04-02T04:06:25"/>
    <x v="7"/>
    <s v="Thursday"/>
    <n v="4"/>
  </r>
  <r>
    <s v="3a7d74dd-a9fa-4a10-9240-3e2c56cda29c"/>
    <s v="***"/>
    <d v="2026-04-02T12:41:58"/>
    <n v="3"/>
    <x v="0"/>
    <d v="2026-04-02T05:41:58"/>
    <x v="7"/>
    <s v="Thursday"/>
    <n v="5"/>
  </r>
  <r>
    <s v="d35a42fa-007e-42c6-9678-a45bc7bc13ed"/>
    <s v="***"/>
    <d v="2026-04-02T14:03:56"/>
    <n v="3"/>
    <x v="0"/>
    <d v="2026-04-02T07:03:56"/>
    <x v="7"/>
    <s v="Thursday"/>
    <n v="7"/>
  </r>
  <r>
    <s v="2596926f-aa60-443b-a9c8-0681f526c11d"/>
    <s v="***"/>
    <d v="2026-04-02T14:31:50"/>
    <n v="3"/>
    <x v="5"/>
    <d v="2026-04-02T07:31:50"/>
    <x v="7"/>
    <s v="Thursday"/>
    <n v="7"/>
  </r>
  <r>
    <s v="7922d60b-cab0-4229-85b0-085dc6c26992"/>
    <s v="***"/>
    <d v="2026-04-02T15:38:19"/>
    <n v="202"/>
    <x v="0"/>
    <d v="2026-04-02T08:38:19"/>
    <x v="7"/>
    <s v="Thursday"/>
    <n v="8"/>
  </r>
  <r>
    <s v="1ca981d0-eaa4-408c-8bde-9f19214eb74e"/>
    <s v="***"/>
    <d v="2026-04-02T17:03:50"/>
    <n v="3"/>
    <x v="0"/>
    <d v="2026-04-02T10:03:50"/>
    <x v="7"/>
    <s v="Thursday"/>
    <n v="10"/>
  </r>
  <r>
    <s v="572d7edd-91cd-4538-b55a-08a4b99a0340"/>
    <s v="***"/>
    <d v="2026-04-02T18:05:15"/>
    <n v="3"/>
    <x v="0"/>
    <d v="2026-04-02T11:05:15"/>
    <x v="7"/>
    <s v="Thursday"/>
    <n v="11"/>
  </r>
  <r>
    <s v="08503c6a-613d-42d2-8158-0e68c5db60bb"/>
    <s v="***"/>
    <d v="2026-04-03T01:00:41"/>
    <n v="202"/>
    <x v="0"/>
    <d v="2026-04-02T18:00:41"/>
    <x v="7"/>
    <s v="Thursday"/>
    <n v="18"/>
  </r>
  <r>
    <s v="2f37689e-c891-47d4-b1c6-0246180109c9"/>
    <s v="***"/>
    <d v="2026-04-03T04:25:13"/>
    <n v="3"/>
    <x v="0"/>
    <d v="2026-04-02T21:25:13"/>
    <x v="7"/>
    <s v="Thursday"/>
    <n v="21"/>
  </r>
  <r>
    <s v="01f787ab-4e6f-44f9-867d-1ffac3f99f97"/>
    <s v="***"/>
    <d v="2026-04-03T15:20:06"/>
    <n v="3"/>
    <x v="5"/>
    <d v="2026-04-03T08:20:06"/>
    <x v="8"/>
    <s v="Friday"/>
    <n v="8"/>
  </r>
  <r>
    <s v="2fe848e1-58b6-44e7-9cb9-9afec81721a2"/>
    <s v="***"/>
    <d v="2026-04-04T12:36:48"/>
    <n v="3"/>
    <x v="0"/>
    <d v="2026-04-04T05:36:48"/>
    <x v="9"/>
    <s v="Saturday"/>
    <n v="5"/>
  </r>
  <r>
    <s v="3ba5e037-46dc-4f55-8784-fa83870b2b2e"/>
    <s v="***"/>
    <d v="2026-04-04T14:36:50"/>
    <n v="3"/>
    <x v="0"/>
    <d v="2026-04-04T07:36:50"/>
    <x v="9"/>
    <s v="Saturday"/>
    <n v="7"/>
  </r>
  <r>
    <s v="e037f515-6218-4931-9fb3-9557db0b8d48"/>
    <s v="***"/>
    <d v="2026-04-05T00:06:25"/>
    <n v="3"/>
    <x v="0"/>
    <d v="2026-04-04T17:06:25"/>
    <x v="9"/>
    <s v="Saturday"/>
    <n v="17"/>
  </r>
  <r>
    <s v="d58fefa9-739b-4100-a6b1-e48e996b47e3"/>
    <s v="***"/>
    <d v="2026-04-06T06:55:43"/>
    <n v="269"/>
    <x v="0"/>
    <d v="2026-04-05T23:55:43"/>
    <x v="10"/>
    <s v="Sunday"/>
    <n v="23"/>
  </r>
  <r>
    <s v="3c876c1e-073e-4e29-8490-3ab5d92c4aa2"/>
    <s v="***"/>
    <d v="2026-04-06T07:26:43"/>
    <n v="269"/>
    <x v="0"/>
    <d v="2026-04-06T00:26:43"/>
    <x v="11"/>
    <s v="Monday"/>
    <n v="0"/>
  </r>
  <r>
    <s v="1f1f7308-13a7-40d0-b080-fa4b38b92209"/>
    <s v="***"/>
    <d v="2026-04-06T08:21:50"/>
    <n v="269"/>
    <x v="0"/>
    <d v="2026-04-06T01:21:50"/>
    <x v="11"/>
    <s v="Monday"/>
    <n v="1"/>
  </r>
  <r>
    <s v="a8a3daa9-df6a-4ac5-9fe2-38627e4dee68"/>
    <s v="***"/>
    <d v="2026-04-06T14:33:04"/>
    <n v="202"/>
    <x v="0"/>
    <d v="2026-04-06T07:33:04"/>
    <x v="11"/>
    <s v="Monday"/>
    <n v="7"/>
  </r>
  <r>
    <s v="1c018366-1e66-4b21-b86d-c2693c72f887"/>
    <s v="***"/>
    <d v="2026-04-06T14:57:58"/>
    <n v="269"/>
    <x v="0"/>
    <d v="2026-04-06T07:57:58"/>
    <x v="11"/>
    <s v="Monday"/>
    <n v="7"/>
  </r>
  <r>
    <s v="c17dbd4c-736a-4691-bc3f-a27e80b9e461"/>
    <s v="***"/>
    <d v="2026-04-06T15:03:49"/>
    <n v="269"/>
    <x v="1"/>
    <d v="2026-04-06T08:03:49"/>
    <x v="11"/>
    <s v="Monday"/>
    <n v="8"/>
  </r>
  <r>
    <s v="b2b08a98-8e34-4a4a-9005-a88c1a46afef"/>
    <s v="***"/>
    <d v="2026-04-06T15:04:46"/>
    <n v="3"/>
    <x v="2"/>
    <d v="2026-04-06T08:04:46"/>
    <x v="11"/>
    <s v="Monday"/>
    <n v="8"/>
  </r>
  <r>
    <s v="040c7d24-3043-4734-9877-f4fd2ab96fe3"/>
    <s v="***"/>
    <d v="2026-04-06T15:21:37"/>
    <n v="269"/>
    <x v="0"/>
    <d v="2026-04-06T08:21:37"/>
    <x v="11"/>
    <s v="Monday"/>
    <n v="8"/>
  </r>
  <r>
    <s v="45cbbe63-1d33-4676-b998-a90329bac0ed"/>
    <s v="***"/>
    <d v="2026-04-06T16:41:51"/>
    <n v="202"/>
    <x v="0"/>
    <d v="2026-04-06T09:41:51"/>
    <x v="11"/>
    <s v="Monday"/>
    <n v="9"/>
  </r>
  <r>
    <s v="14b99261-384f-4a02-bd4b-0d62cba70ba6"/>
    <s v="***"/>
    <d v="2026-04-06T16:42:39"/>
    <n v="3"/>
    <x v="0"/>
    <d v="2026-04-06T09:42:39"/>
    <x v="11"/>
    <s v="Monday"/>
    <n v="9"/>
  </r>
  <r>
    <s v="0ac926d9-4456-4928-ad42-d45a8f82e030"/>
    <s v="***"/>
    <d v="2026-04-06T18:02:25"/>
    <n v="3"/>
    <x v="0"/>
    <d v="2026-04-06T11:02:25"/>
    <x v="11"/>
    <s v="Monday"/>
    <n v="11"/>
  </r>
  <r>
    <s v="95d7c34e-6576-4b56-858b-e551225e7714"/>
    <s v="***"/>
    <d v="2026-04-06T20:44:10"/>
    <n v="202"/>
    <x v="0"/>
    <d v="2026-04-06T13:44:10"/>
    <x v="11"/>
    <s v="Monday"/>
    <n v="13"/>
  </r>
  <r>
    <s v="92c86e84-6775-4817-bec9-c67c0b756629"/>
    <s v="***"/>
    <d v="2026-04-07T06:48:27"/>
    <n v="269"/>
    <x v="6"/>
    <d v="2026-04-06T23:48:27"/>
    <x v="11"/>
    <s v="Monday"/>
    <n v="23"/>
  </r>
  <r>
    <s v="c687706c-ca8f-4cf4-86a6-e4dbed0d661d"/>
    <s v="***"/>
    <d v="2026-04-07T07:50:14"/>
    <n v="3"/>
    <x v="5"/>
    <d v="2026-04-07T00:50:14"/>
    <x v="12"/>
    <s v="Tuesday"/>
    <n v="0"/>
  </r>
  <r>
    <s v="0d7b8658-17ef-477e-adab-3a7fddc4142b"/>
    <s v="***"/>
    <d v="2026-04-07T08:06:18"/>
    <n v="269"/>
    <x v="6"/>
    <d v="2026-04-07T01:06:18"/>
    <x v="12"/>
    <s v="Tuesday"/>
    <n v="1"/>
  </r>
  <r>
    <s v="6ff1b7c5-024d-4171-9661-16613b9b703d"/>
    <s v="***"/>
    <d v="2026-04-07T09:40:44"/>
    <n v="269"/>
    <x v="0"/>
    <d v="2026-04-07T02:40:44"/>
    <x v="12"/>
    <s v="Tuesday"/>
    <n v="2"/>
  </r>
  <r>
    <s v="c69ef3d8-12fc-486d-bc9c-3c746276696e"/>
    <s v="***"/>
    <d v="2026-04-07T10:51:12"/>
    <n v="269"/>
    <x v="6"/>
    <d v="2026-04-07T03:51:12"/>
    <x v="12"/>
    <s v="Tuesday"/>
    <n v="3"/>
  </r>
  <r>
    <s v="14d94b8e-a173-4bbf-a35c-8627ead90b9e"/>
    <s v="***"/>
    <d v="2026-04-07T11:33:23"/>
    <n v="3"/>
    <x v="7"/>
    <d v="2026-04-07T04:33:23"/>
    <x v="12"/>
    <s v="Tuesday"/>
    <n v="4"/>
  </r>
  <r>
    <s v="48ad6fb5-dfad-4aa7-9ab1-69df106ed10e"/>
    <s v="***"/>
    <d v="2026-04-07T11:39:26"/>
    <n v="269"/>
    <x v="0"/>
    <d v="2026-04-07T04:39:26"/>
    <x v="12"/>
    <s v="Tuesday"/>
    <n v="4"/>
  </r>
  <r>
    <s v="8592ed1a-8472-4909-b374-9787ae24ee72"/>
    <s v="***"/>
    <d v="2026-04-07T12:48:18"/>
    <n v="6036"/>
    <x v="0"/>
    <d v="2026-04-07T05:48:18"/>
    <x v="12"/>
    <s v="Tuesday"/>
    <n v="5"/>
  </r>
  <r>
    <s v="00c6e85f-7a7d-4a2f-8e2e-be268fe2ee2e"/>
    <s v="***"/>
    <d v="2026-04-07T14:35:56"/>
    <n v="12"/>
    <x v="0"/>
    <d v="2026-04-07T07:35:56"/>
    <x v="12"/>
    <s v="Tuesday"/>
    <n v="7"/>
  </r>
  <r>
    <s v="e5d23a85-0627-4cc2-a84a-cdf3cf2a7918"/>
    <s v="***"/>
    <d v="2026-04-07T14:36:49"/>
    <n v="3"/>
    <x v="0"/>
    <d v="2026-04-07T07:36:49"/>
    <x v="12"/>
    <s v="Tuesday"/>
    <n v="7"/>
  </r>
  <r>
    <s v="e7d6743f-a072-40f4-b162-22b400149c60"/>
    <s v="***"/>
    <d v="2026-04-07T14:47:43"/>
    <n v="269"/>
    <x v="0"/>
    <d v="2026-04-07T07:47:43"/>
    <x v="12"/>
    <s v="Tuesday"/>
    <n v="7"/>
  </r>
  <r>
    <s v="a1e8182a-66d1-4a5d-8867-bbfbf3b1543d"/>
    <s v="***"/>
    <d v="2026-04-07T15:05:15"/>
    <n v="3"/>
    <x v="2"/>
    <d v="2026-04-07T08:05:15"/>
    <x v="12"/>
    <s v="Tuesday"/>
    <n v="8"/>
  </r>
  <r>
    <s v="313cd1e7-8b98-4b37-9862-00600bb89669"/>
    <s v="***"/>
    <d v="2026-04-07T16:13:23"/>
    <n v="269"/>
    <x v="0"/>
    <d v="2026-04-07T09:13:23"/>
    <x v="12"/>
    <s v="Tuesday"/>
    <n v="9"/>
  </r>
  <r>
    <s v="ef3c5b8d-04b4-4293-9d66-20476f3cdee6"/>
    <s v="***"/>
    <d v="2026-04-07T16:16:21"/>
    <n v="3"/>
    <x v="0"/>
    <d v="2026-04-07T09:16:21"/>
    <x v="12"/>
    <s v="Tuesday"/>
    <n v="9"/>
  </r>
  <r>
    <s v="cd13178a-6966-46bb-aa39-cced5d334619"/>
    <s v="***"/>
    <d v="2026-04-07T16:49:17"/>
    <n v="202"/>
    <x v="0"/>
    <d v="2026-04-07T09:49:17"/>
    <x v="12"/>
    <s v="Tuesday"/>
    <n v="9"/>
  </r>
  <r>
    <s v="f0d9afd3-ca46-4d60-bf83-8f1ee1cda8f6"/>
    <s v="***"/>
    <d v="2026-04-07T18:09:30"/>
    <n v="202"/>
    <x v="0"/>
    <d v="2026-04-07T11:09:30"/>
    <x v="12"/>
    <s v="Tuesday"/>
    <n v="11"/>
  </r>
  <r>
    <s v="baaf9755-f573-4744-84f3-0dc8d1e68bc0"/>
    <s v="***"/>
    <d v="2026-04-07T19:20:15"/>
    <n v="202"/>
    <x v="0"/>
    <d v="2026-04-07T12:20:15"/>
    <x v="12"/>
    <s v="Tuesday"/>
    <n v="12"/>
  </r>
  <r>
    <s v="03b5aab3-8dcc-495f-9c32-d493352a0515"/>
    <s v="***"/>
    <d v="2026-04-07T20:19:36"/>
    <n v="202"/>
    <x v="0"/>
    <d v="2026-04-07T13:19:36"/>
    <x v="12"/>
    <s v="Tuesday"/>
    <n v="13"/>
  </r>
  <r>
    <s v="3ccfbe33-4068-4d4e-9166-fb41b3c449ab"/>
    <s v="***"/>
    <d v="2026-04-07T21:02:28"/>
    <n v="202"/>
    <x v="0"/>
    <d v="2026-04-07T14:02:28"/>
    <x v="12"/>
    <s v="Tuesday"/>
    <n v="14"/>
  </r>
  <r>
    <s v="6581b689-f6ce-4a9d-94a1-bf7f90c45e07"/>
    <s v="***"/>
    <d v="2026-04-07T23:03:58"/>
    <n v="3"/>
    <x v="0"/>
    <d v="2026-04-07T16:03:58"/>
    <x v="12"/>
    <s v="Tuesday"/>
    <n v="16"/>
  </r>
  <r>
    <s v="c414a7ca-ffbb-49b7-b441-5c6208aa517d"/>
    <s v="***"/>
    <d v="2026-04-07T23:08:55"/>
    <n v="3"/>
    <x v="0"/>
    <d v="2026-04-07T16:08:55"/>
    <x v="12"/>
    <s v="Tuesday"/>
    <n v="16"/>
  </r>
  <r>
    <s v="ce22c7be-3290-4f1c-acb7-872c4806f2a2"/>
    <s v="***"/>
    <d v="2026-04-08T05:52:57"/>
    <n v="269"/>
    <x v="6"/>
    <d v="2026-04-07T22:52:57"/>
    <x v="12"/>
    <s v="Tuesday"/>
    <n v="22"/>
  </r>
  <r>
    <s v="b32a0567-22df-45c9-aab6-6c8d8870d4ee"/>
    <s v="***"/>
    <d v="2026-04-08T06:16:03"/>
    <n v="202"/>
    <x v="0"/>
    <d v="2026-04-07T23:16:03"/>
    <x v="12"/>
    <s v="Tuesday"/>
    <n v="23"/>
  </r>
  <r>
    <s v="e8ed111c-df94-41d4-b348-883b1c920bf6"/>
    <s v="***"/>
    <d v="2026-04-08T06:24:56"/>
    <n v="3"/>
    <x v="0"/>
    <d v="2026-04-07T23:24:56"/>
    <x v="12"/>
    <s v="Tuesday"/>
    <n v="23"/>
  </r>
  <r>
    <s v="f54b729b-18d0-4dd3-8cb4-cf2779b68f68"/>
    <s v="***"/>
    <d v="2026-04-08T07:01:18"/>
    <n v="3"/>
    <x v="5"/>
    <d v="2026-04-08T00:01:18"/>
    <x v="13"/>
    <s v="Wednesday"/>
    <n v="0"/>
  </r>
  <r>
    <s v="0c523c3b-944f-4b86-8f6f-0acfbf0dd8ba"/>
    <s v="***"/>
    <d v="2026-04-08T08:19:20"/>
    <n v="3"/>
    <x v="5"/>
    <d v="2026-04-08T01:19:20"/>
    <x v="13"/>
    <s v="Wednesday"/>
    <n v="1"/>
  </r>
  <r>
    <s v="f88ddccf-e997-4431-a3da-3156741fa38e"/>
    <s v="***"/>
    <d v="2026-04-08T08:54:19"/>
    <n v="3"/>
    <x v="0"/>
    <d v="2026-04-08T01:54:19"/>
    <x v="13"/>
    <s v="Wednesday"/>
    <n v="1"/>
  </r>
  <r>
    <s v="71868575-76be-4f98-b2a9-2875d4dd47fd"/>
    <s v="***"/>
    <d v="2026-04-08T09:03:47"/>
    <n v="12"/>
    <x v="0"/>
    <d v="2026-04-08T02:03:47"/>
    <x v="13"/>
    <s v="Wednesday"/>
    <n v="2"/>
  </r>
  <r>
    <s v="1a9d6219-8249-4494-bb68-00f850058e3e"/>
    <s v="***"/>
    <d v="2026-04-08T09:51:10"/>
    <n v="9"/>
    <x v="0"/>
    <d v="2026-04-08T02:51:10"/>
    <x v="13"/>
    <s v="Wednesday"/>
    <n v="2"/>
  </r>
  <r>
    <s v="0c1e41dc-0a69-49a9-8c3f-2dc8f9b6a0b3"/>
    <s v="***"/>
    <d v="2026-04-08T10:42:47"/>
    <n v="3"/>
    <x v="8"/>
    <d v="2026-04-08T03:42:47"/>
    <x v="13"/>
    <s v="Wednesday"/>
    <n v="3"/>
  </r>
  <r>
    <s v="564bbd92-d2ae-4287-b60c-13476c8f811c"/>
    <s v="***"/>
    <d v="2026-04-08T11:56:46"/>
    <n v="269"/>
    <x v="0"/>
    <d v="2026-04-08T04:56:46"/>
    <x v="13"/>
    <s v="Wednesday"/>
    <n v="4"/>
  </r>
  <r>
    <s v="77fdb3a5-4393-4751-bdd0-37a63d94f9a6"/>
    <s v="***"/>
    <d v="2026-04-08T12:17:16"/>
    <n v="269"/>
    <x v="0"/>
    <d v="2026-04-08T05:17:16"/>
    <x v="13"/>
    <s v="Wednesday"/>
    <n v="5"/>
  </r>
  <r>
    <s v="94d2922a-fc3a-4ef2-9ee6-0466a6af275f"/>
    <s v="***"/>
    <d v="2026-04-08T12:22:15"/>
    <n v="269"/>
    <x v="0"/>
    <d v="2026-04-08T05:22:15"/>
    <x v="13"/>
    <s v="Wednesday"/>
    <n v="5"/>
  </r>
  <r>
    <s v="40e1da84-f615-4ba9-aadd-86949bd9b3e0"/>
    <s v="***"/>
    <d v="2026-04-08T12:25:22"/>
    <n v="3"/>
    <x v="0"/>
    <d v="2026-04-08T05:25:22"/>
    <x v="13"/>
    <s v="Wednesday"/>
    <n v="5"/>
  </r>
  <r>
    <s v="fae821af-ba75-4c25-b8e5-d7ef7065378f"/>
    <s v="***"/>
    <d v="2026-04-08T12:56:46"/>
    <n v="269"/>
    <x v="0"/>
    <d v="2026-04-08T05:56:46"/>
    <x v="13"/>
    <s v="Wednesday"/>
    <n v="5"/>
  </r>
  <r>
    <s v="d175e736-5c44-4ca3-8d5d-82797301d215"/>
    <s v="***"/>
    <d v="2026-04-08T13:29:48"/>
    <n v="3"/>
    <x v="5"/>
    <d v="2026-04-08T06:29:48"/>
    <x v="13"/>
    <s v="Wednesday"/>
    <n v="6"/>
  </r>
  <r>
    <s v="60e6a34c-d2ca-433e-962b-d63b395d4696"/>
    <s v="***"/>
    <d v="2026-04-08T13:30:23"/>
    <n v="269"/>
    <x v="9"/>
    <d v="2026-04-08T06:30:23"/>
    <x v="13"/>
    <s v="Wednesday"/>
    <n v="6"/>
  </r>
  <r>
    <s v="4c38887c-259b-4910-a97e-0127ce96221f"/>
    <s v="***"/>
    <d v="2026-04-08T14:14:07"/>
    <n v="3"/>
    <x v="0"/>
    <d v="2026-04-08T07:14:07"/>
    <x v="13"/>
    <s v="Wednesday"/>
    <n v="7"/>
  </r>
  <r>
    <s v="705a3acd-681e-44cb-bde0-1759bafa28de"/>
    <s v="***"/>
    <d v="2026-04-08T15:14:12"/>
    <n v="9"/>
    <x v="0"/>
    <d v="2026-04-08T08:14:12"/>
    <x v="13"/>
    <s v="Wednesday"/>
    <n v="8"/>
  </r>
  <r>
    <s v="98a1ddc4-ebd4-4f29-955b-f50605b1a7c9"/>
    <s v="***"/>
    <d v="2026-04-08T16:04:50"/>
    <n v="202"/>
    <x v="0"/>
    <d v="2026-04-08T09:04:50"/>
    <x v="13"/>
    <s v="Wednesday"/>
    <n v="9"/>
  </r>
  <r>
    <s v="51ffb2da-e9b8-4876-90a9-b20928a534f0"/>
    <s v="***"/>
    <d v="2026-04-08T16:13:39"/>
    <n v="3"/>
    <x v="0"/>
    <d v="2026-04-08T09:13:39"/>
    <x v="13"/>
    <s v="Wednesday"/>
    <n v="9"/>
  </r>
  <r>
    <s v="e83dcd40-64ce-46a8-8646-86886878357c"/>
    <s v="***"/>
    <d v="2026-04-08T17:34:08"/>
    <n v="3"/>
    <x v="0"/>
    <d v="2026-04-08T10:34:08"/>
    <x v="13"/>
    <s v="Wednesday"/>
    <n v="10"/>
  </r>
  <r>
    <s v="2ae3fe40-0c19-4b05-a594-ec51280b0396"/>
    <s v="***"/>
    <d v="2026-04-08T17:42:10"/>
    <n v="202"/>
    <x v="0"/>
    <d v="2026-04-08T10:42:10"/>
    <x v="13"/>
    <s v="Wednesday"/>
    <n v="10"/>
  </r>
  <r>
    <s v="c86e66e4-c82d-4f2b-bc41-0e5fe576de78"/>
    <s v="***"/>
    <d v="2026-04-08T19:25:54"/>
    <n v="3"/>
    <x v="0"/>
    <d v="2026-04-08T12:25:54"/>
    <x v="13"/>
    <s v="Wednesday"/>
    <n v="12"/>
  </r>
  <r>
    <s v="008cc17d-be6c-42ca-b926-e2b01b3f6651"/>
    <s v="***"/>
    <d v="2026-04-08T21:33:09"/>
    <n v="3"/>
    <x v="0"/>
    <d v="2026-04-08T14:33:09"/>
    <x v="13"/>
    <s v="Wednesday"/>
    <n v="14"/>
  </r>
  <r>
    <s v="a393e330-fba3-42a9-9e5e-641c8e9d456e"/>
    <s v="***"/>
    <d v="2026-04-08T22:54:27"/>
    <n v="202"/>
    <x v="0"/>
    <d v="2026-04-08T15:54:27"/>
    <x v="13"/>
    <s v="Wednesday"/>
    <n v="15"/>
  </r>
  <r>
    <s v="82641148-ec06-478b-85cb-11c10c04f851"/>
    <s v="***"/>
    <d v="2026-04-08T23:03:46"/>
    <n v="269"/>
    <x v="0"/>
    <d v="2026-04-08T16:03:46"/>
    <x v="13"/>
    <s v="Wednesday"/>
    <n v="16"/>
  </r>
  <r>
    <s v="9355670c-4ef3-42be-8efb-4887d00cc7ff"/>
    <s v="***"/>
    <d v="2026-04-09T07:35:48"/>
    <n v="3"/>
    <x v="5"/>
    <d v="2026-04-09T00:35:48"/>
    <x v="14"/>
    <s v="Thursday"/>
    <n v="0"/>
  </r>
  <r>
    <s v="2d25fb18-e610-4f56-8845-baac0b2cc4dd"/>
    <s v="***"/>
    <d v="2026-04-09T07:58:09"/>
    <n v="269"/>
    <x v="7"/>
    <d v="2026-04-09T00:58:09"/>
    <x v="14"/>
    <s v="Thursday"/>
    <n v="0"/>
  </r>
  <r>
    <s v="043ca040-1fa2-4b63-a8b8-df0a92005e79"/>
    <s v="***"/>
    <d v="2026-04-09T10:18:33"/>
    <n v="3"/>
    <x v="6"/>
    <d v="2026-04-09T03:18:33"/>
    <x v="14"/>
    <s v="Thursday"/>
    <n v="3"/>
  </r>
  <r>
    <s v="ae778362-ee97-466e-b611-df6d9597d8af"/>
    <s v="***"/>
    <d v="2026-04-09T11:11:03"/>
    <n v="269"/>
    <x v="0"/>
    <d v="2026-04-09T04:11:03"/>
    <x v="14"/>
    <s v="Thursday"/>
    <n v="4"/>
  </r>
  <r>
    <s v="81a19cb6-9e3a-4f33-8d1f-b8a2d7fdf364"/>
    <s v="***"/>
    <d v="2026-04-09T11:25:34"/>
    <n v="3"/>
    <x v="10"/>
    <d v="2026-04-09T04:25:34"/>
    <x v="14"/>
    <s v="Thursday"/>
    <n v="4"/>
  </r>
  <r>
    <s v="6439947c-cfc4-43bf-a6ac-f2df157d7870"/>
    <s v="***"/>
    <d v="2026-04-09T11:50:57"/>
    <n v="9"/>
    <x v="0"/>
    <d v="2026-04-09T04:50:57"/>
    <x v="14"/>
    <s v="Thursday"/>
    <n v="4"/>
  </r>
  <r>
    <s v="9b3ac0e3-0e55-4eb9-91d3-90a08559f033"/>
    <s v="***"/>
    <d v="2026-04-09T12:11:36"/>
    <n v="9"/>
    <x v="0"/>
    <d v="2026-04-09T05:11:36"/>
    <x v="14"/>
    <s v="Thursday"/>
    <n v="5"/>
  </r>
  <r>
    <s v="1fd2476b-9394-4e2e-8715-b6599034cb7a"/>
    <s v="***"/>
    <d v="2026-04-09T13:03:59"/>
    <n v="3"/>
    <x v="5"/>
    <d v="2026-04-09T06:03:59"/>
    <x v="14"/>
    <s v="Thursday"/>
    <n v="6"/>
  </r>
  <r>
    <s v="a679990a-1bb5-4caf-ac04-a35987c6de72"/>
    <s v="***"/>
    <d v="2026-04-09T13:07:54"/>
    <n v="9"/>
    <x v="0"/>
    <d v="2026-04-09T06:07:54"/>
    <x v="14"/>
    <s v="Thursday"/>
    <n v="6"/>
  </r>
  <r>
    <s v="4aabe280-9343-4e58-9f73-08e36af03788"/>
    <s v="***"/>
    <d v="2026-04-09T14:18:27"/>
    <n v="1"/>
    <x v="0"/>
    <d v="2026-04-09T07:18:27"/>
    <x v="14"/>
    <s v="Thursday"/>
    <n v="7"/>
  </r>
  <r>
    <s v="adf465ad-1121-43db-b1a1-3c5ddc624d72"/>
    <s v="***"/>
    <d v="2026-04-09T14:27:23"/>
    <n v="3"/>
    <x v="0"/>
    <d v="2026-04-09T07:27:23"/>
    <x v="14"/>
    <s v="Thursday"/>
    <n v="7"/>
  </r>
  <r>
    <s v="f7907a1e-f53a-4715-aa94-79c0a6be3350"/>
    <s v="***"/>
    <d v="2026-04-09T14:31:45"/>
    <n v="3"/>
    <x v="0"/>
    <d v="2026-04-09T07:31:45"/>
    <x v="14"/>
    <s v="Thursday"/>
    <n v="7"/>
  </r>
  <r>
    <s v="dddf4aa8-f5c7-4386-b89e-b1f3fd8daae2"/>
    <s v="***"/>
    <d v="2026-04-09T14:57:18"/>
    <n v="3"/>
    <x v="11"/>
    <d v="2026-04-09T07:57:18"/>
    <x v="14"/>
    <s v="Thursday"/>
    <n v="7"/>
  </r>
  <r>
    <s v="42d36e44-8325-4c16-8deb-1d3c5da575c5"/>
    <s v="***"/>
    <d v="2026-04-09T15:01:00"/>
    <n v="3"/>
    <x v="0"/>
    <d v="2026-04-09T08:01:00"/>
    <x v="14"/>
    <s v="Thursday"/>
    <n v="8"/>
  </r>
  <r>
    <s v="e5ce1d25-4bfd-4f7d-a4f7-29af062e6bcc"/>
    <s v="***"/>
    <d v="2026-04-09T15:01:36"/>
    <n v="3"/>
    <x v="11"/>
    <d v="2026-04-09T08:01:36"/>
    <x v="14"/>
    <s v="Thursday"/>
    <n v="8"/>
  </r>
  <r>
    <s v="55459101-487f-444a-a52b-4b6cea04b390"/>
    <s v="***"/>
    <d v="2026-04-09T15:13:52"/>
    <n v="3"/>
    <x v="12"/>
    <d v="2026-04-09T08:13:52"/>
    <x v="14"/>
    <s v="Thursday"/>
    <n v="8"/>
  </r>
  <r>
    <s v="ff7a1d2c-ee77-4f85-82ac-8410c769a46b"/>
    <s v="***"/>
    <d v="2026-04-09T16:30:52"/>
    <n v="3"/>
    <x v="0"/>
    <d v="2026-04-09T09:30:52"/>
    <x v="14"/>
    <s v="Thursday"/>
    <n v="9"/>
  </r>
  <r>
    <s v="5e99d29e-61f3-4bf8-876a-03911a115809"/>
    <s v="***"/>
    <d v="2026-04-09T17:06:20"/>
    <n v="3"/>
    <x v="0"/>
    <d v="2026-04-09T10:06:20"/>
    <x v="14"/>
    <s v="Thursday"/>
    <n v="10"/>
  </r>
  <r>
    <s v="e880d5c3-7338-4910-802b-860601a8f8d8"/>
    <s v="***"/>
    <d v="2026-04-09T17:19:30"/>
    <n v="3"/>
    <x v="0"/>
    <d v="2026-04-09T10:19:30"/>
    <x v="14"/>
    <s v="Thursday"/>
    <n v="10"/>
  </r>
  <r>
    <s v="11a2163b-9a98-45a3-9f0f-27ebd9f998c1"/>
    <s v="***"/>
    <d v="2026-04-09T19:05:33"/>
    <n v="269"/>
    <x v="0"/>
    <d v="2026-04-09T12:05:33"/>
    <x v="14"/>
    <s v="Thursday"/>
    <n v="12"/>
  </r>
  <r>
    <s v="a8144d27-1f9f-4bdd-be73-627220b0b1df"/>
    <s v="***"/>
    <d v="2026-04-09T20:31:55"/>
    <n v="3"/>
    <x v="0"/>
    <d v="2026-04-09T13:31:55"/>
    <x v="14"/>
    <s v="Thursday"/>
    <n v="13"/>
  </r>
  <r>
    <s v="28b46e00-f208-4f5b-b7d8-0def70fa1a61"/>
    <s v="***"/>
    <d v="2026-04-09T20:33:55"/>
    <n v="202"/>
    <x v="0"/>
    <d v="2026-04-09T13:33:55"/>
    <x v="14"/>
    <s v="Thursday"/>
    <n v="13"/>
  </r>
  <r>
    <s v="aff299d4-150b-4028-87f4-d393b5ed5111"/>
    <s v="***"/>
    <d v="2026-04-09T21:22:47"/>
    <n v="3"/>
    <x v="0"/>
    <d v="2026-04-09T14:22:47"/>
    <x v="14"/>
    <s v="Thursday"/>
    <n v="14"/>
  </r>
  <r>
    <s v="f75fac52-f17a-477d-98fd-c1f96e4e02c4"/>
    <s v="***"/>
    <d v="2026-04-09T21:52:47"/>
    <n v="3"/>
    <x v="0"/>
    <d v="2026-04-09T14:52:47"/>
    <x v="14"/>
    <s v="Thursday"/>
    <n v="14"/>
  </r>
  <r>
    <s v="aff78d40-f422-433f-b364-6ff2badf7db4"/>
    <s v="***"/>
    <d v="2026-04-09T21:55:35"/>
    <n v="202"/>
    <x v="0"/>
    <d v="2026-04-09T14:55:35"/>
    <x v="14"/>
    <s v="Thursday"/>
    <n v="14"/>
  </r>
  <r>
    <s v="7e0b7c95-f4fc-4263-bae3-7f6af675946c"/>
    <s v="***"/>
    <d v="2026-04-10T04:30:23"/>
    <n v="269"/>
    <x v="0"/>
    <d v="2026-04-09T21:30:23"/>
    <x v="14"/>
    <s v="Thursday"/>
    <n v="21"/>
  </r>
  <r>
    <s v="61f18ef7-581e-44d7-b2ad-c6c07862d9a0"/>
    <s v="***"/>
    <d v="2026-04-10T08:56:26"/>
    <n v="269"/>
    <x v="0"/>
    <d v="2026-04-10T01:56:26"/>
    <x v="15"/>
    <s v="Friday"/>
    <n v="1"/>
  </r>
  <r>
    <s v="c42c5e63-8f83-4dd8-bb45-7b9837dbc462"/>
    <s v="***"/>
    <d v="2026-04-10T09:25:33"/>
    <n v="3"/>
    <x v="0"/>
    <d v="2026-04-10T02:25:33"/>
    <x v="15"/>
    <s v="Friday"/>
    <n v="2"/>
  </r>
  <r>
    <s v="2a5f687c-aed8-4737-ab7a-b39ec77ef8be"/>
    <s v="***"/>
    <d v="2026-04-10T14:36:27"/>
    <n v="269"/>
    <x v="0"/>
    <d v="2026-04-10T07:36:27"/>
    <x v="15"/>
    <s v="Friday"/>
    <n v="7"/>
  </r>
  <r>
    <s v="af5c0563-6545-437d-9071-d06e574706a7"/>
    <s v="***"/>
    <d v="2026-04-10T14:39:01"/>
    <n v="3"/>
    <x v="0"/>
    <d v="2026-04-10T07:39:01"/>
    <x v="15"/>
    <s v="Friday"/>
    <n v="7"/>
  </r>
  <r>
    <s v="25508ae6-eec7-462d-8403-85505838506d"/>
    <s v="***"/>
    <d v="2026-04-11T08:49:22"/>
    <n v="3"/>
    <x v="0"/>
    <d v="2026-04-11T01:49:22"/>
    <x v="16"/>
    <s v="Saturday"/>
    <n v="1"/>
  </r>
  <r>
    <s v="d28d4346-4efa-4c12-804c-6f1ebf55797f"/>
    <s v="***"/>
    <d v="2026-04-11T11:34:07"/>
    <n v="3"/>
    <x v="13"/>
    <d v="2026-04-11T04:34:07"/>
    <x v="16"/>
    <s v="Saturday"/>
    <n v="4"/>
  </r>
  <r>
    <s v="83ed517f-6dd5-48b0-a87f-9d9409f93045"/>
    <s v="***"/>
    <d v="2026-04-11T19:10:17"/>
    <n v="3"/>
    <x v="0"/>
    <d v="2026-04-11T12:10:17"/>
    <x v="16"/>
    <s v="Saturday"/>
    <n v="12"/>
  </r>
  <r>
    <s v="e27c9c11-1714-4736-bb75-59feadb8b05b"/>
    <s v="***"/>
    <d v="2026-04-11T20:39:38"/>
    <n v="3"/>
    <x v="0"/>
    <d v="2026-04-11T13:39:38"/>
    <x v="16"/>
    <s v="Saturday"/>
    <n v="13"/>
  </r>
  <r>
    <s v="08026f30-c74d-435f-93b8-7a04ccf638cd"/>
    <s v="***"/>
    <d v="2026-04-11T23:54:42"/>
    <n v="3"/>
    <x v="0"/>
    <d v="2026-04-11T16:54:42"/>
    <x v="16"/>
    <s v="Saturday"/>
    <n v="16"/>
  </r>
  <r>
    <s v="9d17b721-e747-483f-baf2-4ae65004cb0a"/>
    <s v="***"/>
    <d v="2026-04-12T00:16:22"/>
    <n v="3"/>
    <x v="0"/>
    <d v="2026-04-11T17:16:22"/>
    <x v="16"/>
    <s v="Saturday"/>
    <n v="17"/>
  </r>
  <r>
    <s v="5225495d-3c50-45ae-88f2-5a93a81154b3"/>
    <s v="***"/>
    <d v="2026-04-12T01:28:11"/>
    <n v="3"/>
    <x v="2"/>
    <d v="2026-04-11T18:28:11"/>
    <x v="16"/>
    <s v="Saturday"/>
    <n v="18"/>
  </r>
  <r>
    <s v="d4be5a22-681f-4f5b-9efb-17dd07b0a5fc"/>
    <s v="***"/>
    <d v="2026-04-12T01:47:59"/>
    <n v="3"/>
    <x v="0"/>
    <d v="2026-04-11T18:47:59"/>
    <x v="16"/>
    <s v="Saturday"/>
    <n v="18"/>
  </r>
  <r>
    <s v="4295398d-05fd-4f6a-ab81-0b8853a7fa5c"/>
    <s v="***"/>
    <d v="2026-04-12T07:26:16"/>
    <n v="3"/>
    <x v="0"/>
    <d v="2026-04-12T00:26:16"/>
    <x v="17"/>
    <s v="Sunday"/>
    <n v="0"/>
  </r>
  <r>
    <s v="a59949d0-1883-4faa-aa0e-df309cf7d6d3"/>
    <s v="***"/>
    <d v="2026-04-12T11:36:43"/>
    <n v="269"/>
    <x v="0"/>
    <d v="2026-04-12T04:36:43"/>
    <x v="17"/>
    <s v="Sunday"/>
    <n v="4"/>
  </r>
  <r>
    <s v="ec210e9f-eb2c-401e-b967-b50ba51479c6"/>
    <s v="***"/>
    <d v="2026-04-12T17:27:28"/>
    <n v="3"/>
    <x v="0"/>
    <d v="2026-04-12T10:27:28"/>
    <x v="17"/>
    <s v="Sunday"/>
    <n v="10"/>
  </r>
  <r>
    <s v="165baf7e-d3a7-4bbf-95b2-1889ad876a9b"/>
    <s v="***"/>
    <d v="2026-04-13T04:13:03"/>
    <n v="3"/>
    <x v="0"/>
    <d v="2026-04-12T21:13:03"/>
    <x v="17"/>
    <s v="Sunday"/>
    <n v="21"/>
  </r>
  <r>
    <s v="cf208495-c641-43a8-9b8c-df9d40e49495"/>
    <s v="***"/>
    <d v="2026-04-13T06:45:24"/>
    <n v="269"/>
    <x v="0"/>
    <d v="2026-04-12T23:45:24"/>
    <x v="17"/>
    <s v="Sunday"/>
    <n v="23"/>
  </r>
  <r>
    <s v="f958da53-4401-47e0-aeb4-5e1d2b816290"/>
    <s v="***"/>
    <d v="2026-04-13T07:01:36"/>
    <n v="269"/>
    <x v="0"/>
    <d v="2026-04-13T00:01:36"/>
    <x v="18"/>
    <s v="Monday"/>
    <n v="0"/>
  </r>
  <r>
    <s v="f00ac724-cc27-498e-84d7-87b76f8d62df"/>
    <s v="***"/>
    <d v="2026-04-13T08:41:25"/>
    <n v="269"/>
    <x v="0"/>
    <d v="2026-04-13T01:41:25"/>
    <x v="18"/>
    <s v="Monday"/>
    <n v="1"/>
  </r>
  <r>
    <s v="b3764cd6-3955-425f-988f-070421a726af"/>
    <s v="***"/>
    <d v="2026-04-13T09:03:52"/>
    <n v="269"/>
    <x v="0"/>
    <d v="2026-04-13T02:03:52"/>
    <x v="18"/>
    <s v="Monday"/>
    <n v="2"/>
  </r>
  <r>
    <s v="d9e26dbc-77d7-4fe3-b0cf-e23d2a554f7f"/>
    <s v="***"/>
    <d v="2026-04-13T10:00:04"/>
    <n v="269"/>
    <x v="0"/>
    <d v="2026-04-13T03:00:04"/>
    <x v="18"/>
    <s v="Monday"/>
    <n v="3"/>
  </r>
  <r>
    <s v="6414349c-98be-41f3-9ddf-7e2df0588900"/>
    <s v="***"/>
    <d v="2026-04-13T12:52:44"/>
    <n v="269"/>
    <x v="1"/>
    <d v="2026-04-13T05:52:44"/>
    <x v="18"/>
    <s v="Monday"/>
    <n v="5"/>
  </r>
  <r>
    <s v="640b8385-910c-483e-907d-e2fc33816909"/>
    <s v="***"/>
    <d v="2026-04-13T14:05:05"/>
    <n v="269"/>
    <x v="0"/>
    <d v="2026-04-13T07:05:05"/>
    <x v="18"/>
    <s v="Monday"/>
    <n v="7"/>
  </r>
  <r>
    <s v="b97b1507-173e-41f9-aa88-94558ec388ff"/>
    <s v="***"/>
    <d v="2026-04-13T14:39:01"/>
    <n v="1"/>
    <x v="0"/>
    <d v="2026-04-13T07:39:01"/>
    <x v="18"/>
    <s v="Monday"/>
    <n v="7"/>
  </r>
  <r>
    <s v="d766f2b3-bf2f-4cea-8fd7-44bacb719b8a"/>
    <s v="***"/>
    <d v="2026-04-13T15:57:50"/>
    <n v="269"/>
    <x v="14"/>
    <d v="2026-04-13T08:57:50"/>
    <x v="18"/>
    <s v="Monday"/>
    <n v="8"/>
  </r>
  <r>
    <s v="8fb17f66-d8dc-4549-8281-caba991efc25"/>
    <s v="***"/>
    <d v="2026-04-13T17:59:27"/>
    <n v="3"/>
    <x v="0"/>
    <d v="2026-04-13T10:59:27"/>
    <x v="18"/>
    <s v="Monday"/>
    <n v="10"/>
  </r>
  <r>
    <s v="fde83979-0ad3-4ee8-af26-0070f7d7afd3"/>
    <s v="***"/>
    <d v="2026-04-13T17:59:42"/>
    <n v="3"/>
    <x v="0"/>
    <d v="2026-04-13T10:59:42"/>
    <x v="18"/>
    <s v="Monday"/>
    <n v="10"/>
  </r>
  <r>
    <s v="0ef2c054-4d01-46bd-9f3d-c1840f567401"/>
    <s v="***"/>
    <d v="2026-04-13T18:38:16"/>
    <n v="3"/>
    <x v="15"/>
    <d v="2026-04-13T11:38:16"/>
    <x v="18"/>
    <s v="Monday"/>
    <n v="11"/>
  </r>
  <r>
    <s v="85d24b4b-54f1-4c33-bc8c-6d749c7343f5"/>
    <s v="***"/>
    <d v="2026-04-13T19:00:32"/>
    <n v="6076"/>
    <x v="15"/>
    <d v="2026-04-13T12:00:32"/>
    <x v="18"/>
    <s v="Monday"/>
    <n v="12"/>
  </r>
  <r>
    <s v="c7785ab4-4620-49aa-9380-b1d5cb3f9e0d"/>
    <s v="***"/>
    <d v="2026-04-13T19:02:26"/>
    <n v="3"/>
    <x v="0"/>
    <d v="2026-04-13T12:02:26"/>
    <x v="18"/>
    <s v="Monday"/>
    <n v="12"/>
  </r>
  <r>
    <s v="5fe3689e-abf5-4574-a9ac-1640c60b6423"/>
    <s v="***"/>
    <d v="2026-04-13T19:25:51"/>
    <n v="3"/>
    <x v="16"/>
    <d v="2026-04-13T12:25:51"/>
    <x v="18"/>
    <s v="Monday"/>
    <n v="12"/>
  </r>
  <r>
    <s v="3b0eb5c3-8078-48df-8ee3-65dfe572bf78"/>
    <s v="***"/>
    <d v="2026-04-13T20:40:06"/>
    <n v="3"/>
    <x v="0"/>
    <d v="2026-04-13T13:40:06"/>
    <x v="18"/>
    <s v="Monday"/>
    <n v="13"/>
  </r>
  <r>
    <s v="cd7b67f3-044d-42e9-8b6b-ca746b28e692"/>
    <s v="***"/>
    <d v="2026-04-13T20:52:35"/>
    <n v="202"/>
    <x v="0"/>
    <d v="2026-04-13T13:52:35"/>
    <x v="18"/>
    <s v="Monday"/>
    <n v="13"/>
  </r>
  <r>
    <s v="32b1f577-9fde-4018-9e09-0d533f7d5338"/>
    <s v="***"/>
    <d v="2026-04-13T20:52:39"/>
    <n v="269"/>
    <x v="1"/>
    <d v="2026-04-13T13:52:39"/>
    <x v="18"/>
    <s v="Monday"/>
    <n v="13"/>
  </r>
  <r>
    <s v="b5a09621-5213-4451-b07d-2818dbc8686c"/>
    <s v="***"/>
    <d v="2026-04-13T21:23:46"/>
    <n v="3"/>
    <x v="0"/>
    <d v="2026-04-13T14:23:46"/>
    <x v="18"/>
    <s v="Monday"/>
    <n v="14"/>
  </r>
  <r>
    <s v="02cc08ab-1e23-4058-9f75-826b11f4044c"/>
    <s v="***"/>
    <d v="2026-04-13T21:28:53"/>
    <n v="3"/>
    <x v="0"/>
    <d v="2026-04-13T14:28:53"/>
    <x v="18"/>
    <s v="Monday"/>
    <n v="14"/>
  </r>
  <r>
    <s v="71c38cbc-3746-4e6b-9328-d1a373fcc018"/>
    <s v="***"/>
    <d v="2026-04-13T22:35:48"/>
    <n v="3"/>
    <x v="0"/>
    <d v="2026-04-13T15:35:48"/>
    <x v="18"/>
    <s v="Monday"/>
    <n v="15"/>
  </r>
  <r>
    <s v="f5a2d3f4-d3b4-4018-8594-a9b7f6dd2b53"/>
    <s v="***"/>
    <d v="2026-04-14T02:54:10"/>
    <n v="3"/>
    <x v="0"/>
    <d v="2026-04-13T19:54:10"/>
    <x v="18"/>
    <s v="Monday"/>
    <n v="19"/>
  </r>
  <r>
    <s v="91f1a00d-0d6a-4b0e-9efb-a70e011b737e"/>
    <s v="***"/>
    <d v="2026-04-14T03:03:15"/>
    <n v="269"/>
    <x v="0"/>
    <d v="2026-04-13T20:03:15"/>
    <x v="18"/>
    <s v="Monday"/>
    <n v="20"/>
  </r>
  <r>
    <s v="64a4d20b-78fa-47c9-8108-f47fd9919b24"/>
    <s v="***"/>
    <d v="2026-04-14T06:35:05"/>
    <n v="269"/>
    <x v="0"/>
    <d v="2026-04-13T23:35:05"/>
    <x v="18"/>
    <s v="Monday"/>
    <n v="23"/>
  </r>
  <r>
    <s v="57e05cf1-6b1c-4495-9f35-1df7a3fedbe3"/>
    <s v="***"/>
    <d v="2026-04-14T07:22:39"/>
    <n v="269"/>
    <x v="0"/>
    <d v="2026-04-14T00:22:39"/>
    <x v="19"/>
    <s v="Tuesday"/>
    <n v="0"/>
  </r>
  <r>
    <s v="cf7172ea-9f67-4238-8709-45e18198ddfe"/>
    <s v="***"/>
    <d v="2026-04-14T07:24:08"/>
    <n v="269"/>
    <x v="0"/>
    <d v="2026-04-14T00:24:08"/>
    <x v="19"/>
    <s v="Tuesday"/>
    <n v="0"/>
  </r>
  <r>
    <s v="3868670c-71de-4edd-931c-1fdda808d3ec"/>
    <s v="***"/>
    <d v="2026-04-14T07:36:49"/>
    <n v="3"/>
    <x v="5"/>
    <d v="2026-04-14T00:36:49"/>
    <x v="19"/>
    <s v="Tuesday"/>
    <n v="0"/>
  </r>
  <r>
    <s v="9f7e8fdb-e5de-4718-b3e5-d50ea7be599c"/>
    <s v="***"/>
    <d v="2026-04-14T08:04:19"/>
    <n v="3"/>
    <x v="17"/>
    <d v="2026-04-14T01:04:19"/>
    <x v="19"/>
    <s v="Tuesday"/>
    <n v="1"/>
  </r>
  <r>
    <s v="16dc622f-fd19-4bf8-9e24-8363c0868103"/>
    <s v="***"/>
    <d v="2026-04-14T08:22:58"/>
    <n v="269"/>
    <x v="0"/>
    <d v="2026-04-14T01:22:58"/>
    <x v="19"/>
    <s v="Tuesday"/>
    <n v="1"/>
  </r>
  <r>
    <s v="b7405343-834d-4616-8dbe-810a8fd8e1d7"/>
    <s v="***"/>
    <d v="2026-04-14T08:27:59"/>
    <n v="269"/>
    <x v="0"/>
    <d v="2026-04-14T01:27:59"/>
    <x v="19"/>
    <s v="Tuesday"/>
    <n v="1"/>
  </r>
  <r>
    <s v="d01f0a12-1167-452c-9fea-31207b283110"/>
    <s v="***"/>
    <d v="2026-04-14T10:35:14"/>
    <n v="269"/>
    <x v="0"/>
    <d v="2026-04-14T03:35:14"/>
    <x v="19"/>
    <s v="Tuesday"/>
    <n v="3"/>
  </r>
  <r>
    <s v="c534fe61-5dbf-4346-94e4-846f2c63f53d"/>
    <s v="***"/>
    <d v="2026-04-14T10:51:51"/>
    <n v="3"/>
    <x v="14"/>
    <d v="2026-04-14T03:51:51"/>
    <x v="19"/>
    <s v="Tuesday"/>
    <n v="3"/>
  </r>
  <r>
    <s v="ccf4bbd3-e8ae-4f42-828a-4f8fee58ed1a"/>
    <s v="***"/>
    <d v="2026-04-14T11:15:33"/>
    <n v="3"/>
    <x v="18"/>
    <d v="2026-04-14T04:15:33"/>
    <x v="19"/>
    <s v="Tuesday"/>
    <n v="4"/>
  </r>
  <r>
    <s v="97b86e32-fa51-4d70-85d3-2508f1af99e8"/>
    <s v="***"/>
    <d v="2026-04-14T11:34:48"/>
    <n v="269"/>
    <x v="0"/>
    <d v="2026-04-14T04:34:48"/>
    <x v="19"/>
    <s v="Tuesday"/>
    <n v="4"/>
  </r>
  <r>
    <s v="8ae19c87-f768-46cc-9b2d-7cdd3d4af486"/>
    <s v="***"/>
    <d v="2026-04-14T13:49:31"/>
    <n v="3"/>
    <x v="0"/>
    <d v="2026-04-14T06:49:31"/>
    <x v="19"/>
    <s v="Tuesday"/>
    <n v="6"/>
  </r>
  <r>
    <s v="055d7455-14dc-407e-b971-9b45cd8f9eeb"/>
    <s v="***"/>
    <d v="2026-04-14T14:05:41"/>
    <n v="269"/>
    <x v="0"/>
    <d v="2026-04-14T07:05:41"/>
    <x v="19"/>
    <s v="Tuesday"/>
    <n v="7"/>
  </r>
  <r>
    <s v="b8c84d41-7f80-4856-b13f-e7aa61fa0939"/>
    <s v="***"/>
    <d v="2026-04-14T14:12:42"/>
    <n v="3"/>
    <x v="0"/>
    <d v="2026-04-14T07:12:42"/>
    <x v="19"/>
    <s v="Tuesday"/>
    <n v="7"/>
  </r>
  <r>
    <s v="2b33ecac-f989-439b-ac30-5348cf5c616a"/>
    <s v="***"/>
    <d v="2026-04-14T14:48:40"/>
    <n v="3"/>
    <x v="19"/>
    <d v="2026-04-14T07:48:40"/>
    <x v="19"/>
    <s v="Tuesday"/>
    <n v="7"/>
  </r>
  <r>
    <s v="f798616f-2bcb-4a62-8e07-d7bf1a374c5f"/>
    <s v="***"/>
    <d v="2026-04-14T14:51:55"/>
    <n v="269"/>
    <x v="0"/>
    <d v="2026-04-14T07:51:55"/>
    <x v="19"/>
    <s v="Tuesday"/>
    <n v="7"/>
  </r>
  <r>
    <s v="dc730522-deb3-4f07-bf7d-271f70311bb5"/>
    <s v="***"/>
    <d v="2026-04-14T14:55:36"/>
    <n v="3"/>
    <x v="0"/>
    <d v="2026-04-14T07:55:36"/>
    <x v="19"/>
    <s v="Tuesday"/>
    <n v="7"/>
  </r>
  <r>
    <s v="29f10b10-469d-41bb-9f40-7d45440d9cc2"/>
    <s v="***"/>
    <d v="2026-04-14T15:01:38"/>
    <n v="269"/>
    <x v="0"/>
    <d v="2026-04-14T08:01:38"/>
    <x v="19"/>
    <s v="Tuesday"/>
    <n v="8"/>
  </r>
  <r>
    <s v="06de47e0-5af2-40ec-be5c-8345abebb11f"/>
    <s v="***"/>
    <d v="2026-04-14T15:15:42"/>
    <n v="269"/>
    <x v="0"/>
    <d v="2026-04-14T08:15:42"/>
    <x v="19"/>
    <s v="Tuesday"/>
    <n v="8"/>
  </r>
  <r>
    <s v="35410780-0d76-40c3-b41b-374eaeed451f"/>
    <s v="***"/>
    <d v="2026-04-14T19:27:20"/>
    <n v="3"/>
    <x v="0"/>
    <d v="2026-04-14T12:27:20"/>
    <x v="19"/>
    <s v="Tuesday"/>
    <n v="12"/>
  </r>
  <r>
    <s v="6df2c153-b88d-4024-87c3-6bab26cfc4dc"/>
    <s v="***"/>
    <d v="2026-04-14T20:52:34"/>
    <n v="3"/>
    <x v="0"/>
    <d v="2026-04-14T13:52:34"/>
    <x v="19"/>
    <s v="Tuesday"/>
    <n v="13"/>
  </r>
  <r>
    <s v="17a94ae1-4a39-48ca-ba01-b06644a08803"/>
    <s v="***"/>
    <d v="2026-04-14T23:23:39"/>
    <n v="3"/>
    <x v="0"/>
    <d v="2026-04-14T16:23:39"/>
    <x v="19"/>
    <s v="Tuesday"/>
    <n v="16"/>
  </r>
  <r>
    <s v="f9b6e0ef-9f10-4067-be3e-2be2065cd7f3"/>
    <s v="***"/>
    <d v="2026-04-15T02:55:15"/>
    <n v="3"/>
    <x v="2"/>
    <d v="2026-04-14T19:55:15"/>
    <x v="19"/>
    <s v="Tuesday"/>
    <n v="19"/>
  </r>
  <r>
    <s v="1e7df3e6-dfae-441f-8907-c27b27327fba"/>
    <s v="***"/>
    <d v="2026-04-15T04:03:39"/>
    <n v="269"/>
    <x v="2"/>
    <d v="2026-04-14T21:03:39"/>
    <x v="19"/>
    <s v="Tuesday"/>
    <n v="21"/>
  </r>
  <r>
    <s v="0cca0b27-7684-45c6-a6cb-939bdb7cd897"/>
    <s v="***"/>
    <d v="2026-04-15T06:52:25"/>
    <n v="6085"/>
    <x v="19"/>
    <d v="2026-04-14T23:52:25"/>
    <x v="19"/>
    <s v="Tuesday"/>
    <n v="23"/>
  </r>
  <r>
    <s v="7e9a385b-cc14-4e7d-a0b7-12e877576605"/>
    <s v="***"/>
    <d v="2026-04-15T06:54:01"/>
    <n v="3"/>
    <x v="14"/>
    <d v="2026-04-14T23:54:01"/>
    <x v="19"/>
    <s v="Tuesday"/>
    <n v="23"/>
  </r>
  <r>
    <s v="eab3acfb-f0eb-4237-98f7-6575515734a8"/>
    <s v="***"/>
    <d v="2026-04-15T07:07:11"/>
    <n v="269"/>
    <x v="14"/>
    <d v="2026-04-15T00:07:11"/>
    <x v="20"/>
    <s v="Wednesday"/>
    <n v="0"/>
  </r>
  <r>
    <s v="6782020c-1b27-40f3-84a7-6c33645ed42f"/>
    <s v="***"/>
    <d v="2026-04-15T07:11:10"/>
    <n v="269"/>
    <x v="7"/>
    <d v="2026-04-15T00:11:10"/>
    <x v="20"/>
    <s v="Wednesday"/>
    <n v="0"/>
  </r>
  <r>
    <s v="090046ae-c23c-4918-9b80-eab2ad0686c8"/>
    <s v="***"/>
    <d v="2026-04-15T07:39:06"/>
    <n v="1"/>
    <x v="20"/>
    <d v="2026-04-15T00:39:06"/>
    <x v="20"/>
    <s v="Wednesday"/>
    <n v="0"/>
  </r>
  <r>
    <s v="ab2fc46d-df6d-48b8-8c0e-d8da4d12ab88"/>
    <s v="***"/>
    <d v="2026-04-15T07:40:50"/>
    <n v="269"/>
    <x v="0"/>
    <d v="2026-04-15T00:40:50"/>
    <x v="20"/>
    <s v="Wednesday"/>
    <n v="0"/>
  </r>
  <r>
    <s v="5edc9c27-648a-4f9d-beb4-abc70fdd1ded"/>
    <s v="***"/>
    <d v="2026-04-15T07:44:08"/>
    <n v="269"/>
    <x v="0"/>
    <d v="2026-04-15T00:44:08"/>
    <x v="20"/>
    <s v="Wednesday"/>
    <n v="0"/>
  </r>
  <r>
    <s v="163cc654-cb92-44f3-b511-792b442016bd"/>
    <s v="***"/>
    <d v="2026-04-15T08:06:20"/>
    <n v="269"/>
    <x v="0"/>
    <d v="2026-04-15T01:06:20"/>
    <x v="20"/>
    <s v="Wednesday"/>
    <n v="1"/>
  </r>
  <r>
    <s v="fb83689c-c8ec-43aa-9c1f-2fb0c6e5e634"/>
    <s v="***"/>
    <d v="2026-04-15T08:44:26"/>
    <n v="269"/>
    <x v="0"/>
    <d v="2026-04-15T01:44:26"/>
    <x v="20"/>
    <s v="Wednesday"/>
    <n v="1"/>
  </r>
  <r>
    <s v="968293dd-90fd-48cd-8680-86770403ffba"/>
    <s v="***"/>
    <d v="2026-04-15T09:14:06"/>
    <n v="269"/>
    <x v="0"/>
    <d v="2026-04-15T02:14:06"/>
    <x v="20"/>
    <s v="Wednesday"/>
    <n v="2"/>
  </r>
  <r>
    <s v="9cbd564b-a2d0-4eb2-aef4-c87f5a4615c4"/>
    <s v="***"/>
    <d v="2026-04-15T09:21:32"/>
    <n v="269"/>
    <x v="0"/>
    <d v="2026-04-15T02:21:32"/>
    <x v="20"/>
    <s v="Wednesday"/>
    <n v="2"/>
  </r>
  <r>
    <s v="6a9f9eb7-d6c3-458a-9de2-1b83b1de211b"/>
    <s v="***"/>
    <d v="2026-04-15T09:51:53"/>
    <n v="269"/>
    <x v="7"/>
    <d v="2026-04-15T02:51:53"/>
    <x v="20"/>
    <s v="Wednesday"/>
    <n v="2"/>
  </r>
  <r>
    <s v="3c7013ea-49d6-4883-98e1-b4ab02642e2e"/>
    <s v="***"/>
    <d v="2026-04-15T10:03:02"/>
    <n v="269"/>
    <x v="7"/>
    <d v="2026-04-15T03:03:02"/>
    <x v="20"/>
    <s v="Wednesday"/>
    <n v="3"/>
  </r>
  <r>
    <s v="33b4bd1c-735d-4b39-909d-1b2556f44f31"/>
    <s v="***"/>
    <d v="2026-04-15T10:17:51"/>
    <n v="269"/>
    <x v="0"/>
    <d v="2026-04-15T03:17:51"/>
    <x v="20"/>
    <s v="Wednesday"/>
    <n v="3"/>
  </r>
  <r>
    <s v="c0af5332-a201-4ec1-90a5-34ed010901f4"/>
    <s v="***"/>
    <d v="2026-04-15T10:55:49"/>
    <n v="3"/>
    <x v="0"/>
    <d v="2026-04-15T03:55:49"/>
    <x v="20"/>
    <s v="Wednesday"/>
    <n v="3"/>
  </r>
  <r>
    <s v="729d2979-14b9-4255-ae57-dd7f14f3da8a"/>
    <s v="***"/>
    <d v="2026-04-15T11:16:47"/>
    <n v="269"/>
    <x v="0"/>
    <d v="2026-04-15T04:16:47"/>
    <x v="20"/>
    <s v="Wednesday"/>
    <n v="4"/>
  </r>
  <r>
    <s v="0f506707-6151-4610-92c6-2b9cf72147d6"/>
    <s v="***"/>
    <d v="2026-04-15T11:50:08"/>
    <n v="269"/>
    <x v="7"/>
    <d v="2026-04-15T04:50:08"/>
    <x v="20"/>
    <s v="Wednesday"/>
    <n v="4"/>
  </r>
  <r>
    <s v="03f4e5e5-d4e6-4984-8f44-c2e250bd382e"/>
    <s v="***"/>
    <d v="2026-04-15T11:51:29"/>
    <n v="3"/>
    <x v="17"/>
    <d v="2026-04-15T04:51:29"/>
    <x v="20"/>
    <s v="Wednesday"/>
    <n v="4"/>
  </r>
  <r>
    <s v="c15c2313-df67-4089-b0bf-224de3032e2e"/>
    <s v="***"/>
    <d v="2026-04-15T12:04:16"/>
    <n v="3"/>
    <x v="0"/>
    <d v="2026-04-15T05:04:16"/>
    <x v="20"/>
    <s v="Wednesday"/>
    <n v="5"/>
  </r>
  <r>
    <s v="4c692da2-d5e7-48be-97b6-2cbe455836b9"/>
    <s v="***"/>
    <d v="2026-04-15T12:15:15"/>
    <n v="3"/>
    <x v="17"/>
    <d v="2026-04-15T05:15:15"/>
    <x v="20"/>
    <s v="Wednesday"/>
    <n v="5"/>
  </r>
  <r>
    <s v="8fc3afbd-e1ab-4305-9041-add05dcc3591"/>
    <s v="***"/>
    <d v="2026-04-15T12:31:19"/>
    <n v="269"/>
    <x v="0"/>
    <d v="2026-04-15T05:31:19"/>
    <x v="20"/>
    <s v="Wednesday"/>
    <n v="5"/>
  </r>
  <r>
    <s v="872b27e1-2d48-4a41-8d69-9321093a60d5"/>
    <s v="***"/>
    <d v="2026-04-15T12:54:25"/>
    <n v="269"/>
    <x v="0"/>
    <d v="2026-04-15T05:54:25"/>
    <x v="20"/>
    <s v="Wednesday"/>
    <n v="5"/>
  </r>
  <r>
    <s v="70dcf9c9-ad16-4614-841f-4a9ee1d8f74a"/>
    <s v="***"/>
    <d v="2026-04-15T13:04:38"/>
    <n v="269"/>
    <x v="0"/>
    <d v="2026-04-15T06:04:38"/>
    <x v="20"/>
    <s v="Wednesday"/>
    <n v="6"/>
  </r>
  <r>
    <s v="37e27a32-058a-4029-b540-5de43aa405be"/>
    <s v="***"/>
    <d v="2026-04-15T13:05:54"/>
    <n v="269"/>
    <x v="7"/>
    <d v="2026-04-15T06:05:54"/>
    <x v="20"/>
    <s v="Wednesday"/>
    <n v="6"/>
  </r>
  <r>
    <s v="80d32257-a1d0-47d5-b1d8-5e95021319f2"/>
    <s v="***"/>
    <d v="2026-04-15T13:29:11"/>
    <n v="269"/>
    <x v="21"/>
    <d v="2026-04-15T06:29:11"/>
    <x v="20"/>
    <s v="Wednesday"/>
    <n v="6"/>
  </r>
  <r>
    <s v="a12f9861-1b88-40ef-b107-997376f9e5e4"/>
    <s v="***"/>
    <d v="2026-04-15T13:32:13"/>
    <n v="3"/>
    <x v="0"/>
    <d v="2026-04-15T06:32:13"/>
    <x v="20"/>
    <s v="Wednesday"/>
    <n v="6"/>
  </r>
  <r>
    <s v="8f0b3a36-8a52-41a8-bd4e-51aa038d51ee"/>
    <s v="***"/>
    <d v="2026-04-15T13:39:44"/>
    <n v="3"/>
    <x v="5"/>
    <d v="2026-04-15T06:39:44"/>
    <x v="20"/>
    <s v="Wednesday"/>
    <n v="6"/>
  </r>
  <r>
    <s v="36c3c1ab-c389-4bcc-b548-6ebca6cc10f0"/>
    <s v="***"/>
    <d v="2026-04-15T13:41:36"/>
    <n v="269"/>
    <x v="0"/>
    <d v="2026-04-15T06:41:36"/>
    <x v="20"/>
    <s v="Wednesday"/>
    <n v="6"/>
  </r>
  <r>
    <s v="051360c9-a0e3-4ce8-b92b-f67642d211f3"/>
    <s v="***"/>
    <d v="2026-04-15T13:42:23"/>
    <n v="64"/>
    <x v="0"/>
    <d v="2026-04-15T06:42:23"/>
    <x v="20"/>
    <s v="Wednesday"/>
    <n v="6"/>
  </r>
  <r>
    <s v="cc73c940-5e9b-41ed-b710-b31ff537d49b"/>
    <s v="***"/>
    <d v="2026-04-15T14:14:12"/>
    <n v="269"/>
    <x v="0"/>
    <d v="2026-04-15T07:14:12"/>
    <x v="20"/>
    <s v="Wednesday"/>
    <n v="7"/>
  </r>
  <r>
    <s v="9620840c-556f-4f40-bd8c-e005509f3dab"/>
    <s v="***"/>
    <d v="2026-04-15T14:18:50"/>
    <n v="202"/>
    <x v="22"/>
    <d v="2026-04-15T07:18:50"/>
    <x v="20"/>
    <s v="Wednesday"/>
    <n v="7"/>
  </r>
  <r>
    <s v="b5124e4b-b5ca-4ee2-8061-d53b3d1c63fc"/>
    <s v="***"/>
    <d v="2026-04-15T14:42:25"/>
    <n v="269"/>
    <x v="0"/>
    <d v="2026-04-15T07:42:25"/>
    <x v="20"/>
    <s v="Wednesday"/>
    <n v="7"/>
  </r>
  <r>
    <s v="16a18646-50ce-4100-803e-96b9aa1abe42"/>
    <s v="***"/>
    <d v="2026-04-15T14:53:13"/>
    <n v="269"/>
    <x v="0"/>
    <d v="2026-04-15T07:53:13"/>
    <x v="20"/>
    <s v="Wednesday"/>
    <n v="7"/>
  </r>
  <r>
    <s v="b1020763-4aa8-4b8d-b0fc-15ddf4f3951b"/>
    <s v="***"/>
    <d v="2026-04-15T14:54:58"/>
    <n v="3"/>
    <x v="0"/>
    <d v="2026-04-15T07:54:58"/>
    <x v="20"/>
    <s v="Wednesday"/>
    <n v="7"/>
  </r>
  <r>
    <s v="03741712-3d37-4d33-8212-0db40b72da4b"/>
    <s v="***"/>
    <d v="2026-04-15T15:02:28"/>
    <n v="269"/>
    <x v="0"/>
    <d v="2026-04-15T08:02:28"/>
    <x v="20"/>
    <s v="Wednesday"/>
    <n v="8"/>
  </r>
  <r>
    <s v="47b0051d-4e0e-4b26-a4e3-eeec315fa7bb"/>
    <s v="***"/>
    <d v="2026-04-15T15:30:15"/>
    <n v="202"/>
    <x v="0"/>
    <d v="2026-04-15T08:30:15"/>
    <x v="20"/>
    <s v="Wednesday"/>
    <n v="8"/>
  </r>
  <r>
    <s v="d6337acd-ed5d-4447-8dde-2e5d471b0f87"/>
    <s v="***"/>
    <d v="2026-04-15T15:31:45"/>
    <n v="3"/>
    <x v="0"/>
    <d v="2026-04-15T08:31:45"/>
    <x v="20"/>
    <s v="Wednesday"/>
    <n v="8"/>
  </r>
  <r>
    <s v="9a35a025-12fd-4a24-81e8-16880278e9af"/>
    <s v="***"/>
    <d v="2026-04-15T15:48:27"/>
    <n v="10"/>
    <x v="0"/>
    <d v="2026-04-15T08:48:27"/>
    <x v="20"/>
    <s v="Wednesday"/>
    <n v="8"/>
  </r>
  <r>
    <s v="c840b720-47bc-4089-b681-10660f140e20"/>
    <s v="***"/>
    <d v="2026-04-15T15:50:23"/>
    <n v="9"/>
    <x v="0"/>
    <d v="2026-04-15T08:50:23"/>
    <x v="20"/>
    <s v="Wednesday"/>
    <n v="8"/>
  </r>
  <r>
    <s v="f35742d7-7efb-4517-9517-d1ad80dd93fc"/>
    <s v="***"/>
    <d v="2026-04-15T16:24:56"/>
    <n v="3"/>
    <x v="0"/>
    <d v="2026-04-15T09:24:56"/>
    <x v="20"/>
    <s v="Wednesday"/>
    <n v="9"/>
  </r>
  <r>
    <s v="7b04e1ec-ba0b-426c-9545-159be42b23b6"/>
    <s v="***"/>
    <d v="2026-04-15T16:28:13"/>
    <n v="3"/>
    <x v="0"/>
    <d v="2026-04-15T09:28:13"/>
    <x v="20"/>
    <s v="Wednesday"/>
    <n v="9"/>
  </r>
  <r>
    <s v="e81d8a26-cfc7-4ec1-a4c4-5d1b44987b94"/>
    <s v="***"/>
    <d v="2026-04-15T17:42:33"/>
    <n v="202"/>
    <x v="0"/>
    <d v="2026-04-15T10:42:33"/>
    <x v="20"/>
    <s v="Wednesday"/>
    <n v="10"/>
  </r>
  <r>
    <s v="cca4e44f-4c4b-4c06-aa77-4292ee006609"/>
    <s v="***"/>
    <d v="2026-04-15T17:52:46"/>
    <n v="3"/>
    <x v="0"/>
    <d v="2026-04-15T10:52:46"/>
    <x v="20"/>
    <s v="Wednesday"/>
    <n v="10"/>
  </r>
  <r>
    <s v="dc21ad48-752f-4552-9a49-e887fb62d62f"/>
    <s v="***"/>
    <d v="2026-04-15T19:21:31"/>
    <n v="3"/>
    <x v="0"/>
    <d v="2026-04-15T12:21:31"/>
    <x v="20"/>
    <s v="Wednesday"/>
    <n v="12"/>
  </r>
  <r>
    <s v="db6ec08d-98f3-4d71-ba18-9db32bc00b5e"/>
    <s v="***"/>
    <d v="2026-04-15T19:46:19"/>
    <n v="3"/>
    <x v="2"/>
    <d v="2026-04-15T12:46:19"/>
    <x v="20"/>
    <s v="Wednesday"/>
    <n v="12"/>
  </r>
  <r>
    <s v="43271748-70ba-4d22-8753-60445892b8c6"/>
    <s v="***"/>
    <d v="2026-04-15T20:03:33"/>
    <n v="3"/>
    <x v="0"/>
    <d v="2026-04-15T13:03:33"/>
    <x v="20"/>
    <s v="Wednesday"/>
    <n v="13"/>
  </r>
  <r>
    <s v="ffac83b0-85b3-4bb5-94fa-df2bfc653c47"/>
    <s v="***"/>
    <d v="2026-04-15T21:27:22"/>
    <n v="269"/>
    <x v="1"/>
    <d v="2026-04-15T14:27:22"/>
    <x v="20"/>
    <s v="Wednesday"/>
    <n v="14"/>
  </r>
  <r>
    <s v="49ca52da-c9c7-475c-ab0e-187697040e5c"/>
    <s v="***"/>
    <d v="2026-04-15T21:35:27"/>
    <n v="3"/>
    <x v="0"/>
    <d v="2026-04-15T14:35:27"/>
    <x v="20"/>
    <s v="Wednesday"/>
    <n v="14"/>
  </r>
  <r>
    <s v="8bc5403e-a81a-44fb-ac07-a570fd56ddb7"/>
    <s v="***"/>
    <d v="2026-04-15T21:39:46"/>
    <n v="3"/>
    <x v="0"/>
    <d v="2026-04-15T14:39:46"/>
    <x v="20"/>
    <s v="Wednesday"/>
    <n v="14"/>
  </r>
  <r>
    <s v="577b2f3b-fc90-45f6-9eb0-0b4a64877ff0"/>
    <s v="***"/>
    <d v="2026-04-15T22:32:10"/>
    <n v="269"/>
    <x v="1"/>
    <d v="2026-04-15T15:32:10"/>
    <x v="20"/>
    <s v="Wednesday"/>
    <n v="15"/>
  </r>
  <r>
    <s v="2b2b897b-a539-4576-a978-2508acad6de1"/>
    <s v="***"/>
    <d v="2026-04-15T23:51:15"/>
    <n v="3"/>
    <x v="0"/>
    <d v="2026-04-15T16:51:15"/>
    <x v="20"/>
    <s v="Wednesday"/>
    <n v="16"/>
  </r>
  <r>
    <s v="74bea3ec-a2b5-4495-bd6f-c9956493467b"/>
    <s v="***"/>
    <d v="2026-04-16T00:04:25"/>
    <n v="3"/>
    <x v="0"/>
    <d v="2026-04-15T17:04:25"/>
    <x v="20"/>
    <s v="Wednesday"/>
    <n v="17"/>
  </r>
  <r>
    <s v="ebfc64e5-4983-4afa-ad34-6bcb7b5e5dec"/>
    <s v="***"/>
    <d v="2026-04-16T01:26:58"/>
    <n v="3"/>
    <x v="0"/>
    <d v="2026-04-15T18:26:58"/>
    <x v="20"/>
    <s v="Wednesday"/>
    <n v="18"/>
  </r>
  <r>
    <s v="64167c53-b396-4b08-8c8b-578231851b7d"/>
    <s v="***"/>
    <d v="2026-04-16T02:07:16"/>
    <n v="3"/>
    <x v="0"/>
    <d v="2026-04-15T19:07:16"/>
    <x v="20"/>
    <s v="Wednesday"/>
    <n v="19"/>
  </r>
  <r>
    <s v="1b22507d-0596-41a1-8c0d-d380cc6c3f21"/>
    <s v="***"/>
    <d v="2026-04-16T05:40:05"/>
    <n v="64"/>
    <x v="0"/>
    <d v="2026-04-15T22:40:05"/>
    <x v="20"/>
    <s v="Wednesday"/>
    <n v="22"/>
  </r>
  <r>
    <s v="3f4d9e8d-b405-4361-9afc-0bc457c10a7f"/>
    <s v="***"/>
    <d v="2026-04-16T06:30:08"/>
    <n v="9"/>
    <x v="0"/>
    <d v="2026-04-15T23:30:08"/>
    <x v="20"/>
    <s v="Wednesday"/>
    <n v="23"/>
  </r>
  <r>
    <s v="10771bc5-b2f9-49a4-9c18-021b2a34d4ce"/>
    <s v="***"/>
    <d v="2026-04-16T06:51:14"/>
    <n v="3"/>
    <x v="0"/>
    <d v="2026-04-15T23:51:14"/>
    <x v="20"/>
    <s v="Wednesday"/>
    <n v="23"/>
  </r>
  <r>
    <s v="144d5dcc-c02c-49dc-9145-8a25423bd847"/>
    <s v="***"/>
    <d v="2026-04-16T07:17:06"/>
    <n v="3"/>
    <x v="0"/>
    <d v="2026-04-16T00:17:06"/>
    <x v="21"/>
    <s v="Thursday"/>
    <n v="0"/>
  </r>
  <r>
    <s v="d931a77c-a93f-43cf-b2d3-f1a102fa0c3f"/>
    <s v="***"/>
    <d v="2026-04-16T07:27:22"/>
    <n v="9"/>
    <x v="0"/>
    <d v="2026-04-16T00:27:22"/>
    <x v="21"/>
    <s v="Thursday"/>
    <n v="0"/>
  </r>
  <r>
    <s v="675600e1-4e74-4803-bdb1-475538cd176a"/>
    <s v="***"/>
    <d v="2026-04-16T08:27:47"/>
    <n v="9"/>
    <x v="0"/>
    <d v="2026-04-16T01:27:47"/>
    <x v="21"/>
    <s v="Thursday"/>
    <n v="1"/>
  </r>
  <r>
    <s v="3d72b8cd-50e9-40bb-8080-a1a2b05d3d73"/>
    <s v="***"/>
    <d v="2026-04-16T09:08:13"/>
    <n v="9"/>
    <x v="0"/>
    <d v="2026-04-16T02:08:13"/>
    <x v="21"/>
    <s v="Thursday"/>
    <n v="2"/>
  </r>
  <r>
    <s v="243f5ee7-88e1-4bb4-9d92-6688b139903f"/>
    <s v="***"/>
    <d v="2026-04-16T10:44:55"/>
    <n v="9"/>
    <x v="0"/>
    <d v="2026-04-16T03:44:55"/>
    <x v="21"/>
    <s v="Thursday"/>
    <n v="3"/>
  </r>
  <r>
    <s v="ed03dafd-d69d-46c8-bfde-3b0d0ac9e5b4"/>
    <s v="***"/>
    <d v="2026-04-16T11:08:43"/>
    <n v="3"/>
    <x v="0"/>
    <d v="2026-04-16T04:08:43"/>
    <x v="21"/>
    <s v="Thursday"/>
    <n v="4"/>
  </r>
  <r>
    <s v="e67aa5d4-00b0-4cf1-9279-680ff220f918"/>
    <s v="***"/>
    <d v="2026-04-16T11:39:35"/>
    <n v="202"/>
    <x v="0"/>
    <d v="2026-04-16T04:39:35"/>
    <x v="21"/>
    <s v="Thursday"/>
    <n v="4"/>
  </r>
  <r>
    <s v="c27623ee-9c8e-45bb-a69b-e6adce8032a3"/>
    <s v="***"/>
    <d v="2026-04-16T11:50:49"/>
    <n v="9"/>
    <x v="0"/>
    <d v="2026-04-16T04:50:49"/>
    <x v="21"/>
    <s v="Thursday"/>
    <n v="4"/>
  </r>
  <r>
    <s v="b6c96291-e72c-4a24-88ac-9dcee1041231"/>
    <s v="***"/>
    <d v="2026-04-16T12:31:21"/>
    <n v="3"/>
    <x v="0"/>
    <d v="2026-04-16T05:31:21"/>
    <x v="21"/>
    <s v="Thursday"/>
    <n v="5"/>
  </r>
  <r>
    <s v="fefae1ee-572d-47d1-aff9-073e9f3414f1"/>
    <s v="***"/>
    <d v="2026-04-16T12:47:08"/>
    <n v="9"/>
    <x v="0"/>
    <d v="2026-04-16T05:47:08"/>
    <x v="21"/>
    <s v="Thursday"/>
    <n v="5"/>
  </r>
  <r>
    <s v="a6b28d85-9821-4dd9-9961-c8a2260f8dd6"/>
    <s v="***"/>
    <d v="2026-04-16T13:13:04"/>
    <n v="3"/>
    <x v="0"/>
    <d v="2026-04-16T06:13:04"/>
    <x v="21"/>
    <s v="Thursday"/>
    <n v="6"/>
  </r>
  <r>
    <s v="a259538c-f3ee-4311-8054-0c88b58b03e7"/>
    <s v="***"/>
    <d v="2026-04-16T13:57:47"/>
    <n v="9"/>
    <x v="0"/>
    <d v="2026-04-16T06:57:47"/>
    <x v="21"/>
    <s v="Thursday"/>
    <n v="6"/>
  </r>
  <r>
    <s v="f5145349-1b6f-426a-be04-429dc95f08e3"/>
    <s v="***"/>
    <d v="2026-04-16T14:12:30"/>
    <n v="3"/>
    <x v="0"/>
    <d v="2026-04-16T07:12:30"/>
    <x v="21"/>
    <s v="Thursday"/>
    <n v="7"/>
  </r>
  <r>
    <s v="24b92056-cfb8-4ca9-8e14-a5393e50cf1d"/>
    <s v="***"/>
    <d v="2026-04-16T14:37:31"/>
    <n v="3"/>
    <x v="0"/>
    <d v="2026-04-16T07:37:31"/>
    <x v="21"/>
    <s v="Thursday"/>
    <n v="7"/>
  </r>
  <r>
    <s v="8120e624-86be-4bfc-8b74-907e5d758ef1"/>
    <s v="***"/>
    <d v="2026-04-16T14:40:27"/>
    <n v="9"/>
    <x v="0"/>
    <d v="2026-04-16T07:40:27"/>
    <x v="21"/>
    <s v="Thursday"/>
    <n v="7"/>
  </r>
  <r>
    <s v="69915fa3-4298-4293-8b50-72f614c8228b"/>
    <s v="***"/>
    <d v="2026-04-16T15:00:55"/>
    <n v="9"/>
    <x v="0"/>
    <d v="2026-04-16T08:00:55"/>
    <x v="21"/>
    <s v="Thursday"/>
    <n v="8"/>
  </r>
  <r>
    <s v="64d5bf22-2666-4606-93ed-0d904931abf9"/>
    <s v="***"/>
    <d v="2026-04-16T16:29:22"/>
    <n v="3"/>
    <x v="0"/>
    <d v="2026-04-16T09:29:22"/>
    <x v="21"/>
    <s v="Thursday"/>
    <n v="9"/>
  </r>
  <r>
    <s v="a1d55089-8434-4148-9a0c-af4fee72fd12"/>
    <s v="***"/>
    <d v="2026-04-16T17:15:32"/>
    <n v="3"/>
    <x v="0"/>
    <d v="2026-04-16T10:15:32"/>
    <x v="21"/>
    <s v="Thursday"/>
    <n v="10"/>
  </r>
  <r>
    <s v="f9d4e971-fcf7-4841-9d42-a9b2791968b0"/>
    <s v="***"/>
    <d v="2026-04-16T17:26:49"/>
    <n v="202"/>
    <x v="0"/>
    <d v="2026-04-16T10:26:49"/>
    <x v="21"/>
    <s v="Thursday"/>
    <n v="10"/>
  </r>
  <r>
    <s v="7064f3be-1cfd-4d93-85f6-abbc4435cb8a"/>
    <s v="***"/>
    <d v="2026-04-16T17:32:21"/>
    <n v="3"/>
    <x v="2"/>
    <d v="2026-04-16T10:32:21"/>
    <x v="21"/>
    <s v="Thursday"/>
    <n v="10"/>
  </r>
  <r>
    <s v="bbe6fc71-17a0-4964-aecf-ac4c26a5dcf4"/>
    <s v="***"/>
    <d v="2026-04-16T19:39:27"/>
    <n v="3"/>
    <x v="0"/>
    <d v="2026-04-16T12:39:27"/>
    <x v="21"/>
    <s v="Thursday"/>
    <n v="12"/>
  </r>
  <r>
    <s v="614a3a9a-059b-49a0-8b92-0af4548c47e6"/>
    <s v="***"/>
    <d v="2026-04-16T20:54:13"/>
    <n v="3"/>
    <x v="0"/>
    <d v="2026-04-16T13:54:13"/>
    <x v="21"/>
    <s v="Thursday"/>
    <n v="13"/>
  </r>
  <r>
    <s v="b6cf1f87-57e3-43ff-9a27-42b68004cf42"/>
    <s v="***"/>
    <d v="2026-04-16T21:39:17"/>
    <n v="3"/>
    <x v="0"/>
    <d v="2026-04-16T14:39:17"/>
    <x v="21"/>
    <s v="Thursday"/>
    <n v="14"/>
  </r>
  <r>
    <s v="85f8a621-e258-4256-83b6-026055fda06a"/>
    <s v="***"/>
    <d v="2026-04-16T22:10:34"/>
    <n v="3"/>
    <x v="0"/>
    <d v="2026-04-16T15:10:34"/>
    <x v="21"/>
    <s v="Thursday"/>
    <n v="15"/>
  </r>
  <r>
    <s v="18762ab7-1b17-483a-9c1b-ea9c2836ae3e"/>
    <s v="***"/>
    <d v="2026-04-16T22:21:48"/>
    <n v="3"/>
    <x v="0"/>
    <d v="2026-04-16T15:21:48"/>
    <x v="21"/>
    <s v="Thursday"/>
    <n v="15"/>
  </r>
  <r>
    <s v="2ecacaee-eddc-4716-ab43-1a424e46955f"/>
    <s v="***"/>
    <d v="2026-04-16T23:12:44"/>
    <n v="3"/>
    <x v="0"/>
    <d v="2026-04-16T16:12:44"/>
    <x v="21"/>
    <s v="Thursday"/>
    <n v="16"/>
  </r>
  <r>
    <s v="b706e5c7-52bf-43fa-8d7a-9b9c8dcdd877"/>
    <s v="***"/>
    <d v="2026-04-16T23:53:35"/>
    <n v="3"/>
    <x v="0"/>
    <d v="2026-04-16T16:53:35"/>
    <x v="21"/>
    <s v="Thursday"/>
    <n v="16"/>
  </r>
  <r>
    <s v="121b8614-6e70-45b2-b03b-1c3c4a40d3fd"/>
    <s v="***"/>
    <d v="2026-04-17T00:42:34"/>
    <n v="3"/>
    <x v="0"/>
    <d v="2026-04-16T17:42:34"/>
    <x v="21"/>
    <s v="Thursday"/>
    <n v="17"/>
  </r>
  <r>
    <s v="0ea78249-0676-487b-81c1-95af5e300956"/>
    <s v="***"/>
    <d v="2026-04-17T06:12:43"/>
    <n v="9"/>
    <x v="0"/>
    <d v="2026-04-16T23:12:43"/>
    <x v="21"/>
    <s v="Thursday"/>
    <n v="23"/>
  </r>
  <r>
    <s v="53d99c72-07da-482c-8450-2fa545b30b56"/>
    <s v="***"/>
    <d v="2026-04-17T07:50:32"/>
    <n v="3"/>
    <x v="0"/>
    <d v="2026-04-17T00:50:32"/>
    <x v="22"/>
    <s v="Friday"/>
    <n v="0"/>
  </r>
  <r>
    <s v="bf9019f9-300f-44af-b148-f9ab98f7d110"/>
    <s v="***"/>
    <d v="2026-04-17T08:03:32"/>
    <n v="9"/>
    <x v="0"/>
    <d v="2026-04-17T01:03:32"/>
    <x v="22"/>
    <s v="Friday"/>
    <n v="1"/>
  </r>
  <r>
    <s v="4d4e403e-ee81-4c01-b609-03df8cd63509"/>
    <s v="***"/>
    <d v="2026-04-17T08:15:21"/>
    <n v="3"/>
    <x v="0"/>
    <d v="2026-04-17T01:15:21"/>
    <x v="22"/>
    <s v="Friday"/>
    <n v="1"/>
  </r>
  <r>
    <s v="fe7a6195-2489-4848-8543-434fee114d8e"/>
    <s v="***"/>
    <d v="2026-04-17T09:35:05"/>
    <n v="3"/>
    <x v="0"/>
    <d v="2026-04-17T02:35:05"/>
    <x v="22"/>
    <s v="Friday"/>
    <n v="2"/>
  </r>
  <r>
    <s v="2c6a274d-b243-4869-ab89-97e6ba70f3bb"/>
    <s v="***"/>
    <d v="2026-04-17T10:19:49"/>
    <n v="9"/>
    <x v="0"/>
    <d v="2026-04-17T03:19:49"/>
    <x v="22"/>
    <s v="Friday"/>
    <n v="3"/>
  </r>
  <r>
    <s v="31c7ce44-9fe9-46b2-af4d-49912a626a43"/>
    <s v="***"/>
    <d v="2026-04-17T10:24:59"/>
    <n v="3"/>
    <x v="0"/>
    <d v="2026-04-17T03:24:59"/>
    <x v="22"/>
    <s v="Friday"/>
    <n v="3"/>
  </r>
  <r>
    <s v="2b44ab0a-0780-4bb9-895f-81fd0ee14c30"/>
    <s v="***"/>
    <d v="2026-04-17T11:53:14"/>
    <n v="3"/>
    <x v="0"/>
    <d v="2026-04-17T04:53:14"/>
    <x v="22"/>
    <s v="Friday"/>
    <n v="4"/>
  </r>
  <r>
    <s v="547ae407-6044-4f56-823d-5e5cb3da80e0"/>
    <s v="***"/>
    <d v="2026-04-17T12:15:27"/>
    <n v="3"/>
    <x v="0"/>
    <d v="2026-04-17T05:15:27"/>
    <x v="22"/>
    <s v="Friday"/>
    <n v="5"/>
  </r>
  <r>
    <s v="ad17d0ed-b6cc-486c-80be-4535b4a6a642"/>
    <s v="***"/>
    <d v="2026-04-17T13:22:33"/>
    <n v="3"/>
    <x v="0"/>
    <d v="2026-04-17T06:22:33"/>
    <x v="22"/>
    <s v="Friday"/>
    <n v="6"/>
  </r>
  <r>
    <s v="0bacae7c-9d93-4892-93e2-48cf1959c1fd"/>
    <s v="***"/>
    <d v="2026-04-17T16:23:34"/>
    <n v="3"/>
    <x v="23"/>
    <d v="2026-04-17T09:23:34"/>
    <x v="22"/>
    <s v="Friday"/>
    <n v="9"/>
  </r>
  <r>
    <s v="bd2e03bc-87f3-49ac-ba2d-698d4ef2b503"/>
    <s v="***"/>
    <d v="2026-04-18T15:28:29"/>
    <n v="268"/>
    <x v="7"/>
    <d v="2026-04-18T08:28:29"/>
    <x v="23"/>
    <s v="Saturday"/>
    <n v="8"/>
  </r>
  <r>
    <s v="f5aca2d5-6cee-46eb-8c6c-d52fb12ae979"/>
    <s v="***"/>
    <d v="2026-04-18T16:29:06"/>
    <n v="3"/>
    <x v="0"/>
    <d v="2026-04-18T09:29:06"/>
    <x v="23"/>
    <s v="Saturday"/>
    <n v="9"/>
  </r>
  <r>
    <s v="5e8b20cb-8aa2-4035-b348-30c0cd1c4473"/>
    <s v="***"/>
    <d v="2026-04-18T23:16:49"/>
    <n v="2"/>
    <x v="0"/>
    <d v="2026-04-18T16:16:49"/>
    <x v="23"/>
    <s v="Saturday"/>
    <n v="16"/>
  </r>
  <r>
    <s v="fa6d48ca-6b1d-40ee-9efe-fec51d153364"/>
    <s v="***"/>
    <d v="2026-04-18T23:34:10"/>
    <n v="1"/>
    <x v="0"/>
    <d v="2026-04-18T16:34:10"/>
    <x v="23"/>
    <s v="Saturday"/>
    <n v="16"/>
  </r>
  <r>
    <s v="eb360417-6b20-460b-84d8-828500e5959c"/>
    <s v="***"/>
    <d v="2026-04-18T23:45:26"/>
    <n v="3"/>
    <x v="0"/>
    <d v="2026-04-18T16:45:26"/>
    <x v="23"/>
    <s v="Saturday"/>
    <n v="16"/>
  </r>
  <r>
    <s v="3351de9b-e4da-4375-8cb7-64516131688c"/>
    <s v="***"/>
    <d v="2026-04-19T07:11:04"/>
    <n v="268"/>
    <x v="0"/>
    <d v="2026-04-19T00:11:04"/>
    <x v="24"/>
    <s v="Sunday"/>
    <n v="0"/>
  </r>
  <r>
    <s v="c236b266-cc6f-4a35-b9da-bca7ac8a12f8"/>
    <s v="***"/>
    <d v="2026-04-19T08:12:02"/>
    <n v="268"/>
    <x v="0"/>
    <d v="2026-04-19T01:12:02"/>
    <x v="24"/>
    <s v="Sunday"/>
    <n v="1"/>
  </r>
  <r>
    <s v="fa57c977-cdbc-4eef-997c-906f1ab053ad"/>
    <s v="***"/>
    <d v="2026-04-19T10:00:57"/>
    <n v="3"/>
    <x v="0"/>
    <d v="2026-04-19T03:00:57"/>
    <x v="24"/>
    <s v="Sunday"/>
    <n v="3"/>
  </r>
  <r>
    <s v="520000e2-27a2-43ef-ab19-97617405187a"/>
    <s v="***"/>
    <d v="2026-04-19T11:01:48"/>
    <n v="268"/>
    <x v="0"/>
    <d v="2026-04-19T04:01:48"/>
    <x v="24"/>
    <s v="Sunday"/>
    <n v="4"/>
  </r>
  <r>
    <s v="3f7a8719-24fb-4365-b7a9-474f8ef21ab9"/>
    <s v="***"/>
    <d v="2026-04-19T12:38:59"/>
    <n v="268"/>
    <x v="0"/>
    <d v="2026-04-19T05:38:59"/>
    <x v="24"/>
    <s v="Sunday"/>
    <n v="5"/>
  </r>
  <r>
    <s v="40e9b767-c1dd-494c-8acc-80caaa57fdda"/>
    <s v="***"/>
    <d v="2026-04-19T12:40:54"/>
    <n v="3"/>
    <x v="0"/>
    <d v="2026-04-19T05:40:54"/>
    <x v="24"/>
    <s v="Sunday"/>
    <n v="5"/>
  </r>
  <r>
    <s v="9e7cc562-064c-477e-a5a4-058922685d18"/>
    <s v="***"/>
    <d v="2026-04-19T13:05:29"/>
    <n v="268"/>
    <x v="1"/>
    <d v="2026-04-19T06:05:29"/>
    <x v="24"/>
    <s v="Sunday"/>
    <n v="6"/>
  </r>
  <r>
    <s v="76b2da8d-2725-4e49-ae95-7df3738bec2d"/>
    <s v="***"/>
    <d v="2026-04-19T13:15:01"/>
    <n v="268"/>
    <x v="0"/>
    <d v="2026-04-19T06:15:01"/>
    <x v="24"/>
    <s v="Sunday"/>
    <n v="6"/>
  </r>
  <r>
    <s v="f31d326b-2e05-4dfc-84a4-a3942347d7f5"/>
    <s v="***"/>
    <d v="2026-04-19T14:55:58"/>
    <n v="202"/>
    <x v="0"/>
    <d v="2026-04-19T07:55:58"/>
    <x v="24"/>
    <s v="Sunday"/>
    <n v="7"/>
  </r>
  <r>
    <s v="cae61335-9fcc-4e90-972a-7d6c676a7df9"/>
    <s v="***"/>
    <d v="2026-04-19T15:12:13"/>
    <n v="268"/>
    <x v="0"/>
    <d v="2026-04-19T08:12:13"/>
    <x v="24"/>
    <s v="Sunday"/>
    <n v="8"/>
  </r>
  <r>
    <s v="60725b1b-0b75-4045-abea-d478b7460901"/>
    <s v="***"/>
    <d v="2026-04-20T06:52:41"/>
    <n v="268"/>
    <x v="0"/>
    <d v="2026-04-19T23:52:41"/>
    <x v="24"/>
    <s v="Sunday"/>
    <n v="23"/>
  </r>
  <r>
    <s v="d72fefa5-4fc6-410d-9399-1e4ac9b373a6"/>
    <s v="***"/>
    <d v="2026-04-20T07:05:36"/>
    <n v="268"/>
    <x v="0"/>
    <d v="2026-04-20T00:05:36"/>
    <x v="25"/>
    <s v="Monday"/>
    <n v="0"/>
  </r>
  <r>
    <s v="f6549bdf-e524-4c7b-ab8c-c1b32ca8727d"/>
    <s v="***"/>
    <d v="2026-04-20T07:43:34"/>
    <n v="3"/>
    <x v="17"/>
    <d v="2026-04-20T00:43:34"/>
    <x v="25"/>
    <s v="Monday"/>
    <n v="0"/>
  </r>
  <r>
    <s v="6c8302f5-8230-494b-a082-d2d9ffd534cb"/>
    <s v="***"/>
    <d v="2026-04-20T07:46:03"/>
    <n v="3"/>
    <x v="0"/>
    <d v="2026-04-20T00:46:03"/>
    <x v="25"/>
    <s v="Monday"/>
    <n v="0"/>
  </r>
  <r>
    <s v="5375141b-9b21-4557-91a3-be79c0c2418a"/>
    <s v="***"/>
    <d v="2026-04-20T08:03:26"/>
    <n v="268"/>
    <x v="0"/>
    <d v="2026-04-20T01:03:26"/>
    <x v="25"/>
    <s v="Monday"/>
    <n v="1"/>
  </r>
  <r>
    <s v="fe36bc52-9262-494b-8f1d-d0f5cdbe3e1a"/>
    <s v="***"/>
    <d v="2026-04-20T08:03:32"/>
    <n v="3"/>
    <x v="0"/>
    <d v="2026-04-20T01:03:32"/>
    <x v="25"/>
    <s v="Monday"/>
    <n v="1"/>
  </r>
  <r>
    <s v="1cabed7a-b705-4a20-8036-63e36348fb0d"/>
    <s v="***"/>
    <d v="2026-04-20T09:14:19"/>
    <n v="3"/>
    <x v="0"/>
    <d v="2026-04-20T02:14:19"/>
    <x v="25"/>
    <s v="Monday"/>
    <n v="2"/>
  </r>
  <r>
    <s v="85169c29-03fd-4af5-b5cc-56959e9fc321"/>
    <s v="***"/>
    <d v="2026-04-20T10:05:48"/>
    <n v="3"/>
    <x v="0"/>
    <d v="2026-04-20T03:05:47"/>
    <x v="25"/>
    <s v="Monday"/>
    <n v="3"/>
  </r>
  <r>
    <s v="f1d8e306-fbee-4c3b-8997-53ef3824d92e"/>
    <s v="***"/>
    <d v="2026-04-20T10:05:57"/>
    <n v="268"/>
    <x v="0"/>
    <d v="2026-04-20T03:05:57"/>
    <x v="25"/>
    <s v="Monday"/>
    <n v="3"/>
  </r>
  <r>
    <s v="2bb0a78f-3c1d-4a49-af48-fd62f266e16a"/>
    <s v="***"/>
    <d v="2026-04-20T10:25:55"/>
    <n v="3"/>
    <x v="0"/>
    <d v="2026-04-20T03:25:55"/>
    <x v="25"/>
    <s v="Monday"/>
    <n v="3"/>
  </r>
  <r>
    <s v="53aa46a2-7aa1-4523-8c88-b557999f81f3"/>
    <s v="***"/>
    <d v="2026-04-20T10:27:13"/>
    <n v="268"/>
    <x v="4"/>
    <d v="2026-04-20T03:27:13"/>
    <x v="25"/>
    <s v="Monday"/>
    <n v="3"/>
  </r>
  <r>
    <s v="5e27e3f6-21bf-44d0-8104-2bd19fe2ae37"/>
    <s v="***"/>
    <d v="2026-04-20T10:33:45"/>
    <n v="3"/>
    <x v="0"/>
    <d v="2026-04-20T03:33:45"/>
    <x v="25"/>
    <s v="Monday"/>
    <n v="3"/>
  </r>
  <r>
    <s v="f63c6440-145d-4438-ace6-8a28e584e895"/>
    <s v="***"/>
    <d v="2026-04-20T10:54:07"/>
    <n v="3"/>
    <x v="6"/>
    <d v="2026-04-20T03:54:07"/>
    <x v="25"/>
    <s v="Monday"/>
    <n v="3"/>
  </r>
  <r>
    <s v="2ca9c75d-edf7-451a-bbc6-8e5a2611ff35"/>
    <s v="***"/>
    <d v="2026-04-20T11:09:55"/>
    <n v="268"/>
    <x v="0"/>
    <d v="2026-04-20T04:09:55"/>
    <x v="25"/>
    <s v="Monday"/>
    <n v="4"/>
  </r>
  <r>
    <s v="e3bcdecd-90e1-4bc2-aae2-8d137c4e9026"/>
    <s v="***"/>
    <d v="2026-04-20T11:22:30"/>
    <n v="268"/>
    <x v="0"/>
    <d v="2026-04-20T04:22:30"/>
    <x v="25"/>
    <s v="Monday"/>
    <n v="4"/>
  </r>
  <r>
    <s v="5da6548d-0398-46ce-a9ec-b08f271d921d"/>
    <s v="***"/>
    <d v="2026-04-20T12:10:36"/>
    <n v="3"/>
    <x v="0"/>
    <d v="2026-04-20T05:10:36"/>
    <x v="25"/>
    <s v="Monday"/>
    <n v="5"/>
  </r>
  <r>
    <s v="eb58c9ce-6cd5-4e3d-ba36-e0d0296becbf"/>
    <s v="***"/>
    <d v="2026-04-20T12:46:38"/>
    <n v="268"/>
    <x v="24"/>
    <d v="2026-04-20T05:46:38"/>
    <x v="25"/>
    <s v="Monday"/>
    <n v="5"/>
  </r>
  <r>
    <s v="a7f34e76-82ac-4aad-bf1b-2ded86293210"/>
    <s v="***"/>
    <d v="2026-04-20T13:00:15"/>
    <n v="3"/>
    <x v="0"/>
    <d v="2026-04-20T06:00:15"/>
    <x v="25"/>
    <s v="Monday"/>
    <n v="6"/>
  </r>
  <r>
    <s v="2624230b-1952-487b-8b38-b3f5b4d1c1c4"/>
    <s v="***"/>
    <d v="2026-04-20T13:03:05"/>
    <n v="268"/>
    <x v="0"/>
    <d v="2026-04-20T06:03:05"/>
    <x v="25"/>
    <s v="Monday"/>
    <n v="6"/>
  </r>
  <r>
    <s v="912ad450-276f-4083-8f14-ed4ccbb6b9e2"/>
    <s v="***"/>
    <d v="2026-04-20T13:03:22"/>
    <n v="6090"/>
    <x v="24"/>
    <d v="2026-04-20T06:03:22"/>
    <x v="25"/>
    <s v="Monday"/>
    <n v="6"/>
  </r>
  <r>
    <s v="efe120f7-8a82-48bf-b578-0f705b84aa73"/>
    <s v="***"/>
    <d v="2026-04-20T13:45:45"/>
    <n v="268"/>
    <x v="1"/>
    <d v="2026-04-20T06:45:45"/>
    <x v="25"/>
    <s v="Monday"/>
    <n v="6"/>
  </r>
  <r>
    <s v="3f9ec811-ddee-48b3-b86d-a90b4dbd6d67"/>
    <s v="***"/>
    <d v="2026-04-20T14:47:52"/>
    <n v="268"/>
    <x v="0"/>
    <d v="2026-04-20T07:47:52"/>
    <x v="25"/>
    <s v="Monday"/>
    <n v="7"/>
  </r>
  <r>
    <s v="c7e90c11-fcb0-44ea-bde2-af384224f61a"/>
    <s v="***"/>
    <d v="2026-04-20T16:10:59"/>
    <n v="202"/>
    <x v="0"/>
    <d v="2026-04-20T09:10:59"/>
    <x v="25"/>
    <s v="Monday"/>
    <n v="9"/>
  </r>
  <r>
    <s v="36358fe2-1e3d-4e6b-9d3c-f3cb81345fb5"/>
    <s v="***"/>
    <d v="2026-04-20T17:02:35"/>
    <n v="3"/>
    <x v="0"/>
    <d v="2026-04-20T10:02:35"/>
    <x v="25"/>
    <s v="Monday"/>
    <n v="10"/>
  </r>
  <r>
    <s v="d7e1c5a6-2b72-4f99-b2c1-ecac7bb5e0ef"/>
    <s v="***"/>
    <d v="2026-04-20T17:12:04"/>
    <n v="3"/>
    <x v="2"/>
    <d v="2026-04-20T10:12:04"/>
    <x v="25"/>
    <s v="Monday"/>
    <n v="10"/>
  </r>
  <r>
    <s v="fcd38d46-9b9c-4034-bdde-12c8998d7572"/>
    <s v="***"/>
    <d v="2026-04-20T18:10:41"/>
    <n v="3"/>
    <x v="0"/>
    <d v="2026-04-20T11:10:41"/>
    <x v="25"/>
    <s v="Monday"/>
    <n v="11"/>
  </r>
  <r>
    <s v="cdb7135e-cd81-48a8-9343-fd70c320f038"/>
    <s v="***"/>
    <d v="2026-04-20T19:51:43"/>
    <n v="3"/>
    <x v="2"/>
    <d v="2026-04-20T12:51:43"/>
    <x v="25"/>
    <s v="Monday"/>
    <n v="12"/>
  </r>
  <r>
    <s v="cfc5272d-137d-47e2-9412-163f9535d13d"/>
    <s v="***"/>
    <d v="2026-04-20T20:05:43"/>
    <n v="3"/>
    <x v="2"/>
    <d v="2026-04-20T13:05:43"/>
    <x v="25"/>
    <s v="Monday"/>
    <n v="13"/>
  </r>
  <r>
    <s v="439c8f90-caf5-4bc7-9f95-59a6311e7065"/>
    <s v="***"/>
    <d v="2026-04-20T20:41:55"/>
    <n v="3"/>
    <x v="0"/>
    <d v="2026-04-20T13:41:55"/>
    <x v="25"/>
    <s v="Monday"/>
    <n v="13"/>
  </r>
  <r>
    <s v="a604b508-896a-47d3-9f67-555fa52feaf7"/>
    <s v="***"/>
    <d v="2026-04-20T20:54:40"/>
    <n v="3"/>
    <x v="0"/>
    <d v="2026-04-20T13:54:40"/>
    <x v="25"/>
    <s v="Monday"/>
    <n v="13"/>
  </r>
  <r>
    <s v="46e4d6cf-985b-445e-926e-45692e28d4c4"/>
    <s v="***"/>
    <d v="2026-04-20T21:13:14"/>
    <n v="3"/>
    <x v="0"/>
    <d v="2026-04-20T14:13:14"/>
    <x v="25"/>
    <s v="Monday"/>
    <n v="14"/>
  </r>
  <r>
    <s v="583cc868-abb3-46e7-9552-7bff616e04de"/>
    <s v="***"/>
    <d v="2026-04-20T21:29:13"/>
    <n v="268"/>
    <x v="0"/>
    <d v="2026-04-20T14:29:13"/>
    <x v="25"/>
    <s v="Monday"/>
    <n v="14"/>
  </r>
  <r>
    <s v="0f56c93c-88bd-4dcf-8a41-539ef49f9ca9"/>
    <s v="***"/>
    <d v="2026-04-20T21:42:31"/>
    <n v="3"/>
    <x v="0"/>
    <d v="2026-04-20T14:42:31"/>
    <x v="25"/>
    <s v="Monday"/>
    <n v="14"/>
  </r>
  <r>
    <s v="b0df6307-b163-4ee3-a5e8-922573afe805"/>
    <s v="***"/>
    <d v="2026-04-20T22:00:08"/>
    <n v="16"/>
    <x v="0"/>
    <d v="2026-04-20T15:00:08"/>
    <x v="25"/>
    <s v="Monday"/>
    <n v="15"/>
  </r>
  <r>
    <s v="cb7e64a5-3211-46b8-9777-434025eba442"/>
    <s v="***"/>
    <d v="2026-04-20T22:14:31"/>
    <n v="3"/>
    <x v="0"/>
    <d v="2026-04-20T15:14:31"/>
    <x v="25"/>
    <s v="Monday"/>
    <n v="15"/>
  </r>
  <r>
    <s v="4b29e27f-0a7c-4027-b64e-071380d8b42e"/>
    <s v="***"/>
    <d v="2026-04-20T22:48:16"/>
    <n v="268"/>
    <x v="1"/>
    <d v="2026-04-20T15:48:16"/>
    <x v="25"/>
    <s v="Monday"/>
    <n v="15"/>
  </r>
  <r>
    <s v="95c971db-92b0-40a5-9e2a-b9facbcc27e3"/>
    <s v="***"/>
    <d v="2026-04-20T23:00:14"/>
    <n v="268"/>
    <x v="1"/>
    <d v="2026-04-20T16:00:14"/>
    <x v="25"/>
    <s v="Monday"/>
    <n v="16"/>
  </r>
  <r>
    <s v="de7ad14d-ac0d-4b2b-8b7e-2df5084004c1"/>
    <s v="***"/>
    <d v="2026-04-20T23:04:19"/>
    <n v="268"/>
    <x v="0"/>
    <d v="2026-04-20T16:04:19"/>
    <x v="25"/>
    <s v="Monday"/>
    <n v="16"/>
  </r>
  <r>
    <s v="4b0dac8e-611d-4d5e-8cc8-034d3c649d4d"/>
    <s v="***"/>
    <d v="2026-04-21T06:37:31"/>
    <n v="268"/>
    <x v="0"/>
    <d v="2026-04-20T23:37:31"/>
    <x v="25"/>
    <s v="Monday"/>
    <n v="23"/>
  </r>
  <r>
    <s v="5e796792-b873-4b20-aacf-da51ae084023"/>
    <s v="***"/>
    <d v="2026-04-21T07:10:10"/>
    <n v="9"/>
    <x v="0"/>
    <d v="2026-04-21T00:10:10"/>
    <x v="26"/>
    <s v="Tuesday"/>
    <n v="0"/>
  </r>
  <r>
    <s v="e44c88bf-3929-424b-bde2-0b2136d6049f"/>
    <s v="***"/>
    <d v="2026-04-21T07:25:44"/>
    <n v="3"/>
    <x v="0"/>
    <d v="2026-04-21T00:25:44"/>
    <x v="26"/>
    <s v="Tuesday"/>
    <n v="0"/>
  </r>
  <r>
    <s v="90a91cc3-94ef-452b-a343-b299f8107c11"/>
    <s v="***"/>
    <d v="2026-04-21T07:52:58"/>
    <n v="12"/>
    <x v="0"/>
    <d v="2026-04-21T00:52:58"/>
    <x v="26"/>
    <s v="Tuesday"/>
    <n v="0"/>
  </r>
  <r>
    <s v="c5048530-256e-4877-bba9-4b1638842b01"/>
    <s v="***"/>
    <d v="2026-04-21T07:54:19"/>
    <n v="268"/>
    <x v="0"/>
    <d v="2026-04-21T00:54:19"/>
    <x v="26"/>
    <s v="Tuesday"/>
    <n v="0"/>
  </r>
  <r>
    <s v="fc87b930-718a-4278-a02e-1333bd45c9ae"/>
    <s v="***"/>
    <d v="2026-04-21T08:02:00"/>
    <n v="268"/>
    <x v="0"/>
    <d v="2026-04-21T01:02:00"/>
    <x v="26"/>
    <s v="Tuesday"/>
    <n v="1"/>
  </r>
  <r>
    <s v="52d2c3eb-0637-4114-a36b-ce9eff98e16d"/>
    <s v="***"/>
    <d v="2026-04-21T08:03:00"/>
    <n v="268"/>
    <x v="0"/>
    <d v="2026-04-21T01:03:00"/>
    <x v="26"/>
    <s v="Tuesday"/>
    <n v="1"/>
  </r>
  <r>
    <s v="3731990b-9f02-4a24-8c14-2011020c1152"/>
    <s v="***"/>
    <d v="2026-04-21T08:21:18"/>
    <n v="268"/>
    <x v="0"/>
    <d v="2026-04-21T01:21:18"/>
    <x v="26"/>
    <s v="Tuesday"/>
    <n v="1"/>
  </r>
  <r>
    <s v="d8acab26-d131-4966-aeef-a32f6103261e"/>
    <s v="***"/>
    <d v="2026-04-21T09:00:46"/>
    <n v="268"/>
    <x v="0"/>
    <d v="2026-04-21T02:00:46"/>
    <x v="26"/>
    <s v="Tuesday"/>
    <n v="2"/>
  </r>
  <r>
    <s v="aa06ec62-d431-49b5-8bad-e4f478397dd9"/>
    <s v="***"/>
    <d v="2026-04-21T09:01:11"/>
    <n v="268"/>
    <x v="0"/>
    <d v="2026-04-21T02:01:11"/>
    <x v="26"/>
    <s v="Tuesday"/>
    <n v="2"/>
  </r>
  <r>
    <s v="fae955a0-d596-4ce4-9e4a-f725206210bd"/>
    <s v="***"/>
    <d v="2026-04-21T09:40:48"/>
    <n v="3"/>
    <x v="0"/>
    <d v="2026-04-21T02:40:48"/>
    <x v="26"/>
    <s v="Tuesday"/>
    <n v="2"/>
  </r>
  <r>
    <s v="ad52008c-a54f-4ca5-9b70-ba5fb5902057"/>
    <s v="***"/>
    <d v="2026-04-21T09:42:15"/>
    <n v="3"/>
    <x v="0"/>
    <d v="2026-04-21T02:42:15"/>
    <x v="26"/>
    <s v="Tuesday"/>
    <n v="2"/>
  </r>
  <r>
    <s v="56bb09c5-c8bb-4722-8e97-a5b96cf653d4"/>
    <s v="***"/>
    <d v="2026-04-21T09:54:34"/>
    <n v="3"/>
    <x v="0"/>
    <d v="2026-04-21T02:54:34"/>
    <x v="26"/>
    <s v="Tuesday"/>
    <n v="2"/>
  </r>
  <r>
    <s v="3e974f4a-ea15-4f07-96f7-a6a3d32b923f"/>
    <s v="***"/>
    <d v="2026-04-21T10:00:10"/>
    <n v="268"/>
    <x v="0"/>
    <d v="2026-04-21T03:00:10"/>
    <x v="26"/>
    <s v="Tuesday"/>
    <n v="3"/>
  </r>
  <r>
    <s v="5443ff34-06b0-4889-96e1-dba833d46762"/>
    <s v="***"/>
    <d v="2026-04-21T10:00:21"/>
    <n v="6092"/>
    <x v="25"/>
    <d v="2026-04-21T03:00:21"/>
    <x v="26"/>
    <s v="Tuesday"/>
    <n v="3"/>
  </r>
  <r>
    <s v="adf5794f-f42e-406a-aa40-d60d4acfeef6"/>
    <s v="***"/>
    <d v="2026-04-21T10:01:53"/>
    <n v="3"/>
    <x v="0"/>
    <d v="2026-04-21T03:01:53"/>
    <x v="26"/>
    <s v="Tuesday"/>
    <n v="3"/>
  </r>
  <r>
    <s v="9563343a-1da1-474f-9cdd-a5385ce8844a"/>
    <s v="***"/>
    <d v="2026-04-21T10:08:18"/>
    <n v="3"/>
    <x v="0"/>
    <d v="2026-04-21T03:08:18"/>
    <x v="26"/>
    <s v="Tuesday"/>
    <n v="3"/>
  </r>
  <r>
    <s v="48a40829-a2ba-4fb9-b6a5-7a3ba42b55b4"/>
    <s v="***"/>
    <d v="2026-04-21T10:14:58"/>
    <n v="3"/>
    <x v="0"/>
    <d v="2026-04-21T03:14:58"/>
    <x v="26"/>
    <s v="Tuesday"/>
    <n v="3"/>
  </r>
  <r>
    <s v="b0534a76-b2f9-409e-a422-f3afe713f28a"/>
    <s v="***"/>
    <d v="2026-04-21T10:16:49"/>
    <n v="3"/>
    <x v="0"/>
    <d v="2026-04-21T03:16:49"/>
    <x v="26"/>
    <s v="Tuesday"/>
    <n v="3"/>
  </r>
  <r>
    <s v="fc848cec-6dad-4687-85e2-7db650472ea4"/>
    <s v="***"/>
    <d v="2026-04-21T10:58:12"/>
    <n v="3"/>
    <x v="0"/>
    <d v="2026-04-21T03:58:12"/>
    <x v="26"/>
    <s v="Tuesday"/>
    <n v="3"/>
  </r>
  <r>
    <s v="50d06123-1219-4dff-9c02-b7e1fc184d1c"/>
    <s v="***"/>
    <d v="2026-04-21T11:00:03"/>
    <n v="3"/>
    <x v="0"/>
    <d v="2026-04-21T04:00:03"/>
    <x v="26"/>
    <s v="Tuesday"/>
    <n v="4"/>
  </r>
  <r>
    <s v="a91e4850-da13-43ff-8318-5059bc736052"/>
    <s v="***"/>
    <d v="2026-04-21T11:04:30"/>
    <n v="268"/>
    <x v="4"/>
    <d v="2026-04-21T04:04:30"/>
    <x v="26"/>
    <s v="Tuesday"/>
    <n v="4"/>
  </r>
  <r>
    <s v="75c03720-d61f-434f-982d-bbe98aebcb7c"/>
    <s v="***"/>
    <d v="2026-04-21T11:47:40"/>
    <n v="268"/>
    <x v="0"/>
    <d v="2026-04-21T04:47:40"/>
    <x v="26"/>
    <s v="Tuesday"/>
    <n v="4"/>
  </r>
  <r>
    <s v="cc4cf4db-f3dc-4284-a202-f944c3baddb6"/>
    <s v="***"/>
    <d v="2026-04-21T12:08:28"/>
    <n v="268"/>
    <x v="0"/>
    <d v="2026-04-21T05:08:28"/>
    <x v="26"/>
    <s v="Tuesday"/>
    <n v="5"/>
  </r>
  <r>
    <s v="ba02b18f-b1dd-48ec-beb8-c39f3ebbfa00"/>
    <s v="***"/>
    <d v="2026-04-21T13:27:08"/>
    <n v="268"/>
    <x v="0"/>
    <d v="2026-04-21T06:27:08"/>
    <x v="26"/>
    <s v="Tuesday"/>
    <n v="6"/>
  </r>
  <r>
    <s v="7d408641-285e-40d0-b00e-8b8d13808791"/>
    <s v="***"/>
    <d v="2026-04-21T13:39:10"/>
    <n v="3"/>
    <x v="0"/>
    <d v="2026-04-21T06:39:10"/>
    <x v="26"/>
    <s v="Tuesday"/>
    <n v="6"/>
  </r>
  <r>
    <s v="31ed5af5-0f6d-4990-847b-41ea9fc8ea0d"/>
    <s v="***"/>
    <d v="2026-04-21T13:52:10"/>
    <n v="3"/>
    <x v="0"/>
    <d v="2026-04-21T06:52:10"/>
    <x v="26"/>
    <s v="Tuesday"/>
    <n v="6"/>
  </r>
  <r>
    <s v="15b5a4f1-5ac4-4696-ae52-c48fc8fe9aa1"/>
    <s v="***"/>
    <d v="2026-04-21T14:28:19"/>
    <n v="10"/>
    <x v="0"/>
    <d v="2026-04-21T07:28:19"/>
    <x v="26"/>
    <s v="Tuesday"/>
    <n v="7"/>
  </r>
  <r>
    <s v="4bf3acbf-a69a-47d9-9c10-22eb8c807c71"/>
    <s v="***"/>
    <d v="2026-04-21T14:42:01"/>
    <n v="3"/>
    <x v="0"/>
    <d v="2026-04-21T07:42:01"/>
    <x v="26"/>
    <s v="Tuesday"/>
    <n v="7"/>
  </r>
  <r>
    <s v="f5928a09-8060-4024-99d1-cd6293bbc08e"/>
    <s v="***"/>
    <d v="2026-04-21T14:48:10"/>
    <n v="268"/>
    <x v="0"/>
    <d v="2026-04-21T07:48:10"/>
    <x v="26"/>
    <s v="Tuesday"/>
    <n v="7"/>
  </r>
  <r>
    <s v="743c7385-7b47-4069-ba95-c154af589054"/>
    <s v="***"/>
    <d v="2026-04-21T15:01:10"/>
    <n v="3"/>
    <x v="0"/>
    <d v="2026-04-21T08:01:10"/>
    <x v="26"/>
    <s v="Tuesday"/>
    <n v="8"/>
  </r>
  <r>
    <s v="e484c3b0-ac3d-440a-9de6-c65e77b6d174"/>
    <s v="***"/>
    <d v="2026-04-21T15:03:00"/>
    <n v="3"/>
    <x v="1"/>
    <d v="2026-04-21T08:03:00"/>
    <x v="26"/>
    <s v="Tuesday"/>
    <n v="8"/>
  </r>
  <r>
    <s v="be85d11e-a00f-411f-89fc-d4e10e50411e"/>
    <s v="***"/>
    <d v="2026-04-21T15:08:16"/>
    <n v="268"/>
    <x v="0"/>
    <d v="2026-04-21T08:08:16"/>
    <x v="26"/>
    <s v="Tuesday"/>
    <n v="8"/>
  </r>
  <r>
    <s v="c31bb83a-673e-43f7-9b9c-28aba66891f1"/>
    <s v="***"/>
    <d v="2026-04-21T15:08:54"/>
    <n v="6093"/>
    <x v="0"/>
    <d v="2026-04-21T08:08:54"/>
    <x v="26"/>
    <s v="Tuesday"/>
    <n v="8"/>
  </r>
  <r>
    <s v="8629c93b-6850-4aa9-b04c-f7679c1f50cc"/>
    <s v="***"/>
    <d v="2026-04-21T15:13:50"/>
    <n v="10"/>
    <x v="0"/>
    <d v="2026-04-21T08:13:50"/>
    <x v="26"/>
    <s v="Tuesday"/>
    <n v="8"/>
  </r>
  <r>
    <s v="ca3513b2-8d28-410d-8053-a7010d5c164e"/>
    <s v="***"/>
    <d v="2026-04-21T15:25:16"/>
    <n v="64"/>
    <x v="17"/>
    <d v="2026-04-21T08:25:16"/>
    <x v="26"/>
    <s v="Tuesday"/>
    <n v="8"/>
  </r>
  <r>
    <s v="ccedc63f-bfd6-4ecd-9d98-32218b674194"/>
    <s v="***"/>
    <d v="2026-04-21T15:39:00"/>
    <n v="3"/>
    <x v="0"/>
    <d v="2026-04-21T08:39:00"/>
    <x v="26"/>
    <s v="Tuesday"/>
    <n v="8"/>
  </r>
  <r>
    <s v="aeb50731-4ae7-4803-aa02-4dbecec714d9"/>
    <s v="***"/>
    <d v="2026-04-21T15:44:25"/>
    <n v="3"/>
    <x v="0"/>
    <d v="2026-04-21T08:44:25"/>
    <x v="26"/>
    <s v="Tuesday"/>
    <n v="8"/>
  </r>
  <r>
    <s v="fa735f8d-7275-48f5-bce2-fb2daa659ca3"/>
    <s v="***"/>
    <d v="2026-04-21T16:42:02"/>
    <n v="3"/>
    <x v="0"/>
    <d v="2026-04-21T09:42:02"/>
    <x v="26"/>
    <s v="Tuesday"/>
    <n v="9"/>
  </r>
  <r>
    <s v="ed6faaab-3cfa-4338-83fd-38e6f557f61d"/>
    <s v="***"/>
    <d v="2026-04-21T17:39:23"/>
    <n v="202"/>
    <x v="0"/>
    <d v="2026-04-21T10:39:22"/>
    <x v="26"/>
    <s v="Tuesday"/>
    <n v="10"/>
  </r>
  <r>
    <s v="f312f144-268a-47bb-8739-849d236b78dc"/>
    <s v="***"/>
    <d v="2026-04-21T21:41:06"/>
    <n v="3"/>
    <x v="0"/>
    <d v="2026-04-21T14:41:06"/>
    <x v="26"/>
    <s v="Tuesday"/>
    <n v="14"/>
  </r>
  <r>
    <s v="aa47d0ff-5161-447d-8feb-f2eaf96150f7"/>
    <s v="***"/>
    <d v="2026-04-21T22:05:57"/>
    <n v="268"/>
    <x v="0"/>
    <d v="2026-04-21T15:05:57"/>
    <x v="26"/>
    <s v="Tuesday"/>
    <n v="15"/>
  </r>
  <r>
    <s v="f8fe5304-5c0e-4f69-ab5e-678efe73d912"/>
    <s v="***"/>
    <d v="2026-04-22T06:12:31"/>
    <n v="3"/>
    <x v="0"/>
    <d v="2026-04-21T23:12:31"/>
    <x v="26"/>
    <s v="Tuesday"/>
    <n v="23"/>
  </r>
  <r>
    <s v="90dd591c-6660-4e02-9ceb-3651465bfef2"/>
    <s v="***"/>
    <d v="2026-04-22T06:34:34"/>
    <n v="268"/>
    <x v="0"/>
    <d v="2026-04-21T23:34:34"/>
    <x v="26"/>
    <s v="Tuesday"/>
    <n v="23"/>
  </r>
  <r>
    <s v="da2b725e-c5a2-4f0f-b6c2-6001a54698e5"/>
    <s v="***"/>
    <d v="2026-04-22T07:00:32"/>
    <n v="3"/>
    <x v="0"/>
    <d v="2026-04-22T00:00:32"/>
    <x v="27"/>
    <s v="Wednesday"/>
    <n v="0"/>
  </r>
  <r>
    <s v="06808692-a0e4-43c8-b548-376b44873f1f"/>
    <s v="***"/>
    <d v="2026-04-22T07:07:23"/>
    <n v="3"/>
    <x v="0"/>
    <d v="2026-04-22T00:07:23"/>
    <x v="27"/>
    <s v="Wednesday"/>
    <n v="0"/>
  </r>
  <r>
    <s v="596932ff-4341-452a-a6fc-d6b61e2c3a80"/>
    <s v="***"/>
    <d v="2026-04-22T07:52:37"/>
    <n v="1"/>
    <x v="20"/>
    <d v="2026-04-22T00:52:37"/>
    <x v="27"/>
    <s v="Wednesday"/>
    <n v="0"/>
  </r>
  <r>
    <s v="5ed4d68a-a136-49cf-8f63-334aa7f36b32"/>
    <s v="***"/>
    <d v="2026-04-22T07:55:50"/>
    <n v="1"/>
    <x v="24"/>
    <d v="2026-04-22T00:55:50"/>
    <x v="27"/>
    <s v="Wednesday"/>
    <n v="0"/>
  </r>
  <r>
    <s v="802376fa-f208-479c-96e4-6baefa11133f"/>
    <s v="***"/>
    <d v="2026-04-22T07:58:40"/>
    <n v="268"/>
    <x v="0"/>
    <d v="2026-04-22T00:58:40"/>
    <x v="27"/>
    <s v="Wednesday"/>
    <n v="0"/>
  </r>
  <r>
    <s v="52d5da8c-0686-43af-ba53-2f33dd999312"/>
    <s v="***"/>
    <d v="2026-04-22T08:01:33"/>
    <n v="1"/>
    <x v="24"/>
    <d v="2026-04-22T01:01:33"/>
    <x v="27"/>
    <s v="Wednesday"/>
    <n v="1"/>
  </r>
  <r>
    <s v="4271e6ce-3da7-4f37-aade-cb25fa45b8f8"/>
    <s v="***"/>
    <d v="2026-04-22T08:02:32"/>
    <n v="268"/>
    <x v="0"/>
    <d v="2026-04-22T01:02:32"/>
    <x v="27"/>
    <s v="Wednesday"/>
    <n v="1"/>
  </r>
  <r>
    <s v="c129f29a-af70-4115-a030-aef149f2144b"/>
    <s v="***"/>
    <d v="2026-04-22T08:29:06"/>
    <n v="202"/>
    <x v="0"/>
    <d v="2026-04-22T01:29:06"/>
    <x v="27"/>
    <s v="Wednesday"/>
    <n v="1"/>
  </r>
  <r>
    <s v="84fdab99-40ce-4aca-bbf8-3dea260a6588"/>
    <s v="***"/>
    <d v="2026-04-22T08:30:34"/>
    <n v="3"/>
    <x v="0"/>
    <d v="2026-04-22T01:30:34"/>
    <x v="27"/>
    <s v="Wednesday"/>
    <n v="1"/>
  </r>
  <r>
    <s v="54e3c005-e4eb-4a21-a24a-7ed0abd0558b"/>
    <s v="***"/>
    <d v="2026-04-22T08:51:57"/>
    <n v="3"/>
    <x v="0"/>
    <d v="2026-04-22T01:51:57"/>
    <x v="27"/>
    <s v="Wednesday"/>
    <n v="1"/>
  </r>
  <r>
    <s v="ba14bd2f-20b1-4ec3-b13a-0cce4ad18dc8"/>
    <s v="***"/>
    <d v="2026-04-22T08:52:33"/>
    <n v="3"/>
    <x v="1"/>
    <d v="2026-04-22T01:52:33"/>
    <x v="27"/>
    <s v="Wednesday"/>
    <n v="1"/>
  </r>
  <r>
    <s v="203f3de8-51bf-42dd-89f9-8de4a381fa89"/>
    <s v="***"/>
    <d v="2026-04-22T09:00:43"/>
    <n v="3"/>
    <x v="1"/>
    <d v="2026-04-22T02:00:43"/>
    <x v="27"/>
    <s v="Wednesday"/>
    <n v="2"/>
  </r>
  <r>
    <s v="e4571ec0-b83a-474f-b65c-5102bc73406d"/>
    <s v="***"/>
    <d v="2026-04-22T09:05:40"/>
    <n v="268"/>
    <x v="0"/>
    <d v="2026-04-22T02:05:40"/>
    <x v="27"/>
    <s v="Wednesday"/>
    <n v="2"/>
  </r>
  <r>
    <s v="be66d02a-ac1c-480e-a31e-20d02436b05e"/>
    <s v="***"/>
    <d v="2026-04-22T09:10:29"/>
    <n v="3"/>
    <x v="0"/>
    <d v="2026-04-22T02:10:29"/>
    <x v="27"/>
    <s v="Wednesday"/>
    <n v="2"/>
  </r>
  <r>
    <s v="aa02ba31-b269-4454-a867-c4b83fda5e9d"/>
    <s v="***"/>
    <d v="2026-04-22T09:30:34"/>
    <n v="3"/>
    <x v="0"/>
    <d v="2026-04-22T02:30:34"/>
    <x v="27"/>
    <s v="Wednesday"/>
    <n v="2"/>
  </r>
  <r>
    <s v="3857610b-f098-4507-89ef-ea61502ca669"/>
    <s v="***"/>
    <d v="2026-04-22T09:59:04"/>
    <n v="202"/>
    <x v="0"/>
    <d v="2026-04-22T02:59:04"/>
    <x v="27"/>
    <s v="Wednesday"/>
    <n v="2"/>
  </r>
  <r>
    <s v="f45728f1-8bee-4c5a-8079-9ca479be4ea2"/>
    <s v="***"/>
    <d v="2026-04-22T10:09:00"/>
    <n v="3"/>
    <x v="0"/>
    <d v="2026-04-22T03:09:00"/>
    <x v="27"/>
    <s v="Wednesday"/>
    <n v="3"/>
  </r>
  <r>
    <s v="08d8cfba-bb20-4a3a-acbc-befb9024f811"/>
    <s v="***"/>
    <d v="2026-04-22T10:10:44"/>
    <n v="3"/>
    <x v="0"/>
    <d v="2026-04-22T03:10:44"/>
    <x v="27"/>
    <s v="Wednesday"/>
    <n v="3"/>
  </r>
  <r>
    <s v="f167e82a-6f26-4348-96e3-271e1dc53db0"/>
    <s v="***"/>
    <d v="2026-04-22T10:35:09"/>
    <n v="3"/>
    <x v="0"/>
    <d v="2026-04-22T03:35:09"/>
    <x v="27"/>
    <s v="Wednesday"/>
    <n v="3"/>
  </r>
  <r>
    <s v="daeac72b-dd38-4fb0-a67f-deb6ba1c8db5"/>
    <s v="***"/>
    <d v="2026-04-22T11:46:19"/>
    <n v="201"/>
    <x v="0"/>
    <d v="2026-04-22T04:46:19"/>
    <x v="27"/>
    <s v="Wednesday"/>
    <n v="4"/>
  </r>
  <r>
    <s v="2f047fd0-f95c-47cf-9ccc-2e22386ea222"/>
    <s v="***"/>
    <d v="2026-04-22T12:08:53"/>
    <n v="3"/>
    <x v="0"/>
    <d v="2026-04-22T05:08:53"/>
    <x v="27"/>
    <s v="Wednesday"/>
    <n v="5"/>
  </r>
  <r>
    <s v="834db16f-5976-4c96-a439-39b93d6fe8bb"/>
    <s v="***"/>
    <d v="2026-04-22T12:24:33"/>
    <n v="3"/>
    <x v="0"/>
    <d v="2026-04-22T05:24:33"/>
    <x v="27"/>
    <s v="Wednesday"/>
    <n v="5"/>
  </r>
  <r>
    <s v="fc9a3e30-abfe-4c93-aa1f-14990e8c0534"/>
    <s v="***"/>
    <d v="2026-04-22T12:37:28"/>
    <n v="3"/>
    <x v="2"/>
    <d v="2026-04-22T05:37:28"/>
    <x v="27"/>
    <s v="Wednesday"/>
    <n v="5"/>
  </r>
  <r>
    <s v="a6d6920b-8595-4ecd-b556-cc2b220dfc2e"/>
    <s v="***"/>
    <d v="2026-04-22T13:04:52"/>
    <n v="3"/>
    <x v="0"/>
    <d v="2026-04-22T06:04:52"/>
    <x v="27"/>
    <s v="Wednesday"/>
    <n v="6"/>
  </r>
  <r>
    <s v="d87db161-0fe9-435b-bd6e-070e9b5aa8c0"/>
    <s v="***"/>
    <d v="2026-04-22T13:08:21"/>
    <n v="3"/>
    <x v="0"/>
    <d v="2026-04-22T06:08:21"/>
    <x v="27"/>
    <s v="Wednesday"/>
    <n v="6"/>
  </r>
  <r>
    <s v="c32045e7-e35b-40f6-881d-5a8163892ec0"/>
    <s v="***"/>
    <d v="2026-04-22T13:08:38"/>
    <n v="267"/>
    <x v="0"/>
    <d v="2026-04-22T06:08:38"/>
    <x v="27"/>
    <s v="Wednesday"/>
    <n v="6"/>
  </r>
  <r>
    <s v="5a6225e8-39d4-4aac-a774-ef54c72824e2"/>
    <s v="***"/>
    <d v="2026-04-22T13:44:47"/>
    <n v="16"/>
    <x v="0"/>
    <d v="2026-04-22T06:44:47"/>
    <x v="27"/>
    <s v="Wednesday"/>
    <n v="6"/>
  </r>
  <r>
    <s v="e23f4087-54a5-4e1f-ad9f-c5a7964bb6ef"/>
    <s v="***"/>
    <d v="2026-04-22T14:45:57"/>
    <n v="267"/>
    <x v="1"/>
    <d v="2026-04-22T07:45:57"/>
    <x v="27"/>
    <s v="Wednesday"/>
    <n v="7"/>
  </r>
  <r>
    <s v="af5f9924-b23f-400f-bcc6-edc75bdfa2cd"/>
    <s v="***"/>
    <d v="2026-04-22T14:54:31"/>
    <n v="3"/>
    <x v="0"/>
    <d v="2026-04-22T07:54:31"/>
    <x v="27"/>
    <s v="Wednesday"/>
    <n v="7"/>
  </r>
  <r>
    <s v="f2019547-6cd6-4290-9f1b-58bc901672e3"/>
    <s v="***"/>
    <d v="2026-04-22T15:08:13"/>
    <n v="3"/>
    <x v="0"/>
    <d v="2026-04-22T08:08:13"/>
    <x v="27"/>
    <s v="Wednesday"/>
    <n v="8"/>
  </r>
  <r>
    <s v="4c4022db-e12f-48ce-be4d-639d3d52ccab"/>
    <s v="***"/>
    <d v="2026-04-22T15:11:00"/>
    <n v="12"/>
    <x v="0"/>
    <d v="2026-04-22T08:11:00"/>
    <x v="27"/>
    <s v="Wednesday"/>
    <n v="8"/>
  </r>
  <r>
    <s v="8acbbae4-a9d8-4b42-a5f3-42b3b4d351d2"/>
    <s v="***"/>
    <d v="2026-04-22T15:12:44"/>
    <n v="3"/>
    <x v="0"/>
    <d v="2026-04-22T08:12:44"/>
    <x v="27"/>
    <s v="Wednesday"/>
    <n v="8"/>
  </r>
  <r>
    <s v="b607db08-4dfb-46db-a2d2-b5f35d89be4c"/>
    <s v="***"/>
    <d v="2026-04-22T15:14:30"/>
    <n v="1"/>
    <x v="0"/>
    <d v="2026-04-22T08:14:30"/>
    <x v="27"/>
    <s v="Wednesday"/>
    <n v="8"/>
  </r>
  <r>
    <s v="1da909df-6593-4fbc-a550-0b1099fd2563"/>
    <s v="***"/>
    <d v="2026-04-22T15:23:12"/>
    <n v="3"/>
    <x v="26"/>
    <d v="2026-04-22T08:23:12"/>
    <x v="27"/>
    <s v="Wednesday"/>
    <n v="8"/>
  </r>
  <r>
    <s v="93813085-f089-46e8-bc8c-719b541c66bd"/>
    <s v="***"/>
    <d v="2026-04-22T15:25:52"/>
    <n v="3"/>
    <x v="0"/>
    <d v="2026-04-22T08:25:52"/>
    <x v="27"/>
    <s v="Wednesday"/>
    <n v="8"/>
  </r>
  <r>
    <s v="951fdd8d-7662-4530-9a1f-1aa7fc754818"/>
    <s v="***"/>
    <d v="2026-04-22T15:29:47"/>
    <n v="9"/>
    <x v="0"/>
    <d v="2026-04-22T08:29:47"/>
    <x v="27"/>
    <s v="Wednesday"/>
    <n v="8"/>
  </r>
  <r>
    <s v="92a12ae8-4995-4fa4-91e4-d6cad75a2ba1"/>
    <s v="***"/>
    <d v="2026-04-22T15:31:48"/>
    <n v="3"/>
    <x v="0"/>
    <d v="2026-04-22T08:31:48"/>
    <x v="27"/>
    <s v="Wednesday"/>
    <n v="8"/>
  </r>
  <r>
    <s v="5a82291c-83f7-46a6-94ae-7d6f53b1e807"/>
    <s v="***"/>
    <d v="2026-04-22T15:41:19"/>
    <n v="267"/>
    <x v="0"/>
    <d v="2026-04-22T08:41:19"/>
    <x v="27"/>
    <s v="Wednesday"/>
    <n v="8"/>
  </r>
  <r>
    <s v="f316ab50-2a87-49cc-b2ff-b2b1e5e81042"/>
    <s v="***"/>
    <d v="2026-04-22T17:08:34"/>
    <n v="3"/>
    <x v="0"/>
    <d v="2026-04-22T10:08:34"/>
    <x v="27"/>
    <s v="Wednesday"/>
    <n v="10"/>
  </r>
  <r>
    <s v="aac36bcf-9048-40c8-b779-cf6ac34da73e"/>
    <s v="***"/>
    <d v="2026-04-22T18:21:36"/>
    <n v="3"/>
    <x v="2"/>
    <d v="2026-04-22T11:21:36"/>
    <x v="27"/>
    <s v="Wednesday"/>
    <n v="11"/>
  </r>
  <r>
    <s v="8e77e5cd-6e87-447e-a8c6-854b406437eb"/>
    <s v="***"/>
    <d v="2026-04-22T18:23:07"/>
    <n v="16"/>
    <x v="0"/>
    <d v="2026-04-22T11:23:07"/>
    <x v="27"/>
    <s v="Wednesday"/>
    <n v="11"/>
  </r>
  <r>
    <s v="b798e876-7931-42d5-8bb8-03f459bd22e2"/>
    <s v="***"/>
    <d v="2026-04-22T18:40:54"/>
    <n v="3"/>
    <x v="0"/>
    <d v="2026-04-22T11:40:54"/>
    <x v="27"/>
    <s v="Wednesday"/>
    <n v="11"/>
  </r>
  <r>
    <s v="33306e68-ac7e-46d1-a83a-dd5472797293"/>
    <s v="***"/>
    <d v="2026-04-22T19:13:55"/>
    <n v="16"/>
    <x v="0"/>
    <d v="2026-04-22T12:13:55"/>
    <x v="27"/>
    <s v="Wednesday"/>
    <n v="12"/>
  </r>
  <r>
    <s v="8b5d664e-8b97-45cf-960f-08782449e358"/>
    <s v="***"/>
    <d v="2026-04-22T20:00:11"/>
    <n v="10"/>
    <x v="0"/>
    <d v="2026-04-22T13:00:11"/>
    <x v="27"/>
    <s v="Wednesday"/>
    <n v="13"/>
  </r>
  <r>
    <s v="ac9e6b14-3cf1-4b73-b073-d1ab3c1e9e43"/>
    <s v="***"/>
    <d v="2026-04-22T20:11:07"/>
    <n v="3"/>
    <x v="0"/>
    <d v="2026-04-22T13:11:07"/>
    <x v="27"/>
    <s v="Wednesday"/>
    <n v="13"/>
  </r>
  <r>
    <s v="efd67f47-5b91-4b38-8110-dfaddc673336"/>
    <s v="***"/>
    <d v="2026-04-22T21:02:28"/>
    <n v="10"/>
    <x v="0"/>
    <d v="2026-04-22T14:02:28"/>
    <x v="27"/>
    <s v="Wednesday"/>
    <n v="14"/>
  </r>
  <r>
    <s v="4ef9c831-7050-4e60-a7bc-bd92227abe95"/>
    <s v="***"/>
    <d v="2026-04-22T21:25:05"/>
    <n v="3"/>
    <x v="27"/>
    <d v="2026-04-22T14:25:05"/>
    <x v="27"/>
    <s v="Wednesday"/>
    <n v="14"/>
  </r>
  <r>
    <s v="e7a1d8c3-a2bb-4cc7-805d-26f32ae25384"/>
    <s v="***"/>
    <d v="2026-04-22T22:00:14"/>
    <n v="267"/>
    <x v="0"/>
    <d v="2026-04-22T15:00:14"/>
    <x v="27"/>
    <s v="Wednesday"/>
    <n v="15"/>
  </r>
  <r>
    <s v="229c4416-24a0-496b-aa01-3de47e269716"/>
    <s v="***"/>
    <d v="2026-04-23T00:38:32"/>
    <n v="3"/>
    <x v="0"/>
    <d v="2026-04-22T17:38:32"/>
    <x v="27"/>
    <s v="Wednesday"/>
    <n v="17"/>
  </r>
  <r>
    <s v="67378d43-0820-4e4c-8dae-41fd98d32c17"/>
    <s v="***"/>
    <d v="2026-04-23T01:32:36"/>
    <n v="3"/>
    <x v="0"/>
    <d v="2026-04-22T18:32:36"/>
    <x v="27"/>
    <s v="Wednesday"/>
    <n v="18"/>
  </r>
  <r>
    <s v="171134d9-e032-461b-a641-61ac0de7260d"/>
    <s v="***"/>
    <d v="2026-04-23T06:32:28"/>
    <n v="9"/>
    <x v="0"/>
    <d v="2026-04-22T23:32:28"/>
    <x v="27"/>
    <s v="Wednesday"/>
    <n v="23"/>
  </r>
  <r>
    <s v="fc022de4-e322-4cdd-b4c3-281ff6467aa9"/>
    <s v="***"/>
    <d v="2026-04-23T06:42:07"/>
    <n v="3"/>
    <x v="0"/>
    <d v="2026-04-22T23:42:07"/>
    <x v="27"/>
    <s v="Wednesday"/>
    <n v="23"/>
  </r>
  <r>
    <s v="91704fbd-53e2-4a3f-a83f-d5d455179d53"/>
    <s v="***"/>
    <d v="2026-04-23T07:35:58"/>
    <n v="12"/>
    <x v="0"/>
    <d v="2026-04-23T00:35:58"/>
    <x v="28"/>
    <s v="Thursday"/>
    <n v="0"/>
  </r>
  <r>
    <s v="d4f3876a-a7c4-4e24-bc97-1682817e362f"/>
    <s v="***"/>
    <d v="2026-04-23T07:41:28"/>
    <n v="6093"/>
    <x v="0"/>
    <d v="2026-04-23T00:41:28"/>
    <x v="28"/>
    <s v="Thursday"/>
    <n v="0"/>
  </r>
  <r>
    <s v="983e3179-3cf7-49db-84b1-273f3c7bfb26"/>
    <s v="***"/>
    <d v="2026-04-23T07:49:16"/>
    <n v="3"/>
    <x v="0"/>
    <d v="2026-04-23T00:49:16"/>
    <x v="28"/>
    <s v="Thursday"/>
    <n v="0"/>
  </r>
  <r>
    <s v="6c6b5c66-c65b-4cb9-904c-d5bfc8b23de2"/>
    <s v="***"/>
    <d v="2026-04-23T08:07:47"/>
    <n v="3"/>
    <x v="0"/>
    <d v="2026-04-23T01:07:47"/>
    <x v="28"/>
    <s v="Thursday"/>
    <n v="1"/>
  </r>
  <r>
    <s v="3a96f2f6-d141-4d8a-a912-2381c89bcc89"/>
    <s v="***"/>
    <d v="2026-04-23T08:29:34"/>
    <n v="3"/>
    <x v="9"/>
    <d v="2026-04-23T01:29:34"/>
    <x v="28"/>
    <s v="Thursday"/>
    <n v="1"/>
  </r>
  <r>
    <s v="6a89b24f-3c29-4f36-8cc2-5f0d9ccdba2f"/>
    <s v="***"/>
    <d v="2026-04-23T09:04:50"/>
    <n v="267"/>
    <x v="0"/>
    <d v="2026-04-23T02:04:50"/>
    <x v="28"/>
    <s v="Thursday"/>
    <n v="2"/>
  </r>
  <r>
    <s v="56331c2e-286e-417c-8d38-8e636b63df4d"/>
    <s v="***"/>
    <d v="2026-04-23T10:25:38"/>
    <n v="9"/>
    <x v="0"/>
    <d v="2026-04-23T03:25:38"/>
    <x v="28"/>
    <s v="Thursday"/>
    <n v="3"/>
  </r>
  <r>
    <s v="438d782d-098f-4a79-818d-5b3932b126b5"/>
    <s v="***"/>
    <d v="2026-04-23T10:40:35"/>
    <n v="3"/>
    <x v="9"/>
    <d v="2026-04-23T03:40:35"/>
    <x v="28"/>
    <s v="Thursday"/>
    <n v="3"/>
  </r>
  <r>
    <s v="7963096b-56ee-4043-bad0-7976cdfc5077"/>
    <s v="***"/>
    <d v="2026-04-23T11:51:28"/>
    <n v="3"/>
    <x v="0"/>
    <d v="2026-04-23T04:51:28"/>
    <x v="28"/>
    <s v="Thursday"/>
    <n v="4"/>
  </r>
  <r>
    <s v="0a4fdc42-f89b-42ef-b238-aa7d963facd1"/>
    <s v="***"/>
    <d v="2026-04-23T11:55:07"/>
    <n v="3"/>
    <x v="0"/>
    <d v="2026-04-23T04:55:07"/>
    <x v="28"/>
    <s v="Thursday"/>
    <n v="4"/>
  </r>
  <r>
    <s v="f4c78e74-8076-470f-8117-5944891d1a52"/>
    <s v="***"/>
    <d v="2026-04-23T11:59:20"/>
    <n v="12"/>
    <x v="0"/>
    <d v="2026-04-23T04:59:20"/>
    <x v="28"/>
    <s v="Thursday"/>
    <n v="4"/>
  </r>
  <r>
    <s v="54662f7c-5521-4332-84e3-87583a2f8ea7"/>
    <s v="***"/>
    <d v="2026-04-23T12:03:08"/>
    <n v="267"/>
    <x v="0"/>
    <d v="2026-04-23T05:03:08"/>
    <x v="28"/>
    <s v="Thursday"/>
    <n v="5"/>
  </r>
  <r>
    <s v="93bd11f9-e71d-4e67-b0a5-1a7860538ac3"/>
    <s v="***"/>
    <d v="2026-04-23T13:03:08"/>
    <n v="3"/>
    <x v="0"/>
    <d v="2026-04-23T06:03:08"/>
    <x v="28"/>
    <s v="Thursday"/>
    <n v="6"/>
  </r>
  <r>
    <s v="7bde3316-6727-41f0-807b-8954811a10d0"/>
    <s v="***"/>
    <d v="2026-04-23T13:31:28"/>
    <n v="12"/>
    <x v="0"/>
    <d v="2026-04-23T06:31:28"/>
    <x v="28"/>
    <s v="Thursday"/>
    <n v="6"/>
  </r>
  <r>
    <s v="278e96bd-375c-4914-a3b8-5d686e1f2254"/>
    <s v="***"/>
    <d v="2026-04-23T13:34:13"/>
    <n v="9"/>
    <x v="0"/>
    <d v="2026-04-23T06:34:13"/>
    <x v="28"/>
    <s v="Thursday"/>
    <n v="6"/>
  </r>
  <r>
    <s v="e26e43e6-41c5-496e-bdb6-3c046c006678"/>
    <s v="***"/>
    <d v="2026-04-23T14:00:47"/>
    <n v="201"/>
    <x v="27"/>
    <d v="2026-04-23T07:00:47"/>
    <x v="28"/>
    <s v="Thursday"/>
    <n v="7"/>
  </r>
  <r>
    <s v="fcf21606-e235-4558-9dc4-ae551c3e49fa"/>
    <s v="***"/>
    <d v="2026-04-23T14:04:21"/>
    <n v="267"/>
    <x v="0"/>
    <d v="2026-04-23T07:04:21"/>
    <x v="28"/>
    <s v="Thursday"/>
    <n v="7"/>
  </r>
  <r>
    <s v="af897f21-6293-41a1-845e-9c12c5f20d97"/>
    <s v="***"/>
    <d v="2026-04-23T14:15:53"/>
    <n v="9"/>
    <x v="0"/>
    <d v="2026-04-23T07:15:53"/>
    <x v="28"/>
    <s v="Thursday"/>
    <n v="7"/>
  </r>
  <r>
    <s v="15eeccbf-737d-43ca-a1f0-2d4e0fbf9c30"/>
    <s v="***"/>
    <d v="2026-04-23T14:21:58"/>
    <n v="3"/>
    <x v="0"/>
    <d v="2026-04-23T07:21:58"/>
    <x v="28"/>
    <s v="Thursday"/>
    <n v="7"/>
  </r>
  <r>
    <s v="58929ea1-9e1a-47c0-84b8-820f6e8467e2"/>
    <s v="***"/>
    <d v="2026-04-23T15:11:13"/>
    <n v="3"/>
    <x v="9"/>
    <d v="2026-04-23T08:11:13"/>
    <x v="28"/>
    <s v="Thursday"/>
    <n v="8"/>
  </r>
  <r>
    <s v="57336bec-4cda-4297-b5e1-020b3780a6b1"/>
    <s v="***"/>
    <d v="2026-04-23T15:13:00"/>
    <n v="12"/>
    <x v="0"/>
    <d v="2026-04-23T08:13:00"/>
    <x v="28"/>
    <s v="Thursday"/>
    <n v="8"/>
  </r>
  <r>
    <s v="5e4a4b78-fa09-4216-bc52-ce77f892d0a2"/>
    <s v="***"/>
    <d v="2026-04-23T15:26:04"/>
    <n v="3"/>
    <x v="0"/>
    <d v="2026-04-23T08:26:04"/>
    <x v="28"/>
    <s v="Thursday"/>
    <n v="8"/>
  </r>
  <r>
    <s v="71ebe68e-3485-4d4f-b414-a26051bebeb3"/>
    <s v="***"/>
    <d v="2026-04-23T15:48:16"/>
    <n v="3"/>
    <x v="27"/>
    <d v="2026-04-23T08:48:16"/>
    <x v="28"/>
    <s v="Thursday"/>
    <n v="8"/>
  </r>
  <r>
    <s v="02dd4548-d140-4de7-9e87-8ddf4fff12a2"/>
    <s v="***"/>
    <d v="2026-04-23T16:01:05"/>
    <n v="3"/>
    <x v="0"/>
    <d v="2026-04-23T09:01:05"/>
    <x v="28"/>
    <s v="Thursday"/>
    <n v="9"/>
  </r>
  <r>
    <s v="fbfb1fa7-7f54-4878-a212-4fa1c9b68100"/>
    <s v="***"/>
    <d v="2026-04-23T16:17:41"/>
    <n v="3"/>
    <x v="0"/>
    <d v="2026-04-23T09:17:41"/>
    <x v="28"/>
    <s v="Thursday"/>
    <n v="9"/>
  </r>
  <r>
    <s v="6eafe162-e2f8-444f-99b0-d8930e7cc1f1"/>
    <s v="***"/>
    <d v="2026-04-23T18:08:37"/>
    <n v="3"/>
    <x v="0"/>
    <d v="2026-04-23T11:08:37"/>
    <x v="28"/>
    <s v="Thursday"/>
    <n v="11"/>
  </r>
  <r>
    <s v="3b8786d4-12c2-440c-9089-104ea5dba1a1"/>
    <s v="***"/>
    <d v="2026-04-23T18:32:07"/>
    <n v="3"/>
    <x v="0"/>
    <d v="2026-04-23T11:32:07"/>
    <x v="28"/>
    <s v="Thursday"/>
    <n v="11"/>
  </r>
  <r>
    <s v="dd9c0769-3ad9-4df9-ad78-58e3ef8f150e"/>
    <s v="***"/>
    <d v="2026-04-23T18:59:29"/>
    <n v="3"/>
    <x v="0"/>
    <d v="2026-04-23T11:59:29"/>
    <x v="28"/>
    <s v="Thursday"/>
    <n v="11"/>
  </r>
  <r>
    <s v="09567aa8-b83a-4678-a4ac-4e2764d73966"/>
    <s v="***"/>
    <d v="2026-04-23T19:20:59"/>
    <n v="3"/>
    <x v="0"/>
    <d v="2026-04-23T12:20:59"/>
    <x v="28"/>
    <s v="Thursday"/>
    <n v="12"/>
  </r>
  <r>
    <s v="e44919ac-73d8-496b-8f82-666ec41a00b4"/>
    <s v="***"/>
    <d v="2026-04-23T19:39:53"/>
    <n v="3"/>
    <x v="2"/>
    <d v="2026-04-23T12:39:53"/>
    <x v="28"/>
    <s v="Thursday"/>
    <n v="12"/>
  </r>
  <r>
    <s v="9f11a695-894b-44e8-8a44-1051d24741c1"/>
    <s v="***"/>
    <d v="2026-04-23T20:15:07"/>
    <n v="267"/>
    <x v="0"/>
    <d v="2026-04-23T13:15:07"/>
    <x v="28"/>
    <s v="Thursday"/>
    <n v="13"/>
  </r>
  <r>
    <s v="59641a25-e52f-497c-b72b-037e980f076f"/>
    <s v="***"/>
    <d v="2026-04-23T20:27:06"/>
    <n v="3"/>
    <x v="2"/>
    <d v="2026-04-23T13:27:06"/>
    <x v="28"/>
    <s v="Thursday"/>
    <n v="13"/>
  </r>
  <r>
    <s v="8bcfd29f-c569-4c37-9a62-47bc14e3ca9d"/>
    <s v="***"/>
    <d v="2026-04-23T20:38:05"/>
    <n v="267"/>
    <x v="0"/>
    <d v="2026-04-23T13:38:05"/>
    <x v="28"/>
    <s v="Thursday"/>
    <n v="13"/>
  </r>
  <r>
    <s v="8a68f77a-1587-4f80-a73d-2a80d8acbfb5"/>
    <s v="***"/>
    <d v="2026-04-23T21:21:36"/>
    <n v="267"/>
    <x v="0"/>
    <d v="2026-04-23T14:21:36"/>
    <x v="28"/>
    <s v="Thursday"/>
    <n v="14"/>
  </r>
  <r>
    <s v="81bf0b9e-af1b-4fd5-9a62-1bc02cd279fb"/>
    <s v="***"/>
    <d v="2026-04-24T06:52:02"/>
    <n v="3"/>
    <x v="0"/>
    <d v="2026-04-23T23:52:02"/>
    <x v="28"/>
    <s v="Thursday"/>
    <n v="23"/>
  </r>
  <r>
    <s v="69ddf92f-cfdd-4bc2-8b44-9f42418674f5"/>
    <s v="***"/>
    <d v="2026-04-24T07:34:16"/>
    <n v="3"/>
    <x v="0"/>
    <d v="2026-04-24T00:34:16"/>
    <x v="29"/>
    <s v="Friday"/>
    <n v="0"/>
  </r>
  <r>
    <s v="de964faa-2b02-4359-88c1-d65f649fecf0"/>
    <s v="***"/>
    <d v="2026-04-24T09:05:05"/>
    <n v="3"/>
    <x v="0"/>
    <d v="2026-04-24T02:05:05"/>
    <x v="29"/>
    <s v="Friday"/>
    <n v="2"/>
  </r>
  <r>
    <s v="92628607-4ba0-43ed-ad58-dee1b4fba277"/>
    <s v="***"/>
    <d v="2026-04-24T09:36:37"/>
    <n v="3"/>
    <x v="0"/>
    <d v="2026-04-24T02:36:37"/>
    <x v="29"/>
    <s v="Friday"/>
    <n v="2"/>
  </r>
  <r>
    <s v="c22b257d-53bb-48ad-855a-fb5278b4977d"/>
    <s v="***"/>
    <d v="2026-04-24T11:10:38"/>
    <n v="3"/>
    <x v="0"/>
    <d v="2026-04-24T04:10:38"/>
    <x v="29"/>
    <s v="Friday"/>
    <n v="4"/>
  </r>
  <r>
    <s v="f4ac3502-55b5-4f92-8442-2ca7486c60a5"/>
    <s v="***"/>
    <d v="2026-04-24T11:49:38"/>
    <n v="3"/>
    <x v="0"/>
    <d v="2026-04-24T04:49:38"/>
    <x v="29"/>
    <s v="Friday"/>
    <n v="4"/>
  </r>
  <r>
    <s v="bf362d37-3a8b-4ae6-8887-59837323e5dc"/>
    <s v="***"/>
    <d v="2026-04-24T12:44:47"/>
    <n v="267"/>
    <x v="28"/>
    <d v="2026-04-24T05:44:47"/>
    <x v="29"/>
    <s v="Friday"/>
    <n v="5"/>
  </r>
  <r>
    <s v="6e21945c-8197-4878-a7a3-dc7d80dea5d1"/>
    <s v="***"/>
    <d v="2026-04-24T13:14:43"/>
    <n v="3"/>
    <x v="0"/>
    <d v="2026-04-24T06:14:43"/>
    <x v="29"/>
    <s v="Friday"/>
    <n v="6"/>
  </r>
  <r>
    <s v="a8a8b1f4-0a3d-47de-a32c-5a598d6076b7"/>
    <s v="***"/>
    <d v="2026-04-24T13:51:51"/>
    <n v="3"/>
    <x v="0"/>
    <d v="2026-04-24T06:51:51"/>
    <x v="29"/>
    <s v="Friday"/>
    <n v="6"/>
  </r>
  <r>
    <s v="2586228a-5375-4622-b47c-2dbf1485189f"/>
    <s v="***"/>
    <d v="2026-04-24T13:57:22"/>
    <n v="3"/>
    <x v="2"/>
    <d v="2026-04-24T06:57:22"/>
    <x v="29"/>
    <s v="Friday"/>
    <n v="6"/>
  </r>
  <r>
    <s v="8f568092-3670-4bf3-9d85-efeaaf36cdbc"/>
    <s v="***"/>
    <d v="2026-04-24T14:14:15"/>
    <n v="3"/>
    <x v="0"/>
    <d v="2026-04-24T07:14:15"/>
    <x v="29"/>
    <s v="Friday"/>
    <n v="7"/>
  </r>
  <r>
    <s v="5b2aee19-0f14-4a4e-85e0-da96b59e5d26"/>
    <s v="***"/>
    <d v="2026-04-24T14:15:38"/>
    <n v="3"/>
    <x v="2"/>
    <d v="2026-04-24T07:15:38"/>
    <x v="29"/>
    <s v="Friday"/>
    <n v="7"/>
  </r>
  <r>
    <s v="a0d621ba-e799-4df6-b68a-a805bd446455"/>
    <s v="***"/>
    <d v="2026-04-24T14:19:36"/>
    <n v="3"/>
    <x v="0"/>
    <d v="2026-04-24T07:19:36"/>
    <x v="29"/>
    <s v="Friday"/>
    <n v="7"/>
  </r>
  <r>
    <s v="a4dd85d5-c82c-4f9d-8d5d-919275dd5d1d"/>
    <s v="***"/>
    <d v="2026-04-24T14:32:26"/>
    <n v="3"/>
    <x v="0"/>
    <d v="2026-04-24T07:32:26"/>
    <x v="29"/>
    <s v="Friday"/>
    <n v="7"/>
  </r>
  <r>
    <s v="05202d6c-2b54-4ce8-a45b-adfc720f3c48"/>
    <s v="***"/>
    <d v="2026-04-24T15:10:41"/>
    <n v="3"/>
    <x v="0"/>
    <d v="2026-04-24T08:10:41"/>
    <x v="29"/>
    <s v="Friday"/>
    <n v="8"/>
  </r>
  <r>
    <s v="e86ec61d-437e-423e-8e57-15c631ecfd24"/>
    <s v="***"/>
    <d v="2026-04-24T15:21:04"/>
    <n v="3"/>
    <x v="0"/>
    <d v="2026-04-24T08:21:04"/>
    <x v="29"/>
    <s v="Friday"/>
    <n v="8"/>
  </r>
  <r>
    <s v="0c737e89-6fb6-4896-aa5f-5bd36d341f2d"/>
    <s v="***"/>
    <d v="2026-04-24T18:20:06"/>
    <n v="267"/>
    <x v="0"/>
    <d v="2026-04-24T11:20:06"/>
    <x v="29"/>
    <s v="Friday"/>
    <n v="11"/>
  </r>
  <r>
    <s v="b67f9b72-bfc8-4276-b9ff-c94001c2dd77"/>
    <s v="***"/>
    <d v="2026-04-24T19:02:29"/>
    <n v="3"/>
    <x v="0"/>
    <d v="2026-04-24T12:02:29"/>
    <x v="29"/>
    <s v="Friday"/>
    <n v="12"/>
  </r>
  <r>
    <s v="d03f5bf1-1605-4cb7-8f24-3ac09476d35a"/>
    <s v="***"/>
    <d v="2026-04-24T19:21:47"/>
    <n v="3"/>
    <x v="0"/>
    <d v="2026-04-24T12:21:47"/>
    <x v="29"/>
    <s v="Friday"/>
    <n v="12"/>
  </r>
  <r>
    <s v="e38f197a-f271-4ee4-87c6-7eba20bc5826"/>
    <s v="***"/>
    <d v="2026-04-24T21:57:15"/>
    <n v="3"/>
    <x v="0"/>
    <d v="2026-04-24T14:57:15"/>
    <x v="29"/>
    <s v="Friday"/>
    <n v="14"/>
  </r>
  <r>
    <s v="0df5825f-71fe-4f0e-9f52-8ea1c67abdae"/>
    <s v="***"/>
    <d v="2026-04-24T22:22:55"/>
    <n v="3"/>
    <x v="0"/>
    <d v="2026-04-24T15:22:55"/>
    <x v="29"/>
    <s v="Friday"/>
    <n v="15"/>
  </r>
  <r>
    <s v="0543ea2b-f6b9-4618-a229-a1ce0356efea"/>
    <s v="***"/>
    <d v="2026-04-24T23:01:58"/>
    <n v="3"/>
    <x v="27"/>
    <d v="2026-04-24T16:01:58"/>
    <x v="29"/>
    <s v="Friday"/>
    <n v="16"/>
  </r>
  <r>
    <s v="b09548ec-99f8-4f21-9106-91739be84055"/>
    <s v="***"/>
    <d v="2026-04-24T23:31:48"/>
    <n v="201"/>
    <x v="0"/>
    <d v="2026-04-24T16:31:48"/>
    <x v="29"/>
    <s v="Friday"/>
    <n v="16"/>
  </r>
  <r>
    <s v="222aac89-7e54-44e0-ba5f-31b059dd720a"/>
    <s v="***"/>
    <d v="2026-04-25T08:16:27"/>
    <n v="3"/>
    <x v="2"/>
    <d v="2026-04-25T01:16:27"/>
    <x v="30"/>
    <s v="Saturday"/>
    <n v="1"/>
  </r>
  <r>
    <s v="d6a2baac-323a-463c-9398-d9c36e2c054d"/>
    <s v="***"/>
    <d v="2026-04-25T09:02:56"/>
    <n v="3"/>
    <x v="0"/>
    <d v="2026-04-25T02:02:56"/>
    <x v="30"/>
    <s v="Saturday"/>
    <n v="2"/>
  </r>
  <r>
    <s v="0c46133f-3c27-420b-a8ba-6d9b06c3e055"/>
    <s v="***"/>
    <d v="2026-04-25T13:41:02"/>
    <n v="3"/>
    <x v="29"/>
    <d v="2026-04-25T06:41:02"/>
    <x v="30"/>
    <s v="Saturday"/>
    <n v="6"/>
  </r>
  <r>
    <s v="527b05a0-6fa9-46aa-96cf-e04cb461aebb"/>
    <s v="***"/>
    <d v="2026-04-25T14:01:31"/>
    <n v="3"/>
    <x v="0"/>
    <d v="2026-04-25T07:01:31"/>
    <x v="30"/>
    <s v="Saturday"/>
    <n v="7"/>
  </r>
  <r>
    <s v="38c723f4-b525-4cef-80f9-4ff2d7049ada"/>
    <s v="***"/>
    <d v="2026-04-25T15:06:36"/>
    <n v="3"/>
    <x v="0"/>
    <d v="2026-04-25T08:06:36"/>
    <x v="30"/>
    <s v="Saturday"/>
    <n v="8"/>
  </r>
  <r>
    <s v="7a38b261-017f-4f04-b311-62a6bb15408a"/>
    <s v="***"/>
    <d v="2026-04-25T15:40:10"/>
    <n v="1"/>
    <x v="0"/>
    <d v="2026-04-25T08:40:10"/>
    <x v="30"/>
    <s v="Saturday"/>
    <n v="8"/>
  </r>
  <r>
    <s v="70feabfe-28c1-4d34-bb42-79b07d6b1505"/>
    <s v="***"/>
    <d v="2026-04-25T16:00:33"/>
    <n v="1"/>
    <x v="0"/>
    <d v="2026-04-25T09:00:33"/>
    <x v="30"/>
    <s v="Saturday"/>
    <n v="9"/>
  </r>
  <r>
    <s v="8e396bb5-2148-4e91-9f14-6f084368dfa4"/>
    <s v="***"/>
    <d v="2026-04-25T16:00:53"/>
    <n v="267"/>
    <x v="0"/>
    <d v="2026-04-25T09:00:53"/>
    <x v="30"/>
    <s v="Saturday"/>
    <n v="9"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  <r>
    <m/>
    <m/>
    <m/>
    <m/>
    <x v="0"/>
    <m/>
    <x v="31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8E2B5C-D088-F745-A6E2-20F0F9AE2467}" name="PivotTable1" cacheId="42" applyNumberFormats="0" applyBorderFormats="0" applyFontFormats="0" applyPatternFormats="0" applyAlignmentFormats="0" applyWidthHeightFormats="1" dataCaption="Values" updatedVersion="8" minRefreshableVersion="5" useAutoFormatting="1" rowGrandTotals="0" colGrandTotals="0" itemPrintTitles="1" createdVersion="8" indent="0" outline="1" outlineData="1" multipleFieldFilters="0" chartFormat="5">
  <location ref="A3:B33" firstHeaderRow="1" firstDataRow="1" firstDataCol="1"/>
  <pivotFields count="9">
    <pivotField dataField="1" showAll="0"/>
    <pivotField showAll="0"/>
    <pivotField showAll="0"/>
    <pivotField showAll="0"/>
    <pivotField axis="axisRow" showAll="0">
      <items count="41">
        <item m="1" x="39"/>
        <item m="1" x="36"/>
        <item m="1" x="38"/>
        <item m="1" x="30"/>
        <item m="1" x="33"/>
        <item m="1" x="32"/>
        <item m="1" x="35"/>
        <item m="1" x="34"/>
        <item m="1" x="31"/>
        <item m="1" x="37"/>
        <item x="16"/>
        <item x="9"/>
        <item x="7"/>
        <item x="12"/>
        <item x="19"/>
        <item x="4"/>
        <item x="0"/>
        <item x="1"/>
        <item x="2"/>
        <item x="3"/>
        <item x="5"/>
        <item x="6"/>
        <item x="8"/>
        <item x="10"/>
        <item x="11"/>
        <item x="13"/>
        <item x="14"/>
        <item x="15"/>
        <item x="17"/>
        <item x="18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showAll="0"/>
  </pivotFields>
  <rowFields count="1">
    <field x="4"/>
  </rowFields>
  <rowItems count="30"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</rowItems>
  <colItems count="1">
    <i/>
  </colItems>
  <dataFields count="1">
    <dataField name="Count of Search ID" fld="0" subtotal="count" baseField="0" baseItem="0"/>
  </dataFields>
  <chartFormats count="39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9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9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9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97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98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99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100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10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0" format="102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0" format="103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0" format="104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0" format="130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0" format="150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0" format="160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0" format="164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0" format="167">
      <pivotArea type="data" outline="0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chartFormat>
    <chartFormat chart="0" format="178">
      <pivotArea type="data" outline="0" fieldPosition="0">
        <references count="2">
          <reference field="4294967294" count="1" selected="0">
            <x v="0"/>
          </reference>
          <reference field="4" count="1" selected="0">
            <x v="15"/>
          </reference>
        </references>
      </pivotArea>
    </chartFormat>
    <chartFormat chart="0" format="182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4" format="36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4" format="56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4" format="66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4" format="70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4" format="73">
      <pivotArea type="data" outline="0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chartFormat>
    <chartFormat chart="4" format="84">
      <pivotArea type="data" outline="0" fieldPosition="0">
        <references count="2">
          <reference field="4294967294" count="1" selected="0">
            <x v="0"/>
          </reference>
          <reference field="4" count="1" selected="0">
            <x v="15"/>
          </reference>
        </references>
      </pivotArea>
    </chartFormat>
    <chartFormat chart="4" format="88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dateBetween" evalOrder="-1" id="164" name="Date (Pacific)">
      <autoFilter ref="A1">
        <filterColumn colId="0">
          <customFilters and="1">
            <customFilter operator="greaterThanOrEqual" val="46082"/>
            <customFilter operator="lessThanOrEqual" val="4614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E8AD412-A4EA-8442-8C11-CF751446259D}" autoFormatId="16" applyNumberFormats="0" applyBorderFormats="0" applyFontFormats="0" applyPatternFormats="0" applyAlignmentFormats="0" applyWidthHeightFormats="0">
  <queryTableRefresh nextId="10">
    <queryTableFields count="9">
      <queryTableField id="1" name="Search ID" tableColumnId="1"/>
      <queryTableField id="2" name="User ID" tableColumnId="2"/>
      <queryTableField id="3" name="Search Date (UTC/Zulu)" tableColumnId="3"/>
      <queryTableField id="4" name="Network Count" tableColumnId="4"/>
      <queryTableField id="5" name="Reason" tableColumnId="5"/>
      <queryTableField id="6" name="Search Date (Pacific)" tableColumnId="6"/>
      <queryTableField id="7" name="Date (Pacific)" tableColumnId="7"/>
      <queryTableField id="8" name="Day of Week" tableColumnId="8"/>
      <queryTableField id="9" name="Hour (Pacific)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7752DCC-3BD7-EC4A-AE64-A775AA23DB99}" autoFormatId="16" applyNumberFormats="0" applyBorderFormats="0" applyFontFormats="0" applyPatternFormats="0" applyAlignmentFormats="0" applyWidthHeightFormats="0">
  <queryTableRefresh nextId="11">
    <queryTableFields count="10">
      <queryTableField id="1" name="Run Date/Time" tableColumnId="1"/>
      <queryTableField id="2" name="Rows Before" tableColumnId="2"/>
      <queryTableField id="3" name="Rows After" tableColumnId="3"/>
      <queryTableField id="4" name="New Rows" tableColumnId="4"/>
      <queryTableField id="5" name="New Rows Date Min" tableColumnId="5"/>
      <queryTableField id="6" name="New Rows Date Max" tableColumnId="6"/>
      <queryTableField id="7" name="Blank Reason #" tableColumnId="7"/>
      <queryTableField id="8" name="Blank Reason %" tableColumnId="8"/>
      <queryTableField id="9" name="Backdated Entries" tableColumnId="9"/>
      <queryTableField id="10" name="Backdated Detail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796341-236E-9446-B972-E05428A0FA8A}" name="search_audit" displayName="search_audit" ref="A1:I557" tableType="queryTable" totalsRowShown="0">
  <autoFilter ref="A1:I557" xr:uid="{FC796341-236E-9446-B972-E05428A0FA8A}"/>
  <sortState xmlns:xlrd2="http://schemas.microsoft.com/office/spreadsheetml/2017/richdata2" ref="A2:I557">
    <sortCondition ref="C1:C557"/>
  </sortState>
  <tableColumns count="9">
    <tableColumn id="1" xr3:uid="{A0B180BD-E1E4-8548-AD8D-50C3FC37FA3E}" uniqueName="1" name="Search ID" queryTableFieldId="1" dataDxfId="8"/>
    <tableColumn id="2" xr3:uid="{E7AF0C98-A917-C847-88A1-1578BD923E71}" uniqueName="2" name="User ID" queryTableFieldId="2" dataDxfId="7"/>
    <tableColumn id="3" xr3:uid="{DF29F0DD-76C6-D145-92DB-9CD004242E0F}" uniqueName="3" name="Search Date (UTC/Zulu)" queryTableFieldId="3" dataDxfId="6"/>
    <tableColumn id="4" xr3:uid="{1462AA60-65DB-9A44-8631-D5E03BA03718}" uniqueName="4" name="Network Count" queryTableFieldId="4"/>
    <tableColumn id="5" xr3:uid="{174355B0-57C7-284E-BE8A-FE49E8A1C044}" uniqueName="5" name="Reason" queryTableFieldId="5" dataDxfId="5"/>
    <tableColumn id="6" xr3:uid="{C1654857-0C58-2A4D-B2A8-E85B47DF57EC}" uniqueName="6" name="Search Date (Pacific)" queryTableFieldId="6" dataDxfId="4"/>
    <tableColumn id="7" xr3:uid="{2D9B0520-CDAE-704C-9658-B3E5C8EEBBE9}" uniqueName="7" name="Date (Pacific)" queryTableFieldId="7" dataDxfId="3"/>
    <tableColumn id="8" xr3:uid="{95CB1649-B3FF-9245-B5E5-6A290B9FB2D1}" uniqueName="8" name="Day of Week" queryTableFieldId="8"/>
    <tableColumn id="9" xr3:uid="{FC165071-3AB0-C043-A322-52096369D7C0}" uniqueName="9" name="Hour (Pacific)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3F2753-E2F7-744F-BD3D-71BBE1A83250}" name="flock_run_log" displayName="flock_run_log" ref="A1:J81" tableType="queryTable" totalsRowShown="0">
  <autoFilter ref="A1:J81" xr:uid="{CE3F2753-E2F7-744F-BD3D-71BBE1A83250}"/>
  <tableColumns count="10">
    <tableColumn id="1" xr3:uid="{8035F3D7-5496-E142-B43E-CC21EE39FCA4}" uniqueName="1" name="Run Date/Time" queryTableFieldId="1" dataDxfId="2"/>
    <tableColumn id="2" xr3:uid="{499AFA38-6840-DA44-B229-42131DFF5375}" uniqueName="2" name="Rows Before" queryTableFieldId="2"/>
    <tableColumn id="3" xr3:uid="{8FF9D328-6569-4342-BE76-6BE49EC24C1E}" uniqueName="3" name="Rows After" queryTableFieldId="3"/>
    <tableColumn id="4" xr3:uid="{FD7BA2F2-936A-0C48-9902-9F20E2517A1B}" uniqueName="4" name="New Rows" queryTableFieldId="4"/>
    <tableColumn id="5" xr3:uid="{BA691F41-D1F3-6247-8A8B-8B163FB056DA}" uniqueName="5" name="New Rows Date Min" queryTableFieldId="5" dataDxfId="1"/>
    <tableColumn id="6" xr3:uid="{09061F2A-26E7-B24B-B005-C71CDA62C75B}" uniqueName="6" name="New Rows Date Max" queryTableFieldId="6" dataDxfId="0"/>
    <tableColumn id="7" xr3:uid="{AEF051D3-83FC-414F-B33E-90B70D4DF512}" uniqueName="7" name="Blank Reason #" queryTableFieldId="7"/>
    <tableColumn id="8" xr3:uid="{9B7314E8-52DA-9346-B700-41B9F1E307C1}" uniqueName="8" name="Blank Reason %" queryTableFieldId="8"/>
    <tableColumn id="9" xr3:uid="{15D9AD29-D561-EE4E-B798-B787B763C7F8}" uniqueName="9" name="Backdated Entries" queryTableFieldId="9"/>
    <tableColumn id="10" xr3:uid="{45345661-FD6E-2446-B1F0-4EAE6F317DBA}" uniqueName="10" name="Backdated Detail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__Pacific" xr10:uid="{E1B3C79E-EFD6-7D4B-977C-CE9D7A19EE20}" sourceName="Date (Pacific)">
  <pivotTables>
    <pivotTable tabId="8" name="PivotTable1"/>
  </pivotTables>
  <state minimalRefreshVersion="6" lastRefreshVersion="6" pivotCacheId="1882895124" filterType="dateBetween">
    <selection startDate="2026-03-01T00:00:00" endDate="2026-04-30T00:00:00"/>
    <bounds startDate="2026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 (Pacific)" xr10:uid="{75CFAF78-A7BF-734E-93E5-6ED55AB7433E}" cache="NativeTimeline_Date__Pacific" caption="Date (Pacific)" level="2" selectionLevel="2" scrollPosition="2026-01-01T00:00:00"/>
</timeline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A173DDE-00A2-ED4A-A9FF-E42255C9A4DB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  <we:property name="claude.fileId" value="&quot;64d28426-a6bc-4522-9e81-8b722313852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23865-DFA9-4743-90E6-AAE3B9818DB6}">
  <dimension ref="A1:D28"/>
  <sheetViews>
    <sheetView workbookViewId="0">
      <selection activeCell="A29" sqref="A29"/>
    </sheetView>
  </sheetViews>
  <sheetFormatPr baseColWidth="10" defaultRowHeight="15" x14ac:dyDescent="0.2"/>
  <cols>
    <col min="1" max="1" width="11.33203125" bestFit="1" customWidth="1"/>
    <col min="2" max="2" width="9.6640625" bestFit="1" customWidth="1"/>
    <col min="3" max="3" width="11.1640625" bestFit="1" customWidth="1"/>
    <col min="4" max="4" width="7" bestFit="1" customWidth="1"/>
  </cols>
  <sheetData>
    <row r="1" spans="1:4" x14ac:dyDescent="0.2">
      <c r="A1" s="9" t="s">
        <v>6</v>
      </c>
      <c r="B1" s="9" t="s">
        <v>39</v>
      </c>
      <c r="C1" s="9" t="s">
        <v>40</v>
      </c>
      <c r="D1" s="9" t="s">
        <v>41</v>
      </c>
    </row>
    <row r="2" spans="1:4" x14ac:dyDescent="0.2">
      <c r="A2" s="11" t="s">
        <v>43</v>
      </c>
      <c r="B2">
        <f>COUNTIFS('Search Audit'!I:I,1,'Search Audit'!E:E,"&lt;&gt;")</f>
        <v>7</v>
      </c>
      <c r="C2">
        <f>COUNTIFS('Search Audit'!I:I,1,'Search Audit'!E:E,"")</f>
        <v>29</v>
      </c>
      <c r="D2" s="10">
        <f t="shared" ref="D2:D25" si="0">IF((B2+C2)=0,0,C2/(B2+C2))</f>
        <v>0.80555555555555558</v>
      </c>
    </row>
    <row r="3" spans="1:4" x14ac:dyDescent="0.2">
      <c r="A3" s="11" t="s">
        <v>55</v>
      </c>
      <c r="B3">
        <f>COUNTIFS('Search Audit'!I:I,13,'Search Audit'!E:E,"&lt;&gt;")</f>
        <v>4</v>
      </c>
      <c r="C3">
        <f>COUNTIFS('Search Audit'!I:I,13,'Search Audit'!E:E,"")</f>
        <v>23</v>
      </c>
      <c r="D3" s="10">
        <f t="shared" si="0"/>
        <v>0.85185185185185186</v>
      </c>
    </row>
    <row r="4" spans="1:4" x14ac:dyDescent="0.2">
      <c r="A4" s="11" t="s">
        <v>52</v>
      </c>
      <c r="B4">
        <f>COUNTIFS('Search Audit'!I:I,10,'Search Audit'!E:E,"&lt;&gt;")</f>
        <v>2</v>
      </c>
      <c r="C4">
        <f>COUNTIFS('Search Audit'!I:I,10,'Search Audit'!E:E,"")</f>
        <v>22</v>
      </c>
      <c r="D4" s="10">
        <f t="shared" si="0"/>
        <v>0.91666666666666663</v>
      </c>
    </row>
    <row r="5" spans="1:4" x14ac:dyDescent="0.2">
      <c r="A5" s="11" t="s">
        <v>64</v>
      </c>
      <c r="B5">
        <f>COUNTIFS('Search Audit'!I:I,22,'Search Audit'!E:E,"&lt;&gt;")</f>
        <v>2</v>
      </c>
      <c r="C5">
        <f>COUNTIFS('Search Audit'!I:I,22,'Search Audit'!E:E,"")</f>
        <v>1</v>
      </c>
      <c r="D5" s="10">
        <f t="shared" si="0"/>
        <v>0.33333333333333331</v>
      </c>
    </row>
    <row r="6" spans="1:4" x14ac:dyDescent="0.2">
      <c r="A6" s="11" t="s">
        <v>53</v>
      </c>
      <c r="B6">
        <f>COUNTIFS('Search Audit'!I:I,11,'Search Audit'!E:E,"&lt;&gt;")</f>
        <v>3</v>
      </c>
      <c r="C6">
        <f>COUNTIFS('Search Audit'!I:I,11,'Search Audit'!E:E,"")</f>
        <v>17</v>
      </c>
      <c r="D6" s="10">
        <f t="shared" si="0"/>
        <v>0.85</v>
      </c>
    </row>
    <row r="7" spans="1:4" x14ac:dyDescent="0.2">
      <c r="A7" s="11" t="s">
        <v>65</v>
      </c>
      <c r="B7">
        <f>COUNTIFS('Search Audit'!I:I,23,'Search Audit'!E:E,"&lt;&gt;")</f>
        <v>4</v>
      </c>
      <c r="C7">
        <f>COUNTIFS('Search Audit'!I:I,23,'Search Audit'!E:E,"")</f>
        <v>17</v>
      </c>
      <c r="D7" s="10">
        <f t="shared" si="0"/>
        <v>0.80952380952380953</v>
      </c>
    </row>
    <row r="8" spans="1:4" x14ac:dyDescent="0.2">
      <c r="A8" s="11" t="s">
        <v>42</v>
      </c>
      <c r="B8">
        <f>COUNTIFS('Search Audit'!I:I,0,'Search Audit'!E:E,"&lt;&gt;")</f>
        <v>12</v>
      </c>
      <c r="C8">
        <f>COUNTIFS('Search Audit'!I:I,0,'Search Audit'!E:E,"")</f>
        <v>27</v>
      </c>
      <c r="D8" s="10">
        <f t="shared" si="0"/>
        <v>0.69230769230769229</v>
      </c>
    </row>
    <row r="9" spans="1:4" x14ac:dyDescent="0.2">
      <c r="A9" s="11" t="s">
        <v>54</v>
      </c>
      <c r="B9">
        <f>COUNTIFS('Search Audit'!I:I,12,'Search Audit'!E:E,"&lt;&gt;")</f>
        <v>5</v>
      </c>
      <c r="C9">
        <f>COUNTIFS('Search Audit'!I:I,12,'Search Audit'!E:E,"")</f>
        <v>16</v>
      </c>
      <c r="D9" s="10">
        <f t="shared" si="0"/>
        <v>0.76190476190476186</v>
      </c>
    </row>
    <row r="10" spans="1:4" x14ac:dyDescent="0.2">
      <c r="A10" s="11" t="s">
        <v>44</v>
      </c>
      <c r="B10">
        <f>COUNTIFS('Search Audit'!I:I,2,'Search Audit'!E:E,"&lt;&gt;")</f>
        <v>4</v>
      </c>
      <c r="C10">
        <f>COUNTIFS('Search Audit'!I:I,2,'Search Audit'!E:E,"")</f>
        <v>24</v>
      </c>
      <c r="D10" s="10">
        <f t="shared" si="0"/>
        <v>0.8571428571428571</v>
      </c>
    </row>
    <row r="11" spans="1:4" x14ac:dyDescent="0.2">
      <c r="A11" s="11" t="s">
        <v>56</v>
      </c>
      <c r="B11">
        <f>COUNTIFS('Search Audit'!I:I,14,'Search Audit'!E:E,"&lt;&gt;")</f>
        <v>3</v>
      </c>
      <c r="C11">
        <f>COUNTIFS('Search Audit'!I:I,14,'Search Audit'!E:E,"")</f>
        <v>24</v>
      </c>
      <c r="D11" s="10">
        <f t="shared" si="0"/>
        <v>0.88888888888888884</v>
      </c>
    </row>
    <row r="12" spans="1:4" x14ac:dyDescent="0.2">
      <c r="A12" s="11" t="s">
        <v>45</v>
      </c>
      <c r="B12">
        <f>COUNTIFS('Search Audit'!I:I,3,'Search Audit'!E:E,"&lt;&gt;")</f>
        <v>10</v>
      </c>
      <c r="C12">
        <f>COUNTIFS('Search Audit'!I:I,3,'Search Audit'!E:E,"")</f>
        <v>25</v>
      </c>
      <c r="D12" s="10">
        <f t="shared" si="0"/>
        <v>0.7142857142857143</v>
      </c>
    </row>
    <row r="13" spans="1:4" x14ac:dyDescent="0.2">
      <c r="A13" s="11" t="s">
        <v>57</v>
      </c>
      <c r="B13">
        <f>COUNTIFS('Search Audit'!I:I,15,'Search Audit'!E:E,"&lt;&gt;")</f>
        <v>2</v>
      </c>
      <c r="C13">
        <f>COUNTIFS('Search Audit'!I:I,15,'Search Audit'!E:E,"")</f>
        <v>11</v>
      </c>
      <c r="D13" s="10">
        <f t="shared" si="0"/>
        <v>0.84615384615384615</v>
      </c>
    </row>
    <row r="14" spans="1:4" x14ac:dyDescent="0.2">
      <c r="A14" s="11" t="s">
        <v>46</v>
      </c>
      <c r="B14">
        <f>COUNTIFS('Search Audit'!I:I,4,'Search Audit'!E:E,"&lt;&gt;")</f>
        <v>7</v>
      </c>
      <c r="C14">
        <f>COUNTIFS('Search Audit'!I:I,4,'Search Audit'!E:E,"")</f>
        <v>23</v>
      </c>
      <c r="D14" s="10">
        <f t="shared" si="0"/>
        <v>0.76666666666666672</v>
      </c>
    </row>
    <row r="15" spans="1:4" x14ac:dyDescent="0.2">
      <c r="A15" s="11" t="s">
        <v>58</v>
      </c>
      <c r="B15">
        <f>COUNTIFS('Search Audit'!I:I,16,'Search Audit'!E:E,"&lt;&gt;")</f>
        <v>2</v>
      </c>
      <c r="C15">
        <f>COUNTIFS('Search Audit'!I:I,16,'Search Audit'!E:E,"")</f>
        <v>16</v>
      </c>
      <c r="D15" s="10">
        <f t="shared" si="0"/>
        <v>0.88888888888888884</v>
      </c>
    </row>
    <row r="16" spans="1:4" x14ac:dyDescent="0.2">
      <c r="A16" s="11" t="s">
        <v>47</v>
      </c>
      <c r="B16">
        <f>COUNTIFS('Search Audit'!I:I,5,'Search Audit'!E:E,"&lt;&gt;")</f>
        <v>5</v>
      </c>
      <c r="C16">
        <f>COUNTIFS('Search Audit'!I:I,5,'Search Audit'!E:E,"")</f>
        <v>23</v>
      </c>
      <c r="D16" s="10">
        <f t="shared" si="0"/>
        <v>0.8214285714285714</v>
      </c>
    </row>
    <row r="17" spans="1:4" x14ac:dyDescent="0.2">
      <c r="A17" s="11" t="s">
        <v>59</v>
      </c>
      <c r="B17">
        <f>COUNTIFS('Search Audit'!I:I,17,'Search Audit'!E:E,"&lt;&gt;")</f>
        <v>0</v>
      </c>
      <c r="C17">
        <f>COUNTIFS('Search Audit'!I:I,17,'Search Audit'!E:E,"")</f>
        <v>5</v>
      </c>
      <c r="D17" s="10">
        <f t="shared" si="0"/>
        <v>1</v>
      </c>
    </row>
    <row r="18" spans="1:4" x14ac:dyDescent="0.2">
      <c r="A18" s="11" t="s">
        <v>48</v>
      </c>
      <c r="B18">
        <f>COUNTIFS('Search Audit'!I:I,6,'Search Audit'!E:E,"&lt;&gt;")</f>
        <v>12</v>
      </c>
      <c r="C18">
        <f>COUNTIFS('Search Audit'!I:I,6,'Search Audit'!E:E,"")</f>
        <v>27</v>
      </c>
      <c r="D18" s="10">
        <f t="shared" si="0"/>
        <v>0.69230769230769229</v>
      </c>
    </row>
    <row r="19" spans="1:4" x14ac:dyDescent="0.2">
      <c r="A19" s="11" t="s">
        <v>60</v>
      </c>
      <c r="B19">
        <f>COUNTIFS('Search Audit'!I:I,18,'Search Audit'!E:E,"&lt;&gt;")</f>
        <v>1</v>
      </c>
      <c r="C19">
        <f>COUNTIFS('Search Audit'!I:I,18,'Search Audit'!E:E,"")</f>
        <v>6</v>
      </c>
      <c r="D19" s="10">
        <f t="shared" si="0"/>
        <v>0.8571428571428571</v>
      </c>
    </row>
    <row r="20" spans="1:4" x14ac:dyDescent="0.2">
      <c r="A20" s="11" t="s">
        <v>49</v>
      </c>
      <c r="B20">
        <f>COUNTIFS('Search Audit'!I:I,7,'Search Audit'!E:E,"&lt;&gt;")</f>
        <v>7</v>
      </c>
      <c r="C20">
        <f>COUNTIFS('Search Audit'!I:I,7,'Search Audit'!E:E,"")</f>
        <v>43</v>
      </c>
      <c r="D20" s="10">
        <f t="shared" si="0"/>
        <v>0.86</v>
      </c>
    </row>
    <row r="21" spans="1:4" x14ac:dyDescent="0.2">
      <c r="A21" s="11" t="s">
        <v>61</v>
      </c>
      <c r="B21">
        <f>COUNTIFS('Search Audit'!I:I,19,'Search Audit'!E:E,"&lt;&gt;")</f>
        <v>1</v>
      </c>
      <c r="C21">
        <f>COUNTIFS('Search Audit'!I:I,19,'Search Audit'!E:E,"")</f>
        <v>3</v>
      </c>
      <c r="D21" s="10">
        <f t="shared" si="0"/>
        <v>0.75</v>
      </c>
    </row>
    <row r="22" spans="1:4" x14ac:dyDescent="0.2">
      <c r="A22" s="11" t="s">
        <v>50</v>
      </c>
      <c r="B22">
        <f>COUNTIFS('Search Audit'!I:I,8,'Search Audit'!E:E,"&lt;&gt;")</f>
        <v>15</v>
      </c>
      <c r="C22">
        <f>COUNTIFS('Search Audit'!I:I,8,'Search Audit'!E:E,"")</f>
        <v>37</v>
      </c>
      <c r="D22" s="10">
        <f t="shared" si="0"/>
        <v>0.71153846153846156</v>
      </c>
    </row>
    <row r="23" spans="1:4" x14ac:dyDescent="0.2">
      <c r="A23" s="11" t="s">
        <v>62</v>
      </c>
      <c r="B23">
        <f>COUNTIFS('Search Audit'!I:I,20,'Search Audit'!E:E,"&lt;&gt;")</f>
        <v>0</v>
      </c>
      <c r="C23">
        <f>COUNTIFS('Search Audit'!I:I,20,'Search Audit'!E:E,"")</f>
        <v>4</v>
      </c>
      <c r="D23" s="10">
        <f t="shared" si="0"/>
        <v>1</v>
      </c>
    </row>
    <row r="24" spans="1:4" x14ac:dyDescent="0.2">
      <c r="A24" s="11" t="s">
        <v>51</v>
      </c>
      <c r="B24">
        <f>COUNTIFS('Search Audit'!I:I,9,'Search Audit'!E:E,"&lt;&gt;")</f>
        <v>1</v>
      </c>
      <c r="C24">
        <f>COUNTIFS('Search Audit'!I:I,9,'Search Audit'!E:E,"")</f>
        <v>20</v>
      </c>
      <c r="D24" s="10">
        <f t="shared" si="0"/>
        <v>0.95238095238095233</v>
      </c>
    </row>
    <row r="25" spans="1:4" x14ac:dyDescent="0.2">
      <c r="A25" s="11" t="s">
        <v>63</v>
      </c>
      <c r="B25">
        <f>COUNTIFS('Search Audit'!I:I,21,'Search Audit'!E:E,"&lt;&gt;")</f>
        <v>1</v>
      </c>
      <c r="C25">
        <f>COUNTIFS('Search Audit'!I:I,21,'Search Audit'!E:E,"")</f>
        <v>3</v>
      </c>
      <c r="D25" s="10">
        <f t="shared" si="0"/>
        <v>0.75</v>
      </c>
    </row>
    <row r="28" spans="1:4" x14ac:dyDescent="0.2">
      <c r="A28" s="8" t="s">
        <v>35</v>
      </c>
      <c r="B28">
        <f>SUM(B2:C25)</f>
        <v>556</v>
      </c>
    </row>
  </sheetData>
  <autoFilter ref="A1:D25" xr:uid="{53723865-DFA9-4743-90E6-AAE3B9818DB6}">
    <sortState xmlns:xlrd2="http://schemas.microsoft.com/office/spreadsheetml/2017/richdata2" ref="A2:D25">
      <sortCondition ref="A1:A25"/>
    </sortState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8829A-76AB-274C-B505-D78542196E45}">
  <dimension ref="A3:B33"/>
  <sheetViews>
    <sheetView workbookViewId="0">
      <selection activeCell="B36" sqref="B36"/>
    </sheetView>
  </sheetViews>
  <sheetFormatPr baseColWidth="10" defaultRowHeight="15" x14ac:dyDescent="0.2"/>
  <cols>
    <col min="1" max="1" width="31.83203125" bestFit="1" customWidth="1"/>
    <col min="2" max="2" width="15.1640625" bestFit="1" customWidth="1"/>
    <col min="3" max="3" width="34.5" bestFit="1" customWidth="1"/>
    <col min="4" max="5" width="33.5" bestFit="1" customWidth="1"/>
    <col min="6" max="6" width="34" bestFit="1" customWidth="1"/>
    <col min="7" max="7" width="35.6640625" bestFit="1" customWidth="1"/>
    <col min="8" max="8" width="34.33203125" bestFit="1" customWidth="1"/>
    <col min="9" max="9" width="34.83203125" bestFit="1" customWidth="1"/>
    <col min="10" max="10" width="33.33203125" bestFit="1" customWidth="1"/>
    <col min="11" max="11" width="35.1640625" bestFit="1" customWidth="1"/>
    <col min="12" max="12" width="34.5" bestFit="1" customWidth="1"/>
    <col min="13" max="13" width="34.1640625" bestFit="1" customWidth="1"/>
    <col min="14" max="14" width="33.6640625" bestFit="1" customWidth="1"/>
    <col min="15" max="15" width="34.5" bestFit="1" customWidth="1"/>
    <col min="16" max="16" width="35.33203125" bestFit="1" customWidth="1"/>
    <col min="17" max="17" width="34.6640625" bestFit="1" customWidth="1"/>
    <col min="18" max="19" width="34.33203125" bestFit="1" customWidth="1"/>
    <col min="20" max="20" width="33.6640625" bestFit="1" customWidth="1"/>
    <col min="21" max="21" width="35.33203125" bestFit="1" customWidth="1"/>
    <col min="22" max="22" width="33.6640625" bestFit="1" customWidth="1"/>
    <col min="23" max="23" width="34.83203125" bestFit="1" customWidth="1"/>
    <col min="24" max="24" width="34.1640625" bestFit="1" customWidth="1"/>
    <col min="25" max="25" width="34.6640625" bestFit="1" customWidth="1"/>
    <col min="26" max="26" width="34.1640625" bestFit="1" customWidth="1"/>
    <col min="27" max="27" width="34.33203125" bestFit="1" customWidth="1"/>
    <col min="28" max="28" width="35.33203125" bestFit="1" customWidth="1"/>
    <col min="29" max="29" width="35.1640625" bestFit="1" customWidth="1"/>
    <col min="30" max="30" width="34.1640625" bestFit="1" customWidth="1"/>
    <col min="31" max="31" width="33.5" bestFit="1" customWidth="1"/>
    <col min="32" max="32" width="34" bestFit="1" customWidth="1"/>
    <col min="33" max="33" width="34.33203125" bestFit="1" customWidth="1"/>
    <col min="34" max="34" width="34.83203125" bestFit="1" customWidth="1"/>
    <col min="35" max="35" width="34.1640625" bestFit="1" customWidth="1"/>
    <col min="36" max="36" width="34.5" bestFit="1" customWidth="1"/>
    <col min="37" max="37" width="33.1640625" bestFit="1" customWidth="1"/>
    <col min="38" max="38" width="34.83203125" bestFit="1" customWidth="1"/>
    <col min="39" max="39" width="35" bestFit="1" customWidth="1"/>
    <col min="40" max="40" width="34" bestFit="1" customWidth="1"/>
    <col min="41" max="41" width="33.6640625" bestFit="1" customWidth="1"/>
    <col min="42" max="42" width="34.1640625" bestFit="1" customWidth="1"/>
    <col min="43" max="43" width="34.6640625" bestFit="1" customWidth="1"/>
    <col min="44" max="44" width="33.6640625" bestFit="1" customWidth="1"/>
    <col min="45" max="45" width="34" bestFit="1" customWidth="1"/>
    <col min="46" max="46" width="34.1640625" bestFit="1" customWidth="1"/>
    <col min="47" max="47" width="35" bestFit="1" customWidth="1"/>
    <col min="48" max="48" width="35.1640625" bestFit="1" customWidth="1"/>
    <col min="49" max="49" width="35" bestFit="1" customWidth="1"/>
    <col min="50" max="50" width="34.83203125" bestFit="1" customWidth="1"/>
    <col min="51" max="51" width="32.5" bestFit="1" customWidth="1"/>
    <col min="52" max="52" width="33.83203125" bestFit="1" customWidth="1"/>
    <col min="53" max="53" width="34" bestFit="1" customWidth="1"/>
    <col min="54" max="54" width="34.5" bestFit="1" customWidth="1"/>
    <col min="55" max="55" width="34.1640625" bestFit="1" customWidth="1"/>
    <col min="56" max="56" width="33.83203125" bestFit="1" customWidth="1"/>
    <col min="57" max="57" width="34.5" bestFit="1" customWidth="1"/>
    <col min="58" max="58" width="32.5" bestFit="1" customWidth="1"/>
    <col min="59" max="59" width="33.83203125" bestFit="1" customWidth="1"/>
    <col min="60" max="60" width="33.6640625" bestFit="1" customWidth="1"/>
    <col min="61" max="61" width="34.6640625" bestFit="1" customWidth="1"/>
    <col min="62" max="62" width="33.83203125" bestFit="1" customWidth="1"/>
    <col min="63" max="63" width="34.5" bestFit="1" customWidth="1"/>
    <col min="64" max="64" width="34.33203125" bestFit="1" customWidth="1"/>
    <col min="65" max="65" width="33.83203125" bestFit="1" customWidth="1"/>
    <col min="66" max="66" width="34.5" bestFit="1" customWidth="1"/>
    <col min="67" max="67" width="34.83203125" bestFit="1" customWidth="1"/>
    <col min="68" max="68" width="34" bestFit="1" customWidth="1"/>
    <col min="69" max="69" width="33.5" bestFit="1" customWidth="1"/>
    <col min="70" max="70" width="34.1640625" bestFit="1" customWidth="1"/>
    <col min="71" max="71" width="35.1640625" bestFit="1" customWidth="1"/>
    <col min="72" max="72" width="34.6640625" bestFit="1" customWidth="1"/>
    <col min="73" max="73" width="34.1640625" bestFit="1" customWidth="1"/>
    <col min="74" max="74" width="33.83203125" bestFit="1" customWidth="1"/>
    <col min="75" max="75" width="34.1640625" bestFit="1" customWidth="1"/>
    <col min="76" max="78" width="35" bestFit="1" customWidth="1"/>
    <col min="79" max="79" width="35.1640625" bestFit="1" customWidth="1"/>
    <col min="80" max="80" width="34" bestFit="1" customWidth="1"/>
    <col min="81" max="81" width="35.33203125" bestFit="1" customWidth="1"/>
    <col min="82" max="82" width="34" bestFit="1" customWidth="1"/>
    <col min="83" max="83" width="33.83203125" bestFit="1" customWidth="1"/>
    <col min="84" max="84" width="34.83203125" bestFit="1" customWidth="1"/>
    <col min="85" max="85" width="33.83203125" bestFit="1" customWidth="1"/>
    <col min="86" max="86" width="33.5" bestFit="1" customWidth="1"/>
    <col min="87" max="88" width="35.33203125" bestFit="1" customWidth="1"/>
    <col min="89" max="89" width="33.83203125" bestFit="1" customWidth="1"/>
    <col min="90" max="90" width="34.1640625" bestFit="1" customWidth="1"/>
    <col min="91" max="91" width="32.83203125" bestFit="1" customWidth="1"/>
    <col min="92" max="92" width="33.6640625" bestFit="1" customWidth="1"/>
    <col min="93" max="93" width="34.6640625" bestFit="1" customWidth="1"/>
    <col min="94" max="94" width="34.1640625" bestFit="1" customWidth="1"/>
    <col min="95" max="95" width="33.5" bestFit="1" customWidth="1"/>
    <col min="96" max="96" width="34.5" bestFit="1" customWidth="1"/>
    <col min="97" max="97" width="34.33203125" bestFit="1" customWidth="1"/>
    <col min="98" max="98" width="34.83203125" bestFit="1" customWidth="1"/>
    <col min="99" max="99" width="34.1640625" bestFit="1" customWidth="1"/>
    <col min="100" max="103" width="32.6640625" bestFit="1" customWidth="1"/>
    <col min="104" max="104" width="33.83203125" bestFit="1" customWidth="1"/>
    <col min="105" max="105" width="33.33203125" bestFit="1" customWidth="1"/>
    <col min="106" max="106" width="35.33203125" bestFit="1" customWidth="1"/>
    <col min="107" max="107" width="34.33203125" bestFit="1" customWidth="1"/>
    <col min="108" max="108" width="33.5" bestFit="1" customWidth="1"/>
    <col min="109" max="109" width="34.33203125" bestFit="1" customWidth="1"/>
    <col min="110" max="110" width="34.5" bestFit="1" customWidth="1"/>
    <col min="111" max="111" width="35.6640625" bestFit="1" customWidth="1"/>
    <col min="112" max="112" width="34.83203125" bestFit="1" customWidth="1"/>
    <col min="113" max="113" width="35.5" bestFit="1" customWidth="1"/>
    <col min="114" max="114" width="34.33203125" bestFit="1" customWidth="1"/>
    <col min="115" max="115" width="34" bestFit="1" customWidth="1"/>
    <col min="116" max="117" width="34.33203125" bestFit="1" customWidth="1"/>
    <col min="118" max="118" width="34.6640625" bestFit="1" customWidth="1"/>
    <col min="119" max="119" width="34.83203125" bestFit="1" customWidth="1"/>
    <col min="120" max="120" width="34.1640625" bestFit="1" customWidth="1"/>
    <col min="121" max="121" width="34.83203125" bestFit="1" customWidth="1"/>
    <col min="122" max="122" width="34.5" bestFit="1" customWidth="1"/>
    <col min="123" max="123" width="34.33203125" bestFit="1" customWidth="1"/>
    <col min="124" max="124" width="33.33203125" bestFit="1" customWidth="1"/>
    <col min="125" max="125" width="33.1640625" bestFit="1" customWidth="1"/>
    <col min="126" max="126" width="34.33203125" bestFit="1" customWidth="1"/>
    <col min="127" max="127" width="33.6640625" bestFit="1" customWidth="1"/>
    <col min="128" max="128" width="34.33203125" bestFit="1" customWidth="1"/>
    <col min="129" max="129" width="33.6640625" bestFit="1" customWidth="1"/>
    <col min="130" max="130" width="34.6640625" bestFit="1" customWidth="1"/>
    <col min="131" max="131" width="34.33203125" bestFit="1" customWidth="1"/>
    <col min="132" max="132" width="34" bestFit="1" customWidth="1"/>
    <col min="133" max="133" width="33.33203125" bestFit="1" customWidth="1"/>
    <col min="134" max="134" width="35.5" bestFit="1" customWidth="1"/>
    <col min="135" max="135" width="33.1640625" bestFit="1" customWidth="1"/>
    <col min="136" max="136" width="34.33203125" bestFit="1" customWidth="1"/>
    <col min="137" max="137" width="34.83203125" bestFit="1" customWidth="1"/>
    <col min="138" max="138" width="32.83203125" bestFit="1" customWidth="1"/>
    <col min="139" max="139" width="33.5" bestFit="1" customWidth="1"/>
    <col min="140" max="140" width="35" bestFit="1" customWidth="1"/>
    <col min="141" max="141" width="34.1640625" bestFit="1" customWidth="1"/>
    <col min="142" max="142" width="34.83203125" bestFit="1" customWidth="1"/>
    <col min="143" max="143" width="34" bestFit="1" customWidth="1"/>
    <col min="144" max="144" width="35" bestFit="1" customWidth="1"/>
    <col min="145" max="145" width="34.83203125" bestFit="1" customWidth="1"/>
    <col min="146" max="146" width="34.1640625" bestFit="1" customWidth="1"/>
    <col min="147" max="147" width="34.33203125" bestFit="1" customWidth="1"/>
    <col min="148" max="148" width="34.5" bestFit="1" customWidth="1"/>
    <col min="149" max="149" width="34.33203125" bestFit="1" customWidth="1"/>
    <col min="150" max="151" width="35" bestFit="1" customWidth="1"/>
    <col min="152" max="152" width="34.1640625" bestFit="1" customWidth="1"/>
    <col min="153" max="153" width="34.6640625" bestFit="1" customWidth="1"/>
    <col min="154" max="154" width="33.5" bestFit="1" customWidth="1"/>
    <col min="155" max="155" width="34.33203125" bestFit="1" customWidth="1"/>
    <col min="156" max="157" width="34.6640625" bestFit="1" customWidth="1"/>
    <col min="158" max="158" width="35.33203125" bestFit="1" customWidth="1"/>
    <col min="159" max="160" width="34.5" bestFit="1" customWidth="1"/>
    <col min="161" max="161" width="34.6640625" bestFit="1" customWidth="1"/>
    <col min="162" max="162" width="35.6640625" bestFit="1" customWidth="1"/>
    <col min="163" max="163" width="34.33203125" bestFit="1" customWidth="1"/>
    <col min="164" max="164" width="34.6640625" bestFit="1" customWidth="1"/>
    <col min="165" max="165" width="33.83203125" bestFit="1" customWidth="1"/>
    <col min="166" max="166" width="34" bestFit="1" customWidth="1"/>
    <col min="167" max="167" width="34.6640625" bestFit="1" customWidth="1"/>
    <col min="168" max="168" width="32.6640625" bestFit="1" customWidth="1"/>
    <col min="169" max="169" width="34.1640625" bestFit="1" customWidth="1"/>
    <col min="170" max="170" width="35" bestFit="1" customWidth="1"/>
    <col min="171" max="171" width="33.33203125" bestFit="1" customWidth="1"/>
    <col min="172" max="172" width="34.33203125" bestFit="1" customWidth="1"/>
    <col min="173" max="173" width="33.1640625" bestFit="1" customWidth="1"/>
    <col min="174" max="174" width="34.5" bestFit="1" customWidth="1"/>
    <col min="175" max="175" width="34" bestFit="1" customWidth="1"/>
    <col min="176" max="176" width="33.5" bestFit="1" customWidth="1"/>
    <col min="177" max="177" width="34.83203125" bestFit="1" customWidth="1"/>
    <col min="178" max="178" width="33.83203125" bestFit="1" customWidth="1"/>
    <col min="179" max="179" width="34.33203125" bestFit="1" customWidth="1"/>
    <col min="180" max="180" width="35.1640625" bestFit="1" customWidth="1"/>
    <col min="181" max="181" width="34.1640625" bestFit="1" customWidth="1"/>
    <col min="182" max="182" width="34.5" bestFit="1" customWidth="1"/>
    <col min="183" max="183" width="34.6640625" bestFit="1" customWidth="1"/>
    <col min="184" max="184" width="35.1640625" bestFit="1" customWidth="1"/>
    <col min="185" max="185" width="34.33203125" bestFit="1" customWidth="1"/>
    <col min="186" max="186" width="33.33203125" bestFit="1" customWidth="1"/>
    <col min="187" max="188" width="34.33203125" bestFit="1" customWidth="1"/>
    <col min="189" max="189" width="35.5" bestFit="1" customWidth="1"/>
    <col min="190" max="190" width="35.1640625" bestFit="1" customWidth="1"/>
    <col min="191" max="191" width="35" bestFit="1" customWidth="1"/>
    <col min="192" max="192" width="34.33203125" bestFit="1" customWidth="1"/>
    <col min="193" max="193" width="35" bestFit="1" customWidth="1"/>
    <col min="194" max="194" width="34.83203125" bestFit="1" customWidth="1"/>
    <col min="195" max="195" width="33.5" bestFit="1" customWidth="1"/>
    <col min="196" max="196" width="35" bestFit="1" customWidth="1"/>
    <col min="197" max="197" width="34.1640625" bestFit="1" customWidth="1"/>
    <col min="198" max="198" width="32.6640625" bestFit="1" customWidth="1"/>
    <col min="199" max="199" width="33.33203125" bestFit="1" customWidth="1"/>
    <col min="200" max="200" width="35.1640625" bestFit="1" customWidth="1"/>
    <col min="201" max="201" width="34.33203125" bestFit="1" customWidth="1"/>
    <col min="202" max="203" width="34.1640625" bestFit="1" customWidth="1"/>
    <col min="204" max="204" width="35.33203125" bestFit="1" customWidth="1"/>
    <col min="205" max="205" width="34" bestFit="1" customWidth="1"/>
    <col min="206" max="206" width="33.6640625" bestFit="1" customWidth="1"/>
    <col min="207" max="207" width="33.33203125" bestFit="1" customWidth="1"/>
    <col min="208" max="208" width="33" bestFit="1" customWidth="1"/>
    <col min="209" max="209" width="34.83203125" bestFit="1" customWidth="1"/>
    <col min="210" max="210" width="35.33203125" bestFit="1" customWidth="1"/>
    <col min="211" max="211" width="33.6640625" bestFit="1" customWidth="1"/>
    <col min="212" max="212" width="34.6640625" bestFit="1" customWidth="1"/>
    <col min="213" max="213" width="32.6640625" bestFit="1" customWidth="1"/>
    <col min="214" max="214" width="34.33203125" bestFit="1" customWidth="1"/>
    <col min="215" max="215" width="34.83203125" bestFit="1" customWidth="1"/>
    <col min="216" max="216" width="34" bestFit="1" customWidth="1"/>
    <col min="217" max="217" width="35" bestFit="1" customWidth="1"/>
    <col min="218" max="218" width="34.33203125" bestFit="1" customWidth="1"/>
    <col min="219" max="219" width="32.6640625" bestFit="1" customWidth="1"/>
    <col min="220" max="220" width="33.1640625" bestFit="1" customWidth="1"/>
    <col min="221" max="221" width="34.1640625" bestFit="1" customWidth="1"/>
    <col min="222" max="222" width="34.6640625" bestFit="1" customWidth="1"/>
    <col min="223" max="223" width="33" bestFit="1" customWidth="1"/>
    <col min="224" max="224" width="35" bestFit="1" customWidth="1"/>
    <col min="225" max="225" width="35.5" bestFit="1" customWidth="1"/>
    <col min="226" max="226" width="34.83203125" bestFit="1" customWidth="1"/>
    <col min="227" max="227" width="35" bestFit="1" customWidth="1"/>
    <col min="228" max="228" width="33" bestFit="1" customWidth="1"/>
    <col min="229" max="229" width="34" bestFit="1" customWidth="1"/>
    <col min="230" max="230" width="35" bestFit="1" customWidth="1"/>
    <col min="231" max="231" width="34.83203125" bestFit="1" customWidth="1"/>
    <col min="232" max="232" width="34.33203125" bestFit="1" customWidth="1"/>
    <col min="233" max="233" width="34.83203125" bestFit="1" customWidth="1"/>
    <col min="234" max="234" width="32.5" bestFit="1" customWidth="1"/>
    <col min="235" max="235" width="35.33203125" bestFit="1" customWidth="1"/>
    <col min="236" max="236" width="35.1640625" bestFit="1" customWidth="1"/>
    <col min="237" max="237" width="33.6640625" bestFit="1" customWidth="1"/>
    <col min="238" max="238" width="32.6640625" bestFit="1" customWidth="1"/>
    <col min="239" max="239" width="34.83203125" bestFit="1" customWidth="1"/>
    <col min="240" max="240" width="33" bestFit="1" customWidth="1"/>
    <col min="241" max="241" width="34.33203125" bestFit="1" customWidth="1"/>
    <col min="242" max="242" width="35" bestFit="1" customWidth="1"/>
    <col min="243" max="243" width="34.6640625" bestFit="1" customWidth="1"/>
    <col min="244" max="244" width="34.33203125" bestFit="1" customWidth="1"/>
    <col min="245" max="245" width="33.5" bestFit="1" customWidth="1"/>
    <col min="246" max="246" width="35.33203125" bestFit="1" customWidth="1"/>
    <col min="247" max="247" width="34.5" bestFit="1" customWidth="1"/>
    <col min="248" max="248" width="34.83203125" bestFit="1" customWidth="1"/>
    <col min="249" max="249" width="35" bestFit="1" customWidth="1"/>
    <col min="250" max="250" width="34" bestFit="1" customWidth="1"/>
    <col min="251" max="251" width="34.33203125" bestFit="1" customWidth="1"/>
    <col min="252" max="252" width="34.6640625" bestFit="1" customWidth="1"/>
    <col min="253" max="253" width="33.1640625" bestFit="1" customWidth="1"/>
    <col min="254" max="254" width="34.83203125" bestFit="1" customWidth="1"/>
    <col min="255" max="255" width="33.5" bestFit="1" customWidth="1"/>
    <col min="256" max="256" width="34.33203125" bestFit="1" customWidth="1"/>
    <col min="257" max="257" width="32.6640625" bestFit="1" customWidth="1"/>
    <col min="258" max="258" width="34.83203125" bestFit="1" customWidth="1"/>
    <col min="259" max="259" width="32.83203125" bestFit="1" customWidth="1"/>
    <col min="260" max="260" width="34.1640625" bestFit="1" customWidth="1"/>
    <col min="261" max="261" width="32.6640625" bestFit="1" customWidth="1"/>
    <col min="262" max="262" width="33.33203125" bestFit="1" customWidth="1"/>
    <col min="263" max="264" width="35" bestFit="1" customWidth="1"/>
    <col min="265" max="265" width="33.6640625" bestFit="1" customWidth="1"/>
    <col min="266" max="266" width="34.5" bestFit="1" customWidth="1"/>
    <col min="267" max="267" width="34.33203125" bestFit="1" customWidth="1"/>
    <col min="268" max="268" width="34.83203125" bestFit="1" customWidth="1"/>
    <col min="269" max="269" width="34.33203125" bestFit="1" customWidth="1"/>
    <col min="270" max="270" width="33.6640625" bestFit="1" customWidth="1"/>
    <col min="271" max="271" width="34.6640625" bestFit="1" customWidth="1"/>
    <col min="272" max="272" width="34.1640625" bestFit="1" customWidth="1"/>
    <col min="273" max="273" width="34.5" bestFit="1" customWidth="1"/>
    <col min="274" max="275" width="34.6640625" bestFit="1" customWidth="1"/>
    <col min="276" max="276" width="34.83203125" bestFit="1" customWidth="1"/>
    <col min="277" max="278" width="35.1640625" bestFit="1" customWidth="1"/>
    <col min="279" max="279" width="34" bestFit="1" customWidth="1"/>
    <col min="280" max="280" width="34.6640625" bestFit="1" customWidth="1"/>
    <col min="281" max="281" width="34.33203125" bestFit="1" customWidth="1"/>
    <col min="282" max="282" width="35.5" bestFit="1" customWidth="1"/>
    <col min="283" max="283" width="33.83203125" bestFit="1" customWidth="1"/>
    <col min="284" max="284" width="34.1640625" bestFit="1" customWidth="1"/>
    <col min="285" max="285" width="34" bestFit="1" customWidth="1"/>
    <col min="286" max="286" width="31.83203125" bestFit="1" customWidth="1"/>
    <col min="287" max="287" width="33.83203125" bestFit="1" customWidth="1"/>
    <col min="288" max="288" width="32.5" bestFit="1" customWidth="1"/>
    <col min="289" max="289" width="35.1640625" bestFit="1" customWidth="1"/>
    <col min="290" max="291" width="34.6640625" bestFit="1" customWidth="1"/>
    <col min="292" max="292" width="35.1640625" bestFit="1" customWidth="1"/>
    <col min="293" max="293" width="35" bestFit="1" customWidth="1"/>
    <col min="294" max="294" width="34.1640625" bestFit="1" customWidth="1"/>
    <col min="295" max="295" width="32.5" bestFit="1" customWidth="1"/>
    <col min="296" max="296" width="34.33203125" bestFit="1" customWidth="1"/>
    <col min="297" max="297" width="35.83203125" bestFit="1" customWidth="1"/>
    <col min="298" max="298" width="33.5" bestFit="1" customWidth="1"/>
    <col min="299" max="299" width="34.1640625" bestFit="1" customWidth="1"/>
    <col min="300" max="300" width="34.5" bestFit="1" customWidth="1"/>
    <col min="301" max="301" width="33.83203125" bestFit="1" customWidth="1"/>
    <col min="302" max="302" width="35.5" bestFit="1" customWidth="1"/>
    <col min="303" max="303" width="34.1640625" bestFit="1" customWidth="1"/>
    <col min="304" max="304" width="35.33203125" bestFit="1" customWidth="1"/>
    <col min="305" max="305" width="34" bestFit="1" customWidth="1"/>
    <col min="306" max="306" width="34.1640625" bestFit="1" customWidth="1"/>
    <col min="307" max="307" width="35.5" bestFit="1" customWidth="1"/>
    <col min="308" max="308" width="33.5" bestFit="1" customWidth="1"/>
    <col min="309" max="309" width="35.33203125" bestFit="1" customWidth="1"/>
    <col min="310" max="310" width="34.6640625" bestFit="1" customWidth="1"/>
    <col min="311" max="311" width="35" bestFit="1" customWidth="1"/>
    <col min="312" max="312" width="33" bestFit="1" customWidth="1"/>
    <col min="313" max="313" width="35" bestFit="1" customWidth="1"/>
    <col min="314" max="314" width="33.5" bestFit="1" customWidth="1"/>
    <col min="315" max="315" width="35" bestFit="1" customWidth="1"/>
    <col min="316" max="316" width="34.83203125" bestFit="1" customWidth="1"/>
    <col min="317" max="318" width="34.6640625" bestFit="1" customWidth="1"/>
    <col min="319" max="319" width="34" bestFit="1" customWidth="1"/>
    <col min="320" max="320" width="33.6640625" bestFit="1" customWidth="1"/>
    <col min="321" max="321" width="34.33203125" bestFit="1" customWidth="1"/>
    <col min="322" max="322" width="35.1640625" bestFit="1" customWidth="1"/>
    <col min="323" max="323" width="33.5" bestFit="1" customWidth="1"/>
    <col min="324" max="324" width="34.1640625" bestFit="1" customWidth="1"/>
    <col min="325" max="325" width="34.33203125" bestFit="1" customWidth="1"/>
    <col min="326" max="326" width="35" bestFit="1" customWidth="1"/>
    <col min="327" max="328" width="34.5" bestFit="1" customWidth="1"/>
    <col min="329" max="329" width="35" bestFit="1" customWidth="1"/>
    <col min="330" max="331" width="34.1640625" bestFit="1" customWidth="1"/>
    <col min="332" max="332" width="32.6640625" bestFit="1" customWidth="1"/>
    <col min="333" max="333" width="34.6640625" bestFit="1" customWidth="1"/>
    <col min="334" max="334" width="35" bestFit="1" customWidth="1"/>
    <col min="335" max="335" width="34.83203125" bestFit="1" customWidth="1"/>
    <col min="336" max="336" width="33.83203125" bestFit="1" customWidth="1"/>
    <col min="337" max="337" width="34.5" bestFit="1" customWidth="1"/>
    <col min="338" max="338" width="35" bestFit="1" customWidth="1"/>
    <col min="339" max="339" width="33.33203125" bestFit="1" customWidth="1"/>
    <col min="340" max="340" width="33.6640625" bestFit="1" customWidth="1"/>
    <col min="341" max="342" width="34.6640625" bestFit="1" customWidth="1"/>
    <col min="343" max="343" width="34" bestFit="1" customWidth="1"/>
    <col min="344" max="344" width="34.33203125" bestFit="1" customWidth="1"/>
    <col min="345" max="345" width="34.83203125" bestFit="1" customWidth="1"/>
    <col min="346" max="346" width="33.1640625" bestFit="1" customWidth="1"/>
    <col min="347" max="347" width="34.1640625" bestFit="1" customWidth="1"/>
    <col min="348" max="348" width="33" bestFit="1" customWidth="1"/>
    <col min="349" max="349" width="34.6640625" bestFit="1" customWidth="1"/>
    <col min="350" max="350" width="34.5" bestFit="1" customWidth="1"/>
    <col min="351" max="351" width="35.1640625" bestFit="1" customWidth="1"/>
    <col min="352" max="352" width="34.1640625" bestFit="1" customWidth="1"/>
    <col min="353" max="354" width="34.33203125" bestFit="1" customWidth="1"/>
    <col min="355" max="355" width="34.5" bestFit="1" customWidth="1"/>
    <col min="356" max="356" width="34.83203125" bestFit="1" customWidth="1"/>
    <col min="357" max="357" width="34.33203125" bestFit="1" customWidth="1"/>
    <col min="358" max="358" width="35" bestFit="1" customWidth="1"/>
    <col min="359" max="359" width="34" bestFit="1" customWidth="1"/>
    <col min="360" max="361" width="34.33203125" bestFit="1" customWidth="1"/>
    <col min="362" max="362" width="34.6640625" bestFit="1" customWidth="1"/>
    <col min="363" max="363" width="35.33203125" bestFit="1" customWidth="1"/>
    <col min="364" max="364" width="33.83203125" bestFit="1" customWidth="1"/>
    <col min="365" max="365" width="34.1640625" bestFit="1" customWidth="1"/>
    <col min="366" max="366" width="33.83203125" bestFit="1" customWidth="1"/>
    <col min="367" max="368" width="34.33203125" bestFit="1" customWidth="1"/>
    <col min="369" max="369" width="32.6640625" bestFit="1" customWidth="1"/>
    <col min="370" max="370" width="35.1640625" bestFit="1" customWidth="1"/>
    <col min="371" max="371" width="33.83203125" bestFit="1" customWidth="1"/>
    <col min="372" max="372" width="34.6640625" bestFit="1" customWidth="1"/>
    <col min="373" max="373" width="34.83203125" bestFit="1" customWidth="1"/>
    <col min="374" max="374" width="34.1640625" bestFit="1" customWidth="1"/>
    <col min="375" max="375" width="34.83203125" bestFit="1" customWidth="1"/>
    <col min="376" max="376" width="35.5" bestFit="1" customWidth="1"/>
    <col min="377" max="377" width="35.1640625" bestFit="1" customWidth="1"/>
    <col min="378" max="378" width="32.33203125" bestFit="1" customWidth="1"/>
    <col min="379" max="379" width="35" bestFit="1" customWidth="1"/>
    <col min="380" max="380" width="32.5" bestFit="1" customWidth="1"/>
    <col min="381" max="381" width="34.1640625" bestFit="1" customWidth="1"/>
    <col min="382" max="382" width="35" bestFit="1" customWidth="1"/>
    <col min="383" max="383" width="33.1640625" bestFit="1" customWidth="1"/>
    <col min="384" max="384" width="35.33203125" bestFit="1" customWidth="1"/>
    <col min="385" max="385" width="34.83203125" bestFit="1" customWidth="1"/>
    <col min="386" max="386" width="34.6640625" bestFit="1" customWidth="1"/>
    <col min="387" max="387" width="33.6640625" bestFit="1" customWidth="1"/>
    <col min="388" max="388" width="33.5" bestFit="1" customWidth="1"/>
    <col min="389" max="389" width="34.33203125" bestFit="1" customWidth="1"/>
    <col min="390" max="390" width="34.5" bestFit="1" customWidth="1"/>
    <col min="391" max="391" width="34.83203125" bestFit="1" customWidth="1"/>
    <col min="392" max="392" width="34.33203125" bestFit="1" customWidth="1"/>
    <col min="393" max="393" width="35.1640625" bestFit="1" customWidth="1"/>
    <col min="394" max="394" width="34.1640625" bestFit="1" customWidth="1"/>
    <col min="395" max="395" width="34.83203125" bestFit="1" customWidth="1"/>
    <col min="396" max="396" width="34.6640625" bestFit="1" customWidth="1"/>
    <col min="397" max="397" width="35" bestFit="1" customWidth="1"/>
    <col min="398" max="398" width="34.33203125" bestFit="1" customWidth="1"/>
    <col min="399" max="399" width="34.1640625" bestFit="1" customWidth="1"/>
    <col min="400" max="400" width="33.83203125" bestFit="1" customWidth="1"/>
    <col min="401" max="401" width="32.6640625" bestFit="1" customWidth="1"/>
    <col min="402" max="402" width="35.1640625" bestFit="1" customWidth="1"/>
    <col min="403" max="403" width="35.33203125" bestFit="1" customWidth="1"/>
    <col min="404" max="404" width="33.5" bestFit="1" customWidth="1"/>
    <col min="405" max="405" width="34.1640625" bestFit="1" customWidth="1"/>
    <col min="406" max="406" width="35.1640625" bestFit="1" customWidth="1"/>
    <col min="407" max="407" width="34.6640625" bestFit="1" customWidth="1"/>
    <col min="408" max="408" width="34.33203125" bestFit="1" customWidth="1"/>
    <col min="409" max="409" width="34.5" bestFit="1" customWidth="1"/>
    <col min="410" max="410" width="33" bestFit="1" customWidth="1"/>
    <col min="411" max="411" width="34.6640625" bestFit="1" customWidth="1"/>
    <col min="412" max="412" width="34.5" bestFit="1" customWidth="1"/>
    <col min="413" max="413" width="32.5" bestFit="1" customWidth="1"/>
    <col min="414" max="414" width="35.33203125" bestFit="1" customWidth="1"/>
    <col min="415" max="415" width="32.5" bestFit="1" customWidth="1"/>
    <col min="416" max="416" width="34.83203125" bestFit="1" customWidth="1"/>
    <col min="417" max="417" width="35.1640625" bestFit="1" customWidth="1"/>
    <col min="418" max="419" width="34.33203125" bestFit="1" customWidth="1"/>
    <col min="420" max="420" width="33" bestFit="1" customWidth="1"/>
    <col min="421" max="421" width="35.33203125" bestFit="1" customWidth="1"/>
    <col min="422" max="422" width="34.33203125" bestFit="1" customWidth="1"/>
    <col min="423" max="423" width="34.5" bestFit="1" customWidth="1"/>
    <col min="424" max="424" width="34" bestFit="1" customWidth="1"/>
    <col min="425" max="425" width="33.5" bestFit="1" customWidth="1"/>
    <col min="426" max="426" width="34.1640625" bestFit="1" customWidth="1"/>
    <col min="427" max="427" width="34.6640625" bestFit="1" customWidth="1"/>
    <col min="428" max="428" width="35.6640625" bestFit="1" customWidth="1"/>
    <col min="429" max="429" width="33.1640625" bestFit="1" customWidth="1"/>
    <col min="430" max="430" width="33.83203125" bestFit="1" customWidth="1"/>
    <col min="431" max="431" width="33" bestFit="1" customWidth="1"/>
    <col min="432" max="432" width="34.83203125" bestFit="1" customWidth="1"/>
    <col min="433" max="433" width="33.6640625" bestFit="1" customWidth="1"/>
    <col min="434" max="434" width="34.33203125" bestFit="1" customWidth="1"/>
    <col min="435" max="435" width="33.83203125" bestFit="1" customWidth="1"/>
    <col min="436" max="436" width="34.5" bestFit="1" customWidth="1"/>
    <col min="437" max="437" width="35.1640625" bestFit="1" customWidth="1"/>
    <col min="438" max="439" width="35" bestFit="1" customWidth="1"/>
    <col min="440" max="440" width="32.83203125" bestFit="1" customWidth="1"/>
    <col min="441" max="441" width="34.83203125" bestFit="1" customWidth="1"/>
    <col min="442" max="442" width="34.5" bestFit="1" customWidth="1"/>
    <col min="443" max="443" width="34" bestFit="1" customWidth="1"/>
    <col min="444" max="444" width="33.6640625" bestFit="1" customWidth="1"/>
    <col min="445" max="445" width="34.83203125" bestFit="1" customWidth="1"/>
    <col min="446" max="446" width="35.5" bestFit="1" customWidth="1"/>
    <col min="447" max="447" width="34.5" bestFit="1" customWidth="1"/>
    <col min="448" max="448" width="33" bestFit="1" customWidth="1"/>
    <col min="449" max="450" width="34.5" bestFit="1" customWidth="1"/>
    <col min="451" max="451" width="34.6640625" bestFit="1" customWidth="1"/>
    <col min="452" max="452" width="32.5" bestFit="1" customWidth="1"/>
    <col min="453" max="453" width="34.1640625" bestFit="1" customWidth="1"/>
    <col min="454" max="455" width="34" bestFit="1" customWidth="1"/>
    <col min="456" max="456" width="33" bestFit="1" customWidth="1"/>
    <col min="457" max="457" width="34.33203125" bestFit="1" customWidth="1"/>
    <col min="458" max="458" width="33.6640625" bestFit="1" customWidth="1"/>
    <col min="459" max="459" width="35.1640625" bestFit="1" customWidth="1"/>
    <col min="460" max="460" width="34.1640625" bestFit="1" customWidth="1"/>
    <col min="461" max="461" width="33.1640625" bestFit="1" customWidth="1"/>
    <col min="462" max="462" width="35" bestFit="1" customWidth="1"/>
    <col min="463" max="463" width="34.33203125" bestFit="1" customWidth="1"/>
    <col min="464" max="464" width="35" bestFit="1" customWidth="1"/>
    <col min="465" max="465" width="34.5" bestFit="1" customWidth="1"/>
    <col min="466" max="466" width="34.6640625" bestFit="1" customWidth="1"/>
    <col min="467" max="467" width="34.5" bestFit="1" customWidth="1"/>
    <col min="468" max="468" width="32.6640625" bestFit="1" customWidth="1"/>
    <col min="469" max="469" width="34" bestFit="1" customWidth="1"/>
    <col min="470" max="471" width="33.6640625" bestFit="1" customWidth="1"/>
    <col min="472" max="472" width="35" bestFit="1" customWidth="1"/>
    <col min="473" max="473" width="34.5" bestFit="1" customWidth="1"/>
    <col min="474" max="474" width="33.83203125" bestFit="1" customWidth="1"/>
    <col min="475" max="475" width="34.83203125" bestFit="1" customWidth="1"/>
    <col min="476" max="476" width="33.1640625" bestFit="1" customWidth="1"/>
    <col min="477" max="477" width="33.33203125" bestFit="1" customWidth="1"/>
    <col min="478" max="479" width="34.5" bestFit="1" customWidth="1"/>
    <col min="480" max="480" width="33.5" bestFit="1" customWidth="1"/>
    <col min="481" max="481" width="33.33203125" bestFit="1" customWidth="1"/>
    <col min="482" max="482" width="33.83203125" bestFit="1" customWidth="1"/>
    <col min="483" max="483" width="34.33203125" bestFit="1" customWidth="1"/>
    <col min="484" max="485" width="34.1640625" bestFit="1" customWidth="1"/>
    <col min="486" max="487" width="34.5" bestFit="1" customWidth="1"/>
    <col min="488" max="488" width="34.6640625" bestFit="1" customWidth="1"/>
    <col min="489" max="489" width="33.83203125" bestFit="1" customWidth="1"/>
    <col min="490" max="490" width="33" bestFit="1" customWidth="1"/>
    <col min="491" max="491" width="32.5" bestFit="1" customWidth="1"/>
    <col min="492" max="492" width="33.33203125" bestFit="1" customWidth="1"/>
    <col min="493" max="493" width="34.33203125" bestFit="1" customWidth="1"/>
    <col min="494" max="494" width="34.1640625" bestFit="1" customWidth="1"/>
    <col min="495" max="495" width="35.33203125" bestFit="1" customWidth="1"/>
    <col min="496" max="496" width="34" bestFit="1" customWidth="1"/>
    <col min="497" max="497" width="35.33203125" bestFit="1" customWidth="1"/>
    <col min="498" max="498" width="33.5" bestFit="1" customWidth="1"/>
    <col min="499" max="500" width="34.1640625" bestFit="1" customWidth="1"/>
    <col min="501" max="501" width="33.6640625" bestFit="1" customWidth="1"/>
    <col min="502" max="502" width="35" bestFit="1" customWidth="1"/>
    <col min="503" max="503" width="35.33203125" bestFit="1" customWidth="1"/>
    <col min="504" max="504" width="33.33203125" bestFit="1" customWidth="1"/>
    <col min="505" max="505" width="34.83203125" bestFit="1" customWidth="1"/>
    <col min="506" max="506" width="35" bestFit="1" customWidth="1"/>
    <col min="507" max="507" width="34.83203125" bestFit="1" customWidth="1"/>
    <col min="508" max="508" width="34.33203125" bestFit="1" customWidth="1"/>
    <col min="509" max="509" width="35.1640625" bestFit="1" customWidth="1"/>
    <col min="510" max="510" width="33.33203125" bestFit="1" customWidth="1"/>
    <col min="511" max="512" width="35.1640625" bestFit="1" customWidth="1"/>
    <col min="513" max="513" width="35.5" bestFit="1" customWidth="1"/>
    <col min="514" max="514" width="35.33203125" bestFit="1" customWidth="1"/>
    <col min="515" max="515" width="34.5" bestFit="1" customWidth="1"/>
    <col min="516" max="516" width="33.83203125" bestFit="1" customWidth="1"/>
    <col min="517" max="518" width="33.5" bestFit="1" customWidth="1"/>
    <col min="519" max="519" width="34.33203125" bestFit="1" customWidth="1"/>
    <col min="520" max="520" width="34.1640625" bestFit="1" customWidth="1"/>
    <col min="521" max="521" width="34.33203125" bestFit="1" customWidth="1"/>
    <col min="522" max="522" width="33" bestFit="1" customWidth="1"/>
    <col min="523" max="524" width="33.5" bestFit="1" customWidth="1"/>
    <col min="525" max="525" width="34.1640625" bestFit="1" customWidth="1"/>
    <col min="526" max="526" width="34.6640625" bestFit="1" customWidth="1"/>
    <col min="527" max="527" width="33.33203125" bestFit="1" customWidth="1"/>
    <col min="528" max="528" width="34.6640625" bestFit="1" customWidth="1"/>
    <col min="529" max="529" width="33.83203125" bestFit="1" customWidth="1"/>
    <col min="530" max="530" width="34.83203125" bestFit="1" customWidth="1"/>
    <col min="531" max="531" width="35.33203125" bestFit="1" customWidth="1"/>
    <col min="532" max="532" width="35" bestFit="1" customWidth="1"/>
    <col min="533" max="533" width="34.6640625" bestFit="1" customWidth="1"/>
    <col min="534" max="534" width="34.33203125" bestFit="1" customWidth="1"/>
    <col min="535" max="535" width="33.33203125" bestFit="1" customWidth="1"/>
    <col min="536" max="536" width="33.5" bestFit="1" customWidth="1"/>
    <col min="537" max="537" width="33" bestFit="1" customWidth="1"/>
    <col min="538" max="538" width="34" bestFit="1" customWidth="1"/>
    <col min="539" max="539" width="33.83203125" bestFit="1" customWidth="1"/>
    <col min="540" max="540" width="33" bestFit="1" customWidth="1"/>
    <col min="541" max="541" width="34.83203125" bestFit="1" customWidth="1"/>
    <col min="542" max="542" width="31.33203125" bestFit="1" customWidth="1"/>
    <col min="543" max="543" width="35.33203125" bestFit="1" customWidth="1"/>
    <col min="544" max="544" width="33" bestFit="1" customWidth="1"/>
    <col min="545" max="545" width="33.33203125" bestFit="1" customWidth="1"/>
    <col min="546" max="546" width="34.1640625" bestFit="1" customWidth="1"/>
    <col min="547" max="547" width="34" bestFit="1" customWidth="1"/>
    <col min="548" max="548" width="35" bestFit="1" customWidth="1"/>
    <col min="549" max="550" width="34.1640625" bestFit="1" customWidth="1"/>
    <col min="551" max="551" width="32.6640625" bestFit="1" customWidth="1"/>
    <col min="552" max="552" width="34.33203125" bestFit="1" customWidth="1"/>
    <col min="553" max="553" width="34.1640625" bestFit="1" customWidth="1"/>
    <col min="554" max="555" width="33.83203125" bestFit="1" customWidth="1"/>
    <col min="556" max="556" width="34.6640625" bestFit="1" customWidth="1"/>
    <col min="557" max="557" width="34.5" bestFit="1" customWidth="1"/>
    <col min="558" max="559" width="34" bestFit="1" customWidth="1"/>
    <col min="560" max="560" width="34.5" bestFit="1" customWidth="1"/>
    <col min="561" max="561" width="33.1640625" bestFit="1" customWidth="1"/>
    <col min="562" max="562" width="35.1640625" bestFit="1" customWidth="1"/>
    <col min="563" max="563" width="34.33203125" bestFit="1" customWidth="1"/>
    <col min="564" max="564" width="33.33203125" bestFit="1" customWidth="1"/>
    <col min="565" max="565" width="34.33203125" bestFit="1" customWidth="1"/>
    <col min="566" max="566" width="35.33203125" bestFit="1" customWidth="1"/>
    <col min="567" max="567" width="34.1640625" bestFit="1" customWidth="1"/>
    <col min="568" max="568" width="33.6640625" bestFit="1" customWidth="1"/>
    <col min="569" max="569" width="34.33203125" bestFit="1" customWidth="1"/>
    <col min="570" max="570" width="33" bestFit="1" customWidth="1"/>
    <col min="571" max="571" width="34" bestFit="1" customWidth="1"/>
    <col min="572" max="572" width="33.5" bestFit="1" customWidth="1"/>
    <col min="573" max="573" width="34.6640625" bestFit="1" customWidth="1"/>
    <col min="574" max="574" width="33" bestFit="1" customWidth="1"/>
    <col min="575" max="575" width="34" bestFit="1" customWidth="1"/>
    <col min="576" max="576" width="34.5" bestFit="1" customWidth="1"/>
    <col min="577" max="577" width="33.1640625" bestFit="1" customWidth="1"/>
    <col min="578" max="578" width="32.33203125" bestFit="1" customWidth="1"/>
    <col min="579" max="579" width="34.83203125" bestFit="1" customWidth="1"/>
    <col min="580" max="580" width="34.1640625" bestFit="1" customWidth="1"/>
    <col min="581" max="581" width="34.6640625" bestFit="1" customWidth="1"/>
    <col min="582" max="582" width="31.5" bestFit="1" customWidth="1"/>
    <col min="583" max="583" width="34.33203125" bestFit="1" customWidth="1"/>
    <col min="584" max="584" width="34.1640625" bestFit="1" customWidth="1"/>
    <col min="585" max="585" width="33.1640625" bestFit="1" customWidth="1"/>
    <col min="586" max="586" width="34.1640625" bestFit="1" customWidth="1"/>
    <col min="587" max="587" width="33.83203125" bestFit="1" customWidth="1"/>
    <col min="588" max="588" width="34" bestFit="1" customWidth="1"/>
    <col min="589" max="589" width="34.1640625" bestFit="1" customWidth="1"/>
    <col min="590" max="590" width="34.5" bestFit="1" customWidth="1"/>
    <col min="591" max="591" width="34" bestFit="1" customWidth="1"/>
    <col min="592" max="592" width="33" bestFit="1" customWidth="1"/>
    <col min="593" max="593" width="34.33203125" bestFit="1" customWidth="1"/>
    <col min="594" max="594" width="33.1640625" bestFit="1" customWidth="1"/>
    <col min="595" max="595" width="33.83203125" bestFit="1" customWidth="1"/>
    <col min="596" max="596" width="33.6640625" bestFit="1" customWidth="1"/>
    <col min="597" max="597" width="34" bestFit="1" customWidth="1"/>
    <col min="598" max="598" width="34.6640625" bestFit="1" customWidth="1"/>
    <col min="599" max="599" width="34" bestFit="1" customWidth="1"/>
    <col min="600" max="600" width="35.33203125" bestFit="1" customWidth="1"/>
    <col min="601" max="601" width="34.1640625" bestFit="1" customWidth="1"/>
    <col min="602" max="602" width="34.6640625" bestFit="1" customWidth="1"/>
    <col min="603" max="603" width="33" bestFit="1" customWidth="1"/>
    <col min="604" max="605" width="35.33203125" bestFit="1" customWidth="1"/>
    <col min="606" max="606" width="35.1640625" bestFit="1" customWidth="1"/>
    <col min="607" max="607" width="34.1640625" bestFit="1" customWidth="1"/>
    <col min="608" max="608" width="35" bestFit="1" customWidth="1"/>
    <col min="609" max="609" width="34.1640625" bestFit="1" customWidth="1"/>
    <col min="610" max="610" width="34.33203125" bestFit="1" customWidth="1"/>
    <col min="611" max="611" width="33.1640625" bestFit="1" customWidth="1"/>
    <col min="612" max="612" width="34.6640625" bestFit="1" customWidth="1"/>
    <col min="613" max="613" width="34.1640625" bestFit="1" customWidth="1"/>
    <col min="614" max="614" width="35.1640625" bestFit="1" customWidth="1"/>
    <col min="615" max="615" width="34.5" bestFit="1" customWidth="1"/>
    <col min="616" max="616" width="34" bestFit="1" customWidth="1"/>
    <col min="617" max="618" width="34.33203125" bestFit="1" customWidth="1"/>
    <col min="619" max="619" width="34.5" bestFit="1" customWidth="1"/>
    <col min="620" max="620" width="33.5" bestFit="1" customWidth="1"/>
    <col min="621" max="621" width="34.83203125" bestFit="1" customWidth="1"/>
    <col min="622" max="622" width="35" bestFit="1" customWidth="1"/>
    <col min="623" max="623" width="33.5" bestFit="1" customWidth="1"/>
    <col min="624" max="624" width="33.83203125" bestFit="1" customWidth="1"/>
    <col min="625" max="625" width="34.1640625" bestFit="1" customWidth="1"/>
    <col min="626" max="626" width="34.33203125" bestFit="1" customWidth="1"/>
    <col min="627" max="627" width="34.1640625" bestFit="1" customWidth="1"/>
    <col min="628" max="628" width="34.33203125" bestFit="1" customWidth="1"/>
    <col min="629" max="629" width="34.1640625" bestFit="1" customWidth="1"/>
    <col min="630" max="632" width="34.5" bestFit="1" customWidth="1"/>
    <col min="633" max="633" width="34.1640625" bestFit="1" customWidth="1"/>
    <col min="634" max="634" width="34" bestFit="1" customWidth="1"/>
    <col min="635" max="635" width="33.5" bestFit="1" customWidth="1"/>
    <col min="636" max="636" width="34" bestFit="1" customWidth="1"/>
    <col min="637" max="637" width="34.1640625" bestFit="1" customWidth="1"/>
    <col min="638" max="638" width="34.5" bestFit="1" customWidth="1"/>
    <col min="639" max="639" width="35" bestFit="1" customWidth="1"/>
    <col min="640" max="640" width="34.83203125" bestFit="1" customWidth="1"/>
    <col min="641" max="641" width="35.1640625" bestFit="1" customWidth="1"/>
    <col min="642" max="643" width="34" bestFit="1" customWidth="1"/>
    <col min="644" max="644" width="35" bestFit="1" customWidth="1"/>
    <col min="645" max="645" width="34.83203125" bestFit="1" customWidth="1"/>
    <col min="646" max="646" width="34.33203125" bestFit="1" customWidth="1"/>
    <col min="647" max="647" width="33.6640625" bestFit="1" customWidth="1"/>
    <col min="648" max="649" width="34.33203125" bestFit="1" customWidth="1"/>
    <col min="650" max="650" width="34.6640625" bestFit="1" customWidth="1"/>
    <col min="651" max="651" width="34.33203125" bestFit="1" customWidth="1"/>
    <col min="652" max="652" width="34.6640625" bestFit="1" customWidth="1"/>
    <col min="653" max="653" width="35.83203125" bestFit="1" customWidth="1"/>
    <col min="654" max="654" width="35.33203125" bestFit="1" customWidth="1"/>
    <col min="655" max="655" width="34.33203125" bestFit="1" customWidth="1"/>
    <col min="656" max="656" width="34.83203125" bestFit="1" customWidth="1"/>
    <col min="657" max="657" width="34.6640625" bestFit="1" customWidth="1"/>
    <col min="658" max="660" width="34.5" bestFit="1" customWidth="1"/>
    <col min="661" max="661" width="34" bestFit="1" customWidth="1"/>
    <col min="662" max="662" width="33.5" bestFit="1" customWidth="1"/>
    <col min="663" max="663" width="33.83203125" bestFit="1" customWidth="1"/>
    <col min="664" max="664" width="35" bestFit="1" customWidth="1"/>
    <col min="665" max="665" width="34" bestFit="1" customWidth="1"/>
    <col min="666" max="666" width="34.5" bestFit="1" customWidth="1"/>
    <col min="667" max="667" width="34" bestFit="1" customWidth="1"/>
    <col min="668" max="668" width="34.5" bestFit="1" customWidth="1"/>
    <col min="669" max="669" width="34.6640625" bestFit="1" customWidth="1"/>
    <col min="670" max="670" width="33.83203125" bestFit="1" customWidth="1"/>
    <col min="671" max="672" width="34.6640625" bestFit="1" customWidth="1"/>
    <col min="673" max="673" width="33.1640625" bestFit="1" customWidth="1"/>
    <col min="674" max="674" width="34.83203125" bestFit="1" customWidth="1"/>
    <col min="675" max="675" width="32.83203125" bestFit="1" customWidth="1"/>
    <col min="676" max="676" width="33.6640625" bestFit="1" customWidth="1"/>
    <col min="677" max="678" width="34.1640625" bestFit="1" customWidth="1"/>
    <col min="679" max="679" width="33.83203125" bestFit="1" customWidth="1"/>
    <col min="680" max="680" width="34.6640625" bestFit="1" customWidth="1"/>
    <col min="681" max="681" width="34" bestFit="1" customWidth="1"/>
    <col min="682" max="682" width="34.6640625" bestFit="1" customWidth="1"/>
    <col min="683" max="683" width="34" bestFit="1" customWidth="1"/>
    <col min="684" max="684" width="34.1640625" bestFit="1" customWidth="1"/>
    <col min="685" max="685" width="34.33203125" bestFit="1" customWidth="1"/>
    <col min="686" max="686" width="34.6640625" bestFit="1" customWidth="1"/>
    <col min="687" max="687" width="34.33203125" bestFit="1" customWidth="1"/>
    <col min="688" max="688" width="33.1640625" bestFit="1" customWidth="1"/>
    <col min="689" max="689" width="32.1640625" bestFit="1" customWidth="1"/>
    <col min="690" max="690" width="34" bestFit="1" customWidth="1"/>
    <col min="691" max="691" width="34.5" bestFit="1" customWidth="1"/>
    <col min="692" max="692" width="33.6640625" bestFit="1" customWidth="1"/>
    <col min="693" max="693" width="34.6640625" bestFit="1" customWidth="1"/>
    <col min="694" max="694" width="34" bestFit="1" customWidth="1"/>
    <col min="695" max="695" width="34.1640625" bestFit="1" customWidth="1"/>
    <col min="696" max="696" width="34.33203125" bestFit="1" customWidth="1"/>
    <col min="697" max="697" width="34" bestFit="1" customWidth="1"/>
    <col min="698" max="698" width="34.6640625" bestFit="1" customWidth="1"/>
    <col min="699" max="699" width="34.1640625" bestFit="1" customWidth="1"/>
    <col min="700" max="700" width="34.5" bestFit="1" customWidth="1"/>
    <col min="701" max="701" width="34.33203125" bestFit="1" customWidth="1"/>
    <col min="702" max="702" width="32.5" bestFit="1" customWidth="1"/>
    <col min="703" max="703" width="34" bestFit="1" customWidth="1"/>
    <col min="704" max="704" width="32.6640625" bestFit="1" customWidth="1"/>
    <col min="705" max="705" width="33.5" bestFit="1" customWidth="1"/>
    <col min="706" max="706" width="32" bestFit="1" customWidth="1"/>
    <col min="707" max="708" width="33.33203125" bestFit="1" customWidth="1"/>
    <col min="709" max="709" width="33.6640625" bestFit="1" customWidth="1"/>
    <col min="710" max="710" width="34.83203125" bestFit="1" customWidth="1"/>
    <col min="711" max="711" width="32.83203125" bestFit="1" customWidth="1"/>
    <col min="712" max="712" width="33.83203125" bestFit="1" customWidth="1"/>
    <col min="713" max="713" width="34" bestFit="1" customWidth="1"/>
    <col min="714" max="714" width="33.6640625" bestFit="1" customWidth="1"/>
    <col min="715" max="715" width="34.33203125" bestFit="1" customWidth="1"/>
    <col min="716" max="716" width="34.83203125" bestFit="1" customWidth="1"/>
    <col min="717" max="717" width="34.5" bestFit="1" customWidth="1"/>
    <col min="718" max="718" width="33.83203125" bestFit="1" customWidth="1"/>
    <col min="719" max="719" width="33.6640625" bestFit="1" customWidth="1"/>
    <col min="720" max="720" width="6.33203125" bestFit="1" customWidth="1"/>
    <col min="721" max="721" width="10" bestFit="1" customWidth="1"/>
  </cols>
  <sheetData>
    <row r="3" spans="1:2" x14ac:dyDescent="0.2">
      <c r="A3" s="4" t="s">
        <v>34</v>
      </c>
      <c r="B3" t="s">
        <v>37</v>
      </c>
    </row>
    <row r="4" spans="1:2" x14ac:dyDescent="0.2">
      <c r="A4" s="5" t="s">
        <v>28</v>
      </c>
      <c r="B4" s="16">
        <v>1</v>
      </c>
    </row>
    <row r="5" spans="1:2" x14ac:dyDescent="0.2">
      <c r="A5" s="5" t="s">
        <v>12</v>
      </c>
      <c r="B5" s="16">
        <v>4</v>
      </c>
    </row>
    <row r="6" spans="1:2" x14ac:dyDescent="0.2">
      <c r="A6" s="5" t="s">
        <v>33</v>
      </c>
      <c r="B6" s="16">
        <v>8</v>
      </c>
    </row>
    <row r="7" spans="1:2" x14ac:dyDescent="0.2">
      <c r="A7" s="5" t="s">
        <v>281</v>
      </c>
      <c r="B7" s="16">
        <v>1</v>
      </c>
    </row>
    <row r="8" spans="1:2" x14ac:dyDescent="0.2">
      <c r="A8" s="5" t="s">
        <v>16</v>
      </c>
      <c r="B8" s="16">
        <v>2</v>
      </c>
    </row>
    <row r="9" spans="1:2" x14ac:dyDescent="0.2">
      <c r="A9" s="5" t="s">
        <v>27</v>
      </c>
      <c r="B9" s="16">
        <v>3</v>
      </c>
    </row>
    <row r="10" spans="1:2" x14ac:dyDescent="0.2">
      <c r="A10" s="5" t="s">
        <v>36</v>
      </c>
      <c r="B10" s="16">
        <v>446</v>
      </c>
    </row>
    <row r="11" spans="1:2" x14ac:dyDescent="0.2">
      <c r="A11" s="5" t="s">
        <v>114</v>
      </c>
      <c r="B11" s="16">
        <v>21</v>
      </c>
    </row>
    <row r="12" spans="1:2" x14ac:dyDescent="0.2">
      <c r="A12" s="5" t="s">
        <v>136</v>
      </c>
      <c r="B12" s="16">
        <v>18</v>
      </c>
    </row>
    <row r="13" spans="1:2" x14ac:dyDescent="0.2">
      <c r="A13" s="5" t="s">
        <v>142</v>
      </c>
      <c r="B13" s="16">
        <v>1</v>
      </c>
    </row>
    <row r="14" spans="1:2" x14ac:dyDescent="0.2">
      <c r="A14" s="5" t="s">
        <v>179</v>
      </c>
      <c r="B14" s="16">
        <v>11</v>
      </c>
    </row>
    <row r="15" spans="1:2" x14ac:dyDescent="0.2">
      <c r="A15" s="5" t="s">
        <v>213</v>
      </c>
      <c r="B15" s="16">
        <v>6</v>
      </c>
    </row>
    <row r="16" spans="1:2" x14ac:dyDescent="0.2">
      <c r="A16" s="5" t="s">
        <v>245</v>
      </c>
      <c r="B16" s="16">
        <v>1</v>
      </c>
    </row>
    <row r="17" spans="1:2" x14ac:dyDescent="0.2">
      <c r="A17" s="5" t="s">
        <v>268</v>
      </c>
      <c r="B17" s="16">
        <v>1</v>
      </c>
    </row>
    <row r="18" spans="1:2" x14ac:dyDescent="0.2">
      <c r="A18" s="5" t="s">
        <v>277</v>
      </c>
      <c r="B18" s="16">
        <v>2</v>
      </c>
    </row>
    <row r="19" spans="1:2" x14ac:dyDescent="0.2">
      <c r="A19" s="5" t="s">
        <v>298</v>
      </c>
      <c r="B19" s="16">
        <v>1</v>
      </c>
    </row>
    <row r="20" spans="1:2" x14ac:dyDescent="0.2">
      <c r="A20" s="5" t="s">
        <v>319</v>
      </c>
      <c r="B20" s="16">
        <v>4</v>
      </c>
    </row>
    <row r="21" spans="1:2" x14ac:dyDescent="0.2">
      <c r="A21" s="5" t="s">
        <v>323</v>
      </c>
      <c r="B21" s="16">
        <v>2</v>
      </c>
    </row>
    <row r="22" spans="1:2" x14ac:dyDescent="0.2">
      <c r="A22" s="5" t="s">
        <v>340</v>
      </c>
      <c r="B22" s="16">
        <v>5</v>
      </c>
    </row>
    <row r="23" spans="1:2" x14ac:dyDescent="0.2">
      <c r="A23" s="5" t="s">
        <v>346</v>
      </c>
      <c r="B23" s="16">
        <v>1</v>
      </c>
    </row>
    <row r="24" spans="1:2" x14ac:dyDescent="0.2">
      <c r="A24" s="5" t="s">
        <v>366</v>
      </c>
      <c r="B24" s="16">
        <v>2</v>
      </c>
    </row>
    <row r="25" spans="1:2" x14ac:dyDescent="0.2">
      <c r="A25" s="5" t="s">
        <v>387</v>
      </c>
      <c r="B25" s="16">
        <v>1</v>
      </c>
    </row>
    <row r="26" spans="1:2" x14ac:dyDescent="0.2">
      <c r="A26" s="5" t="s">
        <v>394</v>
      </c>
      <c r="B26" s="16">
        <v>1</v>
      </c>
    </row>
    <row r="27" spans="1:2" x14ac:dyDescent="0.2">
      <c r="A27" s="5" t="s">
        <v>460</v>
      </c>
      <c r="B27" s="16">
        <v>1</v>
      </c>
    </row>
    <row r="28" spans="1:2" x14ac:dyDescent="0.2">
      <c r="A28" s="5" t="s">
        <v>494</v>
      </c>
      <c r="B28" s="16">
        <v>4</v>
      </c>
    </row>
    <row r="29" spans="1:2" x14ac:dyDescent="0.2">
      <c r="A29" s="5" t="s">
        <v>531</v>
      </c>
      <c r="B29" s="16">
        <v>1</v>
      </c>
    </row>
    <row r="30" spans="1:2" x14ac:dyDescent="0.2">
      <c r="A30" s="5" t="s">
        <v>596</v>
      </c>
      <c r="B30" s="16">
        <v>1</v>
      </c>
    </row>
    <row r="31" spans="1:2" x14ac:dyDescent="0.2">
      <c r="A31" s="5" t="s">
        <v>610</v>
      </c>
      <c r="B31" s="16">
        <v>4</v>
      </c>
    </row>
    <row r="32" spans="1:2" x14ac:dyDescent="0.2">
      <c r="A32" s="5" t="s">
        <v>659</v>
      </c>
      <c r="B32" s="16">
        <v>1</v>
      </c>
    </row>
    <row r="33" spans="1:2" x14ac:dyDescent="0.2">
      <c r="A33" s="5" t="s">
        <v>679</v>
      </c>
      <c r="B33" s="16">
        <v>1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8"/>
  <sheetViews>
    <sheetView workbookViewId="0">
      <pane ySplit="1" topLeftCell="A2" activePane="bottomLeft" state="frozen"/>
      <selection pane="bottomLeft" activeCell="A28" sqref="A28"/>
    </sheetView>
  </sheetViews>
  <sheetFormatPr baseColWidth="10" defaultColWidth="8.83203125" defaultRowHeight="15" x14ac:dyDescent="0.2"/>
  <cols>
    <col min="1" max="2" width="16" customWidth="1"/>
    <col min="5" max="5" width="10.33203125" bestFit="1" customWidth="1"/>
  </cols>
  <sheetData>
    <row r="1" spans="1:6" x14ac:dyDescent="0.2">
      <c r="A1" s="1" t="s">
        <v>6</v>
      </c>
      <c r="B1" s="1" t="s">
        <v>32</v>
      </c>
    </row>
    <row r="2" spans="1:6" x14ac:dyDescent="0.2">
      <c r="A2">
        <v>0</v>
      </c>
      <c r="B2">
        <f>COUNTIF('Search Audit'!I:I,0)</f>
        <v>39</v>
      </c>
      <c r="F2" s="6"/>
    </row>
    <row r="3" spans="1:6" x14ac:dyDescent="0.2">
      <c r="A3">
        <v>1</v>
      </c>
      <c r="B3">
        <f>COUNTIF('Search Audit'!I:I,1)</f>
        <v>36</v>
      </c>
    </row>
    <row r="4" spans="1:6" x14ac:dyDescent="0.2">
      <c r="A4">
        <v>2</v>
      </c>
      <c r="B4">
        <f>COUNTIF('Search Audit'!I:I,2)</f>
        <v>28</v>
      </c>
    </row>
    <row r="5" spans="1:6" x14ac:dyDescent="0.2">
      <c r="A5">
        <v>3</v>
      </c>
      <c r="B5">
        <f>COUNTIF('Search Audit'!I:I,3)</f>
        <v>35</v>
      </c>
    </row>
    <row r="6" spans="1:6" x14ac:dyDescent="0.2">
      <c r="A6">
        <v>4</v>
      </c>
      <c r="B6">
        <f>COUNTIF('Search Audit'!I:I,4)</f>
        <v>30</v>
      </c>
    </row>
    <row r="7" spans="1:6" x14ac:dyDescent="0.2">
      <c r="A7">
        <v>5</v>
      </c>
      <c r="B7">
        <f>COUNTIF('Search Audit'!I:I,5)</f>
        <v>28</v>
      </c>
    </row>
    <row r="8" spans="1:6" x14ac:dyDescent="0.2">
      <c r="A8">
        <v>6</v>
      </c>
      <c r="B8">
        <f>COUNTIF('Search Audit'!I:I,6)</f>
        <v>39</v>
      </c>
    </row>
    <row r="9" spans="1:6" x14ac:dyDescent="0.2">
      <c r="A9">
        <v>7</v>
      </c>
      <c r="B9">
        <f>COUNTIF('Search Audit'!I:I,7)</f>
        <v>50</v>
      </c>
    </row>
    <row r="10" spans="1:6" x14ac:dyDescent="0.2">
      <c r="A10">
        <v>8</v>
      </c>
      <c r="B10">
        <f>COUNTIF('Search Audit'!I:I,8)</f>
        <v>52</v>
      </c>
    </row>
    <row r="11" spans="1:6" x14ac:dyDescent="0.2">
      <c r="A11">
        <v>9</v>
      </c>
      <c r="B11">
        <f>COUNTIF('Search Audit'!I:I,9)</f>
        <v>21</v>
      </c>
    </row>
    <row r="12" spans="1:6" x14ac:dyDescent="0.2">
      <c r="A12">
        <v>10</v>
      </c>
      <c r="B12">
        <f>COUNTIF('Search Audit'!I:I,10)</f>
        <v>24</v>
      </c>
    </row>
    <row r="13" spans="1:6" x14ac:dyDescent="0.2">
      <c r="A13">
        <v>11</v>
      </c>
      <c r="B13">
        <f>COUNTIF('Search Audit'!I:I,11)</f>
        <v>20</v>
      </c>
    </row>
    <row r="14" spans="1:6" x14ac:dyDescent="0.2">
      <c r="A14">
        <v>12</v>
      </c>
      <c r="B14">
        <f>COUNTIF('Search Audit'!I:I,12)</f>
        <v>21</v>
      </c>
    </row>
    <row r="15" spans="1:6" x14ac:dyDescent="0.2">
      <c r="A15">
        <v>13</v>
      </c>
      <c r="B15">
        <f>COUNTIF('Search Audit'!I:I,13)</f>
        <v>27</v>
      </c>
    </row>
    <row r="16" spans="1:6" x14ac:dyDescent="0.2">
      <c r="A16">
        <v>14</v>
      </c>
      <c r="B16">
        <f>COUNTIF('Search Audit'!I:I,14)</f>
        <v>27</v>
      </c>
    </row>
    <row r="17" spans="1:2" x14ac:dyDescent="0.2">
      <c r="A17">
        <v>15</v>
      </c>
      <c r="B17">
        <f>COUNTIF('Search Audit'!I:I,15)</f>
        <v>13</v>
      </c>
    </row>
    <row r="18" spans="1:2" x14ac:dyDescent="0.2">
      <c r="A18">
        <v>16</v>
      </c>
      <c r="B18">
        <f>COUNTIF('Search Audit'!I:I,16)</f>
        <v>18</v>
      </c>
    </row>
    <row r="19" spans="1:2" x14ac:dyDescent="0.2">
      <c r="A19">
        <v>17</v>
      </c>
      <c r="B19">
        <f>COUNTIF('Search Audit'!I:I,17)</f>
        <v>5</v>
      </c>
    </row>
    <row r="20" spans="1:2" x14ac:dyDescent="0.2">
      <c r="A20">
        <v>18</v>
      </c>
      <c r="B20">
        <f>COUNTIF('Search Audit'!I:I,18)</f>
        <v>7</v>
      </c>
    </row>
    <row r="21" spans="1:2" x14ac:dyDescent="0.2">
      <c r="A21">
        <v>19</v>
      </c>
      <c r="B21">
        <f>COUNTIF('Search Audit'!I:I,19)</f>
        <v>4</v>
      </c>
    </row>
    <row r="22" spans="1:2" x14ac:dyDescent="0.2">
      <c r="A22">
        <v>20</v>
      </c>
      <c r="B22">
        <f>COUNTIF('Search Audit'!I:I,20)</f>
        <v>4</v>
      </c>
    </row>
    <row r="23" spans="1:2" x14ac:dyDescent="0.2">
      <c r="A23">
        <v>21</v>
      </c>
      <c r="B23">
        <f>COUNTIF('Search Audit'!I:I,21)</f>
        <v>4</v>
      </c>
    </row>
    <row r="24" spans="1:2" x14ac:dyDescent="0.2">
      <c r="A24">
        <v>22</v>
      </c>
      <c r="B24">
        <f>COUNTIF('Search Audit'!I:I,22)</f>
        <v>3</v>
      </c>
    </row>
    <row r="25" spans="1:2" x14ac:dyDescent="0.2">
      <c r="A25">
        <v>23</v>
      </c>
      <c r="B25">
        <f>COUNTIF('Search Audit'!I:I,23)</f>
        <v>21</v>
      </c>
    </row>
    <row r="28" spans="1:2" x14ac:dyDescent="0.2">
      <c r="A28" s="8" t="s">
        <v>38</v>
      </c>
      <c r="B28">
        <f>SUM(B2:B25)</f>
        <v>556</v>
      </c>
    </row>
  </sheetData>
  <autoFilter ref="A1:B25" xr:uid="{00000000-0001-0000-0200-000000000000}">
    <sortState xmlns:xlrd2="http://schemas.microsoft.com/office/spreadsheetml/2017/richdata2" ref="A2:B25">
      <sortCondition descending="1" ref="B1:B25"/>
    </sortState>
  </autoFilter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736C5-572E-E54D-9427-8F13C5623EBF}">
  <dimension ref="A1:G63"/>
  <sheetViews>
    <sheetView topLeftCell="A8" workbookViewId="0">
      <selection activeCell="C4" sqref="C4"/>
    </sheetView>
  </sheetViews>
  <sheetFormatPr baseColWidth="10" defaultRowHeight="15" x14ac:dyDescent="0.2"/>
  <cols>
    <col min="1" max="1" width="37.33203125" bestFit="1" customWidth="1"/>
    <col min="2" max="2" width="12.1640625" bestFit="1" customWidth="1"/>
    <col min="3" max="3" width="11.1640625" bestFit="1" customWidth="1"/>
    <col min="4" max="4" width="9.6640625" bestFit="1" customWidth="1"/>
    <col min="5" max="5" width="7" bestFit="1" customWidth="1"/>
    <col min="6" max="6" width="21.5" bestFit="1" customWidth="1"/>
    <col min="7" max="7" width="14.83203125" bestFit="1" customWidth="1"/>
  </cols>
  <sheetData>
    <row r="1" spans="1:7" ht="19" x14ac:dyDescent="0.25">
      <c r="A1" s="12" t="s">
        <v>66</v>
      </c>
    </row>
    <row r="3" spans="1:7" x14ac:dyDescent="0.2">
      <c r="A3" s="9" t="s">
        <v>7</v>
      </c>
      <c r="B3" s="9" t="s">
        <v>32</v>
      </c>
      <c r="C3" s="9" t="s">
        <v>40</v>
      </c>
      <c r="D3" s="9" t="s">
        <v>39</v>
      </c>
      <c r="E3" s="9" t="s">
        <v>41</v>
      </c>
      <c r="F3" s="9" t="s">
        <v>67</v>
      </c>
      <c r="G3" s="9" t="s">
        <v>68</v>
      </c>
    </row>
    <row r="4" spans="1:7" x14ac:dyDescent="0.2">
      <c r="A4">
        <v>2</v>
      </c>
      <c r="B4">
        <f>COUNTIF('Search Audit'!D:D,A4)</f>
        <v>1</v>
      </c>
      <c r="C4">
        <f>COUNTIFS('Search Audit'!D:D,A4,'Search Audit'!E:E,"")</f>
        <v>1</v>
      </c>
      <c r="D4">
        <f t="shared" ref="D4:D34" si="0">B4-C4</f>
        <v>0</v>
      </c>
      <c r="E4" s="10">
        <f t="shared" ref="E4:E35" si="1">IF(B4=0,0,C4/B4)</f>
        <v>1</v>
      </c>
      <c r="F4" s="15" t="s">
        <v>16</v>
      </c>
      <c r="G4">
        <v>8</v>
      </c>
    </row>
    <row r="5" spans="1:7" x14ac:dyDescent="0.2">
      <c r="A5">
        <v>3</v>
      </c>
      <c r="B5">
        <f>COUNTIF('Search Audit'!D:D,A5)</f>
        <v>290</v>
      </c>
      <c r="C5">
        <f>COUNTIFS('Search Audit'!D:D,A5,'Search Audit'!E:E,"")</f>
        <v>226</v>
      </c>
      <c r="D5">
        <f t="shared" si="0"/>
        <v>64</v>
      </c>
      <c r="E5" s="10">
        <f t="shared" si="1"/>
        <v>0.77931034482758621</v>
      </c>
      <c r="F5" s="15" t="s">
        <v>16</v>
      </c>
      <c r="G5">
        <v>15</v>
      </c>
    </row>
    <row r="6" spans="1:7" x14ac:dyDescent="0.2">
      <c r="A6">
        <v>36</v>
      </c>
      <c r="B6">
        <f>COUNTIF('Search Audit'!D:D,A6)</f>
        <v>0</v>
      </c>
      <c r="C6">
        <f>COUNTIFS('Search Audit'!D:D,A6,'Search Audit'!E:E,"")</f>
        <v>0</v>
      </c>
      <c r="D6">
        <f t="shared" si="0"/>
        <v>0</v>
      </c>
      <c r="E6" s="10">
        <f t="shared" si="1"/>
        <v>0</v>
      </c>
      <c r="F6" s="15" t="s">
        <v>16</v>
      </c>
      <c r="G6">
        <v>7</v>
      </c>
    </row>
    <row r="7" spans="1:7" x14ac:dyDescent="0.2">
      <c r="A7">
        <v>15</v>
      </c>
      <c r="B7">
        <f>COUNTIF('Search Audit'!D:D,A7)</f>
        <v>0</v>
      </c>
      <c r="C7">
        <f>COUNTIFS('Search Audit'!D:D,A7,'Search Audit'!E:E,"")</f>
        <v>0</v>
      </c>
      <c r="D7">
        <f t="shared" si="0"/>
        <v>0</v>
      </c>
      <c r="E7" s="10">
        <f t="shared" si="1"/>
        <v>0</v>
      </c>
      <c r="F7" s="15" t="s">
        <v>70</v>
      </c>
      <c r="G7">
        <v>11</v>
      </c>
    </row>
    <row r="8" spans="1:7" x14ac:dyDescent="0.2">
      <c r="A8">
        <v>531</v>
      </c>
      <c r="B8">
        <f>COUNTIF('Search Audit'!D:D,A8)</f>
        <v>0</v>
      </c>
      <c r="C8">
        <f>COUNTIFS('Search Audit'!D:D,A8,'Search Audit'!E:E,"")</f>
        <v>0</v>
      </c>
      <c r="D8">
        <f t="shared" si="0"/>
        <v>0</v>
      </c>
      <c r="E8" s="10">
        <f t="shared" si="1"/>
        <v>0</v>
      </c>
      <c r="F8" s="15" t="s">
        <v>15</v>
      </c>
      <c r="G8">
        <v>6</v>
      </c>
    </row>
    <row r="9" spans="1:7" x14ac:dyDescent="0.2">
      <c r="A9">
        <v>1</v>
      </c>
      <c r="B9">
        <f>COUNTIF('Search Audit'!D:D,A9)</f>
        <v>10</v>
      </c>
      <c r="C9">
        <f>COUNTIFS('Search Audit'!D:D,A9,'Search Audit'!E:E,"")</f>
        <v>6</v>
      </c>
      <c r="D9">
        <f t="shared" si="0"/>
        <v>4</v>
      </c>
      <c r="E9" s="10">
        <f t="shared" si="1"/>
        <v>0.6</v>
      </c>
      <c r="F9" s="15" t="s">
        <v>25</v>
      </c>
      <c r="G9">
        <v>6</v>
      </c>
    </row>
    <row r="10" spans="1:7" x14ac:dyDescent="0.2">
      <c r="A10">
        <v>433</v>
      </c>
      <c r="B10">
        <f>COUNTIF('Search Audit'!D:D,A10)</f>
        <v>0</v>
      </c>
      <c r="C10">
        <f>COUNTIFS('Search Audit'!D:D,A10,'Search Audit'!E:E,"")</f>
        <v>0</v>
      </c>
      <c r="D10">
        <f t="shared" si="0"/>
        <v>0</v>
      </c>
      <c r="E10" s="10">
        <f t="shared" si="1"/>
        <v>0</v>
      </c>
      <c r="F10" s="15" t="s">
        <v>14</v>
      </c>
      <c r="G10">
        <v>17</v>
      </c>
    </row>
    <row r="11" spans="1:7" x14ac:dyDescent="0.2">
      <c r="A11">
        <v>532</v>
      </c>
      <c r="B11">
        <f>COUNTIF('Search Audit'!D:D,A11)</f>
        <v>0</v>
      </c>
      <c r="C11">
        <f>COUNTIFS('Search Audit'!D:D,A11,'Search Audit'!E:E,"")</f>
        <v>0</v>
      </c>
      <c r="D11">
        <f t="shared" si="0"/>
        <v>0</v>
      </c>
      <c r="E11" s="10">
        <f t="shared" si="1"/>
        <v>0</v>
      </c>
      <c r="F11" s="15" t="s">
        <v>14</v>
      </c>
      <c r="G11">
        <v>7</v>
      </c>
    </row>
    <row r="12" spans="1:7" x14ac:dyDescent="0.2">
      <c r="A12">
        <v>432</v>
      </c>
      <c r="B12">
        <f>COUNTIF('Search Audit'!D:D,A12)</f>
        <v>0</v>
      </c>
      <c r="C12">
        <f>COUNTIFS('Search Audit'!D:D,A12,'Search Audit'!E:E,"")</f>
        <v>0</v>
      </c>
      <c r="D12">
        <f t="shared" si="0"/>
        <v>0</v>
      </c>
      <c r="E12" s="10">
        <f t="shared" si="1"/>
        <v>0</v>
      </c>
      <c r="F12" s="15" t="s">
        <v>15</v>
      </c>
      <c r="G12">
        <v>21</v>
      </c>
    </row>
    <row r="13" spans="1:7" x14ac:dyDescent="0.2">
      <c r="A13">
        <v>35</v>
      </c>
      <c r="B13">
        <f>COUNTIF('Search Audit'!D:D,A13)</f>
        <v>0</v>
      </c>
      <c r="C13">
        <f>COUNTIFS('Search Audit'!D:D,A13,'Search Audit'!E:E,"")</f>
        <v>0</v>
      </c>
      <c r="D13">
        <f t="shared" si="0"/>
        <v>0</v>
      </c>
      <c r="E13" s="10">
        <f t="shared" si="1"/>
        <v>0</v>
      </c>
      <c r="F13" s="15" t="s">
        <v>24</v>
      </c>
      <c r="G13">
        <v>4</v>
      </c>
    </row>
    <row r="14" spans="1:7" x14ac:dyDescent="0.2">
      <c r="A14">
        <v>575</v>
      </c>
      <c r="B14">
        <f>COUNTIF('Search Audit'!D:D,A14)</f>
        <v>0</v>
      </c>
      <c r="C14">
        <f>COUNTIFS('Search Audit'!D:D,A14,'Search Audit'!E:E,"")</f>
        <v>0</v>
      </c>
      <c r="D14">
        <f t="shared" si="0"/>
        <v>0</v>
      </c>
      <c r="E14" s="10">
        <f t="shared" si="1"/>
        <v>0</v>
      </c>
      <c r="F14" s="15" t="s">
        <v>30</v>
      </c>
      <c r="G14">
        <v>4</v>
      </c>
    </row>
    <row r="15" spans="1:7" x14ac:dyDescent="0.2">
      <c r="A15">
        <v>4</v>
      </c>
      <c r="B15">
        <f>COUNTIF('Search Audit'!D:D,A15)</f>
        <v>0</v>
      </c>
      <c r="C15">
        <f>COUNTIFS('Search Audit'!D:D,A15,'Search Audit'!E:E,"")</f>
        <v>0</v>
      </c>
      <c r="D15">
        <f t="shared" si="0"/>
        <v>0</v>
      </c>
      <c r="E15" s="10">
        <f t="shared" si="1"/>
        <v>0</v>
      </c>
      <c r="F15" s="15" t="s">
        <v>11</v>
      </c>
      <c r="G15">
        <v>2</v>
      </c>
    </row>
    <row r="16" spans="1:7" x14ac:dyDescent="0.2">
      <c r="A16">
        <v>576</v>
      </c>
      <c r="B16">
        <f>COUNTIF('Search Audit'!D:D,A16)</f>
        <v>0</v>
      </c>
      <c r="C16">
        <f>COUNTIFS('Search Audit'!D:D,A16,'Search Audit'!E:E,"")</f>
        <v>0</v>
      </c>
      <c r="D16">
        <f t="shared" si="0"/>
        <v>0</v>
      </c>
      <c r="E16" s="10">
        <f t="shared" si="1"/>
        <v>0</v>
      </c>
      <c r="F16" s="15" t="s">
        <v>15</v>
      </c>
      <c r="G16">
        <v>10</v>
      </c>
    </row>
    <row r="17" spans="1:7" x14ac:dyDescent="0.2">
      <c r="A17">
        <v>40</v>
      </c>
      <c r="B17">
        <f>COUNTIF('Search Audit'!D:D,A17)</f>
        <v>0</v>
      </c>
      <c r="C17">
        <f>COUNTIFS('Search Audit'!D:D,A17,'Search Audit'!E:E,"")</f>
        <v>0</v>
      </c>
      <c r="D17">
        <f t="shared" si="0"/>
        <v>0</v>
      </c>
      <c r="E17" s="10">
        <f t="shared" si="1"/>
        <v>0</v>
      </c>
      <c r="F17" s="15" t="s">
        <v>26</v>
      </c>
      <c r="G17">
        <v>8</v>
      </c>
    </row>
    <row r="18" spans="1:7" x14ac:dyDescent="0.2">
      <c r="A18">
        <v>471</v>
      </c>
      <c r="B18">
        <f>COUNTIF('Search Audit'!D:D,A18)</f>
        <v>0</v>
      </c>
      <c r="C18">
        <f>COUNTIFS('Search Audit'!D:D,A18,'Search Audit'!E:E,"")</f>
        <v>0</v>
      </c>
      <c r="D18">
        <f t="shared" si="0"/>
        <v>0</v>
      </c>
      <c r="E18" s="10">
        <f t="shared" si="1"/>
        <v>0</v>
      </c>
      <c r="F18" s="15" t="s">
        <v>29</v>
      </c>
      <c r="G18">
        <v>5</v>
      </c>
    </row>
    <row r="19" spans="1:7" x14ac:dyDescent="0.2">
      <c r="A19">
        <v>16</v>
      </c>
      <c r="B19">
        <f>COUNTIF('Search Audit'!D:D,A19)</f>
        <v>4</v>
      </c>
      <c r="C19">
        <f>COUNTIFS('Search Audit'!D:D,A19,'Search Audit'!E:E,"")</f>
        <v>4</v>
      </c>
      <c r="D19">
        <f t="shared" si="0"/>
        <v>0</v>
      </c>
      <c r="E19" s="10">
        <f t="shared" si="1"/>
        <v>1</v>
      </c>
      <c r="F19" s="15" t="s">
        <v>16</v>
      </c>
      <c r="G19">
        <v>3</v>
      </c>
    </row>
    <row r="20" spans="1:7" x14ac:dyDescent="0.2">
      <c r="A20">
        <v>41</v>
      </c>
      <c r="B20">
        <f>COUNTIF('Search Audit'!D:D,A20)</f>
        <v>0</v>
      </c>
      <c r="C20">
        <f>COUNTIFS('Search Audit'!D:D,A20,'Search Audit'!E:E,"")</f>
        <v>0</v>
      </c>
      <c r="D20">
        <f t="shared" si="0"/>
        <v>0</v>
      </c>
      <c r="E20" s="10">
        <f t="shared" si="1"/>
        <v>0</v>
      </c>
      <c r="F20" s="15" t="s">
        <v>71</v>
      </c>
      <c r="G20">
        <v>0</v>
      </c>
    </row>
    <row r="21" spans="1:7" x14ac:dyDescent="0.2">
      <c r="A21">
        <v>528</v>
      </c>
      <c r="B21">
        <f>COUNTIF('Search Audit'!D:D,A21)</f>
        <v>0</v>
      </c>
      <c r="C21">
        <f>COUNTIFS('Search Audit'!D:D,A21,'Search Audit'!E:E,"")</f>
        <v>0</v>
      </c>
      <c r="D21">
        <f t="shared" si="0"/>
        <v>0</v>
      </c>
      <c r="E21" s="10">
        <f t="shared" si="1"/>
        <v>0</v>
      </c>
      <c r="F21" s="15" t="s">
        <v>71</v>
      </c>
      <c r="G21">
        <v>0</v>
      </c>
    </row>
    <row r="22" spans="1:7" x14ac:dyDescent="0.2">
      <c r="A22">
        <v>632</v>
      </c>
      <c r="B22">
        <f>COUNTIF('Search Audit'!D:D,A22)</f>
        <v>0</v>
      </c>
      <c r="C22">
        <f>COUNTIFS('Search Audit'!D:D,A22,'Search Audit'!E:E,"")</f>
        <v>0</v>
      </c>
      <c r="D22">
        <f t="shared" si="0"/>
        <v>0</v>
      </c>
      <c r="E22" s="10">
        <f t="shared" si="1"/>
        <v>0</v>
      </c>
      <c r="F22" s="15" t="s">
        <v>72</v>
      </c>
      <c r="G22">
        <v>1</v>
      </c>
    </row>
    <row r="23" spans="1:7" x14ac:dyDescent="0.2">
      <c r="A23">
        <v>634</v>
      </c>
      <c r="B23">
        <f>COUNTIF('Search Audit'!D:D,A23)</f>
        <v>0</v>
      </c>
      <c r="C23">
        <f>COUNTIFS('Search Audit'!D:D,A23,'Search Audit'!E:E,"")</f>
        <v>0</v>
      </c>
      <c r="D23">
        <f t="shared" si="0"/>
        <v>0</v>
      </c>
      <c r="E23" s="10">
        <f t="shared" si="1"/>
        <v>0</v>
      </c>
      <c r="F23" s="15" t="s">
        <v>28</v>
      </c>
      <c r="G23">
        <v>2</v>
      </c>
    </row>
    <row r="24" spans="1:7" x14ac:dyDescent="0.2">
      <c r="A24">
        <v>472</v>
      </c>
      <c r="B24">
        <f>COUNTIF('Search Audit'!D:D,A24)</f>
        <v>0</v>
      </c>
      <c r="C24">
        <f>COUNTIFS('Search Audit'!D:D,A24,'Search Audit'!E:E,"")</f>
        <v>0</v>
      </c>
      <c r="D24">
        <f t="shared" si="0"/>
        <v>0</v>
      </c>
      <c r="E24" s="10">
        <f t="shared" si="1"/>
        <v>0</v>
      </c>
      <c r="F24" s="15" t="s">
        <v>23</v>
      </c>
      <c r="G24">
        <v>1</v>
      </c>
    </row>
    <row r="25" spans="1:7" x14ac:dyDescent="0.2">
      <c r="A25">
        <v>5</v>
      </c>
      <c r="B25">
        <f>COUNTIF('Search Audit'!D:D,A25)</f>
        <v>0</v>
      </c>
      <c r="C25">
        <f>COUNTIFS('Search Audit'!D:D,A25,'Search Audit'!E:E,"")</f>
        <v>0</v>
      </c>
      <c r="D25">
        <f t="shared" si="0"/>
        <v>0</v>
      </c>
      <c r="E25" s="10">
        <f t="shared" si="1"/>
        <v>0</v>
      </c>
      <c r="F25" s="15" t="s">
        <v>71</v>
      </c>
      <c r="G25">
        <v>0</v>
      </c>
    </row>
    <row r="26" spans="1:7" x14ac:dyDescent="0.2">
      <c r="A26">
        <v>6</v>
      </c>
      <c r="B26">
        <f>COUNTIF('Search Audit'!D:D,A26)</f>
        <v>0</v>
      </c>
      <c r="C26">
        <f>COUNTIFS('Search Audit'!D:D,A26,'Search Audit'!E:E,"")</f>
        <v>0</v>
      </c>
      <c r="D26">
        <f t="shared" si="0"/>
        <v>0</v>
      </c>
      <c r="E26" s="10">
        <f t="shared" si="1"/>
        <v>0</v>
      </c>
      <c r="F26" s="15" t="s">
        <v>71</v>
      </c>
      <c r="G26">
        <v>0</v>
      </c>
    </row>
    <row r="27" spans="1:7" x14ac:dyDescent="0.2">
      <c r="A27">
        <v>13</v>
      </c>
      <c r="B27">
        <f>COUNTIF('Search Audit'!D:D,A27)</f>
        <v>0</v>
      </c>
      <c r="C27">
        <f>COUNTIFS('Search Audit'!D:D,A27,'Search Audit'!E:E,"")</f>
        <v>0</v>
      </c>
      <c r="D27">
        <f t="shared" si="0"/>
        <v>0</v>
      </c>
      <c r="E27" s="10">
        <f t="shared" si="1"/>
        <v>0</v>
      </c>
      <c r="F27" s="15" t="s">
        <v>18</v>
      </c>
      <c r="G27">
        <v>1</v>
      </c>
    </row>
    <row r="28" spans="1:7" x14ac:dyDescent="0.2">
      <c r="A28">
        <v>429</v>
      </c>
      <c r="B28">
        <f>COUNTIF('Search Audit'!D:D,A28)</f>
        <v>0</v>
      </c>
      <c r="C28">
        <f>COUNTIFS('Search Audit'!D:D,A28,'Search Audit'!E:E,"")</f>
        <v>0</v>
      </c>
      <c r="D28">
        <f t="shared" si="0"/>
        <v>0</v>
      </c>
      <c r="E28" s="10">
        <f t="shared" si="1"/>
        <v>0</v>
      </c>
      <c r="F28" s="15" t="s">
        <v>71</v>
      </c>
      <c r="G28">
        <v>0</v>
      </c>
    </row>
    <row r="29" spans="1:7" x14ac:dyDescent="0.2">
      <c r="A29">
        <v>572</v>
      </c>
      <c r="B29">
        <f>COUNTIF('Search Audit'!D:D,A29)</f>
        <v>0</v>
      </c>
      <c r="C29">
        <f>COUNTIFS('Search Audit'!D:D,A29,'Search Audit'!E:E,"")</f>
        <v>0</v>
      </c>
      <c r="D29">
        <f t="shared" si="0"/>
        <v>0</v>
      </c>
      <c r="E29" s="10">
        <f t="shared" si="1"/>
        <v>0</v>
      </c>
      <c r="F29" s="15" t="s">
        <v>71</v>
      </c>
      <c r="G29">
        <v>0</v>
      </c>
    </row>
    <row r="30" spans="1:7" x14ac:dyDescent="0.2">
      <c r="A30">
        <v>617</v>
      </c>
      <c r="B30">
        <f>COUNTIF('Search Audit'!D:D,A30)</f>
        <v>0</v>
      </c>
      <c r="C30">
        <f>COUNTIFS('Search Audit'!D:D,A30,'Search Audit'!E:E,"")</f>
        <v>0</v>
      </c>
      <c r="D30">
        <f t="shared" si="0"/>
        <v>0</v>
      </c>
      <c r="E30" s="10">
        <f t="shared" si="1"/>
        <v>0</v>
      </c>
      <c r="F30" s="15" t="s">
        <v>71</v>
      </c>
      <c r="G30">
        <v>0</v>
      </c>
    </row>
    <row r="31" spans="1:7" x14ac:dyDescent="0.2">
      <c r="A31">
        <v>618</v>
      </c>
      <c r="B31">
        <f>COUNTIF('Search Audit'!D:D,A31)</f>
        <v>0</v>
      </c>
      <c r="C31">
        <f>COUNTIFS('Search Audit'!D:D,A31,'Search Audit'!E:E,"")</f>
        <v>0</v>
      </c>
      <c r="D31">
        <f t="shared" si="0"/>
        <v>0</v>
      </c>
      <c r="E31" s="10">
        <f t="shared" si="1"/>
        <v>0</v>
      </c>
      <c r="F31" s="15" t="s">
        <v>71</v>
      </c>
      <c r="G31">
        <v>0</v>
      </c>
    </row>
    <row r="32" spans="1:7" x14ac:dyDescent="0.2">
      <c r="A32">
        <v>619</v>
      </c>
      <c r="B32">
        <f>COUNTIF('Search Audit'!D:D,A32)</f>
        <v>0</v>
      </c>
      <c r="C32">
        <f>COUNTIFS('Search Audit'!D:D,A32,'Search Audit'!E:E,"")</f>
        <v>0</v>
      </c>
      <c r="D32">
        <f t="shared" si="0"/>
        <v>0</v>
      </c>
      <c r="E32" s="10">
        <f t="shared" si="1"/>
        <v>0</v>
      </c>
      <c r="F32" s="15" t="s">
        <v>71</v>
      </c>
      <c r="G32">
        <v>0</v>
      </c>
    </row>
    <row r="33" spans="1:7" x14ac:dyDescent="0.2">
      <c r="A33">
        <v>624</v>
      </c>
      <c r="B33">
        <f>COUNTIF('Search Audit'!D:D,A33)</f>
        <v>0</v>
      </c>
      <c r="C33">
        <f>COUNTIFS('Search Audit'!D:D,A33,'Search Audit'!E:E,"")</f>
        <v>0</v>
      </c>
      <c r="D33">
        <f t="shared" si="0"/>
        <v>0</v>
      </c>
      <c r="E33" s="10">
        <f t="shared" si="1"/>
        <v>0</v>
      </c>
      <c r="F33" s="15" t="s">
        <v>71</v>
      </c>
      <c r="G33">
        <v>0</v>
      </c>
    </row>
    <row r="34" spans="1:7" ht="16" thickBot="1" x14ac:dyDescent="0.25">
      <c r="A34">
        <v>826</v>
      </c>
      <c r="B34">
        <f>COUNTIF('Search Audit'!D:D,A34)</f>
        <v>0</v>
      </c>
      <c r="C34">
        <f>COUNTIFS('Search Audit'!D:D,A34,'Search Audit'!E:E,"")</f>
        <v>0</v>
      </c>
      <c r="D34">
        <f t="shared" si="0"/>
        <v>0</v>
      </c>
      <c r="E34" s="10">
        <f t="shared" si="1"/>
        <v>0</v>
      </c>
      <c r="F34" s="15" t="s">
        <v>31</v>
      </c>
      <c r="G34">
        <v>1</v>
      </c>
    </row>
    <row r="35" spans="1:7" x14ac:dyDescent="0.2">
      <c r="A35" s="13" t="s">
        <v>69</v>
      </c>
      <c r="B35" s="13">
        <f>SUM(B4:B34)</f>
        <v>305</v>
      </c>
      <c r="C35" s="13">
        <f>SUM(C4:C34)</f>
        <v>237</v>
      </c>
      <c r="D35" s="13">
        <f>SUM(D4:D34)</f>
        <v>68</v>
      </c>
      <c r="E35" s="14">
        <f t="shared" si="1"/>
        <v>0.77704918032786885</v>
      </c>
      <c r="F35" s="13"/>
      <c r="G35" s="13"/>
    </row>
    <row r="38" spans="1:7" x14ac:dyDescent="0.2">
      <c r="A38" s="8" t="s">
        <v>73</v>
      </c>
    </row>
    <row r="39" spans="1:7" x14ac:dyDescent="0.2">
      <c r="A39" s="9" t="s">
        <v>7</v>
      </c>
      <c r="B39" s="9" t="s">
        <v>39</v>
      </c>
      <c r="C39" s="9" t="s">
        <v>40</v>
      </c>
    </row>
    <row r="40" spans="1:7" x14ac:dyDescent="0.2">
      <c r="A40" t="s">
        <v>74</v>
      </c>
      <c r="B40">
        <f t="shared" ref="B40:B49" si="2">D4</f>
        <v>0</v>
      </c>
      <c r="C40">
        <f t="shared" ref="C40:C49" si="3">C4</f>
        <v>1</v>
      </c>
    </row>
    <row r="41" spans="1:7" x14ac:dyDescent="0.2">
      <c r="A41" t="s">
        <v>75</v>
      </c>
      <c r="B41">
        <f t="shared" si="2"/>
        <v>64</v>
      </c>
      <c r="C41">
        <f t="shared" si="3"/>
        <v>226</v>
      </c>
    </row>
    <row r="42" spans="1:7" x14ac:dyDescent="0.2">
      <c r="A42" t="s">
        <v>76</v>
      </c>
      <c r="B42">
        <f t="shared" si="2"/>
        <v>0</v>
      </c>
      <c r="C42">
        <f t="shared" si="3"/>
        <v>0</v>
      </c>
    </row>
    <row r="43" spans="1:7" x14ac:dyDescent="0.2">
      <c r="A43" t="s">
        <v>77</v>
      </c>
      <c r="B43">
        <f t="shared" si="2"/>
        <v>0</v>
      </c>
      <c r="C43">
        <f t="shared" si="3"/>
        <v>0</v>
      </c>
    </row>
    <row r="44" spans="1:7" x14ac:dyDescent="0.2">
      <c r="A44" t="s">
        <v>78</v>
      </c>
      <c r="B44">
        <f t="shared" si="2"/>
        <v>0</v>
      </c>
      <c r="C44">
        <f t="shared" si="3"/>
        <v>0</v>
      </c>
    </row>
    <row r="45" spans="1:7" x14ac:dyDescent="0.2">
      <c r="A45" t="s">
        <v>79</v>
      </c>
      <c r="B45">
        <f t="shared" si="2"/>
        <v>4</v>
      </c>
      <c r="C45">
        <f t="shared" si="3"/>
        <v>6</v>
      </c>
    </row>
    <row r="46" spans="1:7" x14ac:dyDescent="0.2">
      <c r="A46" t="s">
        <v>80</v>
      </c>
      <c r="B46">
        <f t="shared" si="2"/>
        <v>0</v>
      </c>
      <c r="C46">
        <f t="shared" si="3"/>
        <v>0</v>
      </c>
    </row>
    <row r="47" spans="1:7" x14ac:dyDescent="0.2">
      <c r="A47" t="s">
        <v>81</v>
      </c>
      <c r="B47">
        <f t="shared" si="2"/>
        <v>0</v>
      </c>
      <c r="C47">
        <f t="shared" si="3"/>
        <v>0</v>
      </c>
    </row>
    <row r="48" spans="1:7" x14ac:dyDescent="0.2">
      <c r="A48" t="s">
        <v>82</v>
      </c>
      <c r="B48">
        <f t="shared" si="2"/>
        <v>0</v>
      </c>
      <c r="C48">
        <f t="shared" si="3"/>
        <v>0</v>
      </c>
    </row>
    <row r="49" spans="1:3" x14ac:dyDescent="0.2">
      <c r="A49" t="s">
        <v>83</v>
      </c>
      <c r="B49">
        <f t="shared" si="2"/>
        <v>0</v>
      </c>
      <c r="C49">
        <f t="shared" si="3"/>
        <v>0</v>
      </c>
    </row>
    <row r="52" spans="1:3" x14ac:dyDescent="0.2">
      <c r="A52" s="8" t="s">
        <v>84</v>
      </c>
    </row>
    <row r="53" spans="1:3" x14ac:dyDescent="0.2">
      <c r="A53" s="9" t="s">
        <v>7</v>
      </c>
      <c r="B53" s="9" t="s">
        <v>41</v>
      </c>
    </row>
    <row r="54" spans="1:3" x14ac:dyDescent="0.2">
      <c r="A54">
        <v>2</v>
      </c>
      <c r="B54" s="10">
        <f t="shared" ref="B54:B63" si="4">E4</f>
        <v>1</v>
      </c>
    </row>
    <row r="55" spans="1:3" x14ac:dyDescent="0.2">
      <c r="A55">
        <v>3</v>
      </c>
      <c r="B55" s="10">
        <f t="shared" si="4"/>
        <v>0.77931034482758621</v>
      </c>
    </row>
    <row r="56" spans="1:3" x14ac:dyDescent="0.2">
      <c r="A56">
        <v>36</v>
      </c>
      <c r="B56" s="10">
        <f t="shared" si="4"/>
        <v>0</v>
      </c>
    </row>
    <row r="57" spans="1:3" x14ac:dyDescent="0.2">
      <c r="A57">
        <v>15</v>
      </c>
      <c r="B57" s="10">
        <f t="shared" si="4"/>
        <v>0</v>
      </c>
    </row>
    <row r="58" spans="1:3" x14ac:dyDescent="0.2">
      <c r="A58">
        <v>531</v>
      </c>
      <c r="B58" s="10">
        <f t="shared" si="4"/>
        <v>0</v>
      </c>
    </row>
    <row r="59" spans="1:3" x14ac:dyDescent="0.2">
      <c r="A59">
        <v>1</v>
      </c>
      <c r="B59" s="10">
        <f t="shared" si="4"/>
        <v>0.6</v>
      </c>
    </row>
    <row r="60" spans="1:3" x14ac:dyDescent="0.2">
      <c r="A60">
        <v>433</v>
      </c>
      <c r="B60" s="10">
        <f t="shared" si="4"/>
        <v>0</v>
      </c>
    </row>
    <row r="61" spans="1:3" x14ac:dyDescent="0.2">
      <c r="A61">
        <v>532</v>
      </c>
      <c r="B61" s="10">
        <f t="shared" si="4"/>
        <v>0</v>
      </c>
    </row>
    <row r="62" spans="1:3" x14ac:dyDescent="0.2">
      <c r="A62">
        <v>432</v>
      </c>
      <c r="B62" s="10">
        <f t="shared" si="4"/>
        <v>0</v>
      </c>
    </row>
    <row r="63" spans="1:3" x14ac:dyDescent="0.2">
      <c r="A63">
        <v>35</v>
      </c>
      <c r="B63" s="10">
        <f t="shared" si="4"/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5FDE4-B6E4-9C42-9BF8-E9CCD344B954}">
  <dimension ref="A1:I557"/>
  <sheetViews>
    <sheetView workbookViewId="0">
      <pane xSplit="3" ySplit="1" topLeftCell="D393" activePane="bottomRight" state="frozen"/>
      <selection pane="topRight" activeCell="D1" sqref="D1"/>
      <selection pane="bottomLeft" activeCell="A2" sqref="A2"/>
      <selection pane="bottomRight" activeCell="P1525" sqref="P1525"/>
    </sheetView>
  </sheetViews>
  <sheetFormatPr baseColWidth="10" defaultRowHeight="15" x14ac:dyDescent="0.2"/>
  <cols>
    <col min="1" max="1" width="35.6640625" bestFit="1" customWidth="1"/>
    <col min="2" max="2" width="9.1640625" bestFit="1" customWidth="1"/>
    <col min="3" max="3" width="21.5" bestFit="1" customWidth="1"/>
    <col min="4" max="4" width="15.33203125" bestFit="1" customWidth="1"/>
    <col min="5" max="5" width="31.83203125" style="7" bestFit="1" customWidth="1"/>
    <col min="6" max="6" width="19.33203125" bestFit="1" customWidth="1"/>
    <col min="7" max="7" width="13.6640625" bestFit="1" customWidth="1"/>
    <col min="8" max="8" width="13.1640625" bestFit="1" customWidth="1"/>
    <col min="9" max="9" width="13.83203125" bestFit="1" customWidth="1"/>
    <col min="12" max="12" width="16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7</v>
      </c>
      <c r="E1" s="7" t="s">
        <v>8</v>
      </c>
      <c r="F1" t="s">
        <v>3</v>
      </c>
      <c r="G1" t="s">
        <v>4</v>
      </c>
      <c r="H1" t="s">
        <v>5</v>
      </c>
      <c r="I1" t="s">
        <v>6</v>
      </c>
    </row>
    <row r="2" spans="1:9" x14ac:dyDescent="0.2">
      <c r="A2" t="s">
        <v>98</v>
      </c>
      <c r="B2" t="s">
        <v>9</v>
      </c>
      <c r="C2" s="2">
        <v>46107.716594849539</v>
      </c>
      <c r="D2">
        <v>3</v>
      </c>
      <c r="F2" s="2">
        <v>46107.424928182867</v>
      </c>
      <c r="G2" s="3">
        <v>46107</v>
      </c>
      <c r="H2" t="s">
        <v>19</v>
      </c>
      <c r="I2">
        <v>10</v>
      </c>
    </row>
    <row r="3" spans="1:9" x14ac:dyDescent="0.2">
      <c r="A3" t="s">
        <v>99</v>
      </c>
      <c r="B3" t="s">
        <v>9</v>
      </c>
      <c r="C3" s="2">
        <v>46107.743074328704</v>
      </c>
      <c r="D3">
        <v>202</v>
      </c>
      <c r="F3" s="2">
        <v>46107.45140766204</v>
      </c>
      <c r="G3" s="3">
        <v>46107</v>
      </c>
      <c r="H3" t="s">
        <v>19</v>
      </c>
      <c r="I3">
        <v>10</v>
      </c>
    </row>
    <row r="4" spans="1:9" x14ac:dyDescent="0.2">
      <c r="A4" t="s">
        <v>100</v>
      </c>
      <c r="B4" t="s">
        <v>9</v>
      </c>
      <c r="C4" s="2">
        <v>46107.759301782404</v>
      </c>
      <c r="D4">
        <v>3</v>
      </c>
      <c r="F4" s="2">
        <v>46107.46763511574</v>
      </c>
      <c r="G4" s="3">
        <v>46107</v>
      </c>
      <c r="H4" t="s">
        <v>19</v>
      </c>
      <c r="I4">
        <v>11</v>
      </c>
    </row>
    <row r="5" spans="1:9" x14ac:dyDescent="0.2">
      <c r="A5" t="s">
        <v>101</v>
      </c>
      <c r="B5" t="s">
        <v>9</v>
      </c>
      <c r="C5" s="2">
        <v>46107.759688206017</v>
      </c>
      <c r="D5">
        <v>3</v>
      </c>
      <c r="F5" s="2">
        <v>46107.468021539353</v>
      </c>
      <c r="G5" s="3">
        <v>46107</v>
      </c>
      <c r="H5" t="s">
        <v>19</v>
      </c>
      <c r="I5">
        <v>11</v>
      </c>
    </row>
    <row r="6" spans="1:9" x14ac:dyDescent="0.2">
      <c r="A6" t="s">
        <v>102</v>
      </c>
      <c r="B6" t="s">
        <v>9</v>
      </c>
      <c r="C6" s="2">
        <v>46107.764005289355</v>
      </c>
      <c r="D6">
        <v>202</v>
      </c>
      <c r="F6" s="2">
        <v>46107.472338622683</v>
      </c>
      <c r="G6" s="3">
        <v>46107</v>
      </c>
      <c r="H6" t="s">
        <v>19</v>
      </c>
      <c r="I6">
        <v>11</v>
      </c>
    </row>
    <row r="7" spans="1:9" x14ac:dyDescent="0.2">
      <c r="A7" t="s">
        <v>103</v>
      </c>
      <c r="B7" t="s">
        <v>9</v>
      </c>
      <c r="C7" s="2">
        <v>46107.776331122688</v>
      </c>
      <c r="D7">
        <v>3</v>
      </c>
      <c r="F7" s="2">
        <v>46107.484664456017</v>
      </c>
      <c r="G7" s="3">
        <v>46107</v>
      </c>
      <c r="H7" t="s">
        <v>19</v>
      </c>
      <c r="I7">
        <v>11</v>
      </c>
    </row>
    <row r="8" spans="1:9" x14ac:dyDescent="0.2">
      <c r="A8" t="s">
        <v>104</v>
      </c>
      <c r="B8" t="s">
        <v>9</v>
      </c>
      <c r="C8" s="2">
        <v>46107.792570821759</v>
      </c>
      <c r="D8">
        <v>202</v>
      </c>
      <c r="F8" s="2">
        <v>46107.500904155095</v>
      </c>
      <c r="G8" s="3">
        <v>46107</v>
      </c>
      <c r="H8" t="s">
        <v>19</v>
      </c>
      <c r="I8">
        <v>12</v>
      </c>
    </row>
    <row r="9" spans="1:9" x14ac:dyDescent="0.2">
      <c r="A9" t="s">
        <v>105</v>
      </c>
      <c r="B9" t="s">
        <v>9</v>
      </c>
      <c r="C9" s="2">
        <v>46107.79423615741</v>
      </c>
      <c r="D9">
        <v>3</v>
      </c>
      <c r="F9" s="2">
        <v>46107.502569490738</v>
      </c>
      <c r="G9" s="3">
        <v>46107</v>
      </c>
      <c r="H9" t="s">
        <v>19</v>
      </c>
      <c r="I9">
        <v>12</v>
      </c>
    </row>
    <row r="10" spans="1:9" x14ac:dyDescent="0.2">
      <c r="A10" t="s">
        <v>106</v>
      </c>
      <c r="B10" t="s">
        <v>9</v>
      </c>
      <c r="C10" s="2">
        <v>46107.817403368055</v>
      </c>
      <c r="D10">
        <v>3</v>
      </c>
      <c r="F10" s="2">
        <v>46107.525736701391</v>
      </c>
      <c r="G10" s="3">
        <v>46107</v>
      </c>
      <c r="H10" t="s">
        <v>19</v>
      </c>
      <c r="I10">
        <v>12</v>
      </c>
    </row>
    <row r="11" spans="1:9" x14ac:dyDescent="0.2">
      <c r="A11" t="s">
        <v>107</v>
      </c>
      <c r="B11" t="s">
        <v>9</v>
      </c>
      <c r="C11" s="2">
        <v>46107.835330023147</v>
      </c>
      <c r="D11">
        <v>269</v>
      </c>
      <c r="F11" s="2">
        <v>46107.543663356482</v>
      </c>
      <c r="G11" s="3">
        <v>46107</v>
      </c>
      <c r="H11" t="s">
        <v>19</v>
      </c>
      <c r="I11">
        <v>13</v>
      </c>
    </row>
    <row r="12" spans="1:9" x14ac:dyDescent="0.2">
      <c r="A12" t="s">
        <v>108</v>
      </c>
      <c r="B12" t="s">
        <v>9</v>
      </c>
      <c r="C12" s="2">
        <v>46107.835509780096</v>
      </c>
      <c r="D12">
        <v>3</v>
      </c>
      <c r="F12" s="2">
        <v>46107.543843113424</v>
      </c>
      <c r="G12" s="3">
        <v>46107</v>
      </c>
      <c r="H12" t="s">
        <v>19</v>
      </c>
      <c r="I12">
        <v>13</v>
      </c>
    </row>
    <row r="13" spans="1:9" x14ac:dyDescent="0.2">
      <c r="A13" t="s">
        <v>109</v>
      </c>
      <c r="B13" t="s">
        <v>9</v>
      </c>
      <c r="C13" s="2">
        <v>46107.843278229164</v>
      </c>
      <c r="D13">
        <v>202</v>
      </c>
      <c r="F13" s="2">
        <v>46107.5516115625</v>
      </c>
      <c r="G13" s="3">
        <v>46107</v>
      </c>
      <c r="H13" t="s">
        <v>19</v>
      </c>
      <c r="I13">
        <v>13</v>
      </c>
    </row>
    <row r="14" spans="1:9" x14ac:dyDescent="0.2">
      <c r="A14" t="s">
        <v>110</v>
      </c>
      <c r="B14" t="s">
        <v>9</v>
      </c>
      <c r="C14" s="2">
        <v>46107.897867500003</v>
      </c>
      <c r="D14">
        <v>3</v>
      </c>
      <c r="F14" s="2">
        <v>46107.606200833332</v>
      </c>
      <c r="G14" s="3">
        <v>46107</v>
      </c>
      <c r="H14" t="s">
        <v>19</v>
      </c>
      <c r="I14">
        <v>14</v>
      </c>
    </row>
    <row r="15" spans="1:9" x14ac:dyDescent="0.2">
      <c r="A15" t="s">
        <v>111</v>
      </c>
      <c r="B15" t="s">
        <v>9</v>
      </c>
      <c r="C15" s="2">
        <v>46107.967666979166</v>
      </c>
      <c r="D15">
        <v>3</v>
      </c>
      <c r="F15" s="2">
        <v>46107.676000312502</v>
      </c>
      <c r="G15" s="3">
        <v>46107</v>
      </c>
      <c r="H15" t="s">
        <v>19</v>
      </c>
      <c r="I15">
        <v>16</v>
      </c>
    </row>
    <row r="16" spans="1:9" x14ac:dyDescent="0.2">
      <c r="A16" t="s">
        <v>112</v>
      </c>
      <c r="B16" t="s">
        <v>9</v>
      </c>
      <c r="C16" s="2">
        <v>46108.078187094907</v>
      </c>
      <c r="D16">
        <v>3</v>
      </c>
      <c r="F16" s="2">
        <v>46107.786520428243</v>
      </c>
      <c r="G16" s="3">
        <v>46107</v>
      </c>
      <c r="H16" t="s">
        <v>19</v>
      </c>
      <c r="I16">
        <v>18</v>
      </c>
    </row>
    <row r="17" spans="1:9" x14ac:dyDescent="0.2">
      <c r="A17" t="s">
        <v>113</v>
      </c>
      <c r="B17" t="s">
        <v>9</v>
      </c>
      <c r="C17" s="2">
        <v>46108.282979293981</v>
      </c>
      <c r="D17">
        <v>3</v>
      </c>
      <c r="E17" s="7" t="s">
        <v>114</v>
      </c>
      <c r="F17" s="2">
        <v>46107.991312627317</v>
      </c>
      <c r="G17" s="3">
        <v>46107</v>
      </c>
      <c r="H17" t="s">
        <v>19</v>
      </c>
      <c r="I17">
        <v>23</v>
      </c>
    </row>
    <row r="18" spans="1:9" x14ac:dyDescent="0.2">
      <c r="A18" t="s">
        <v>115</v>
      </c>
      <c r="B18" t="s">
        <v>9</v>
      </c>
      <c r="C18" s="2">
        <v>46108.622140335647</v>
      </c>
      <c r="D18">
        <v>202</v>
      </c>
      <c r="F18" s="2">
        <v>46108.330473668982</v>
      </c>
      <c r="G18" s="3">
        <v>46108</v>
      </c>
      <c r="H18" t="s">
        <v>20</v>
      </c>
      <c r="I18">
        <v>7</v>
      </c>
    </row>
    <row r="19" spans="1:9" x14ac:dyDescent="0.2">
      <c r="A19" t="s">
        <v>116</v>
      </c>
      <c r="B19" t="s">
        <v>9</v>
      </c>
      <c r="C19" s="2">
        <v>46108.630984340278</v>
      </c>
      <c r="D19">
        <v>202</v>
      </c>
      <c r="F19" s="2">
        <v>46108.339317673614</v>
      </c>
      <c r="G19" s="3">
        <v>46108</v>
      </c>
      <c r="H19" t="s">
        <v>20</v>
      </c>
      <c r="I19">
        <v>8</v>
      </c>
    </row>
    <row r="20" spans="1:9" x14ac:dyDescent="0.2">
      <c r="A20" t="s">
        <v>117</v>
      </c>
      <c r="B20" t="s">
        <v>9</v>
      </c>
      <c r="C20" s="2">
        <v>46108.673957476851</v>
      </c>
      <c r="D20">
        <v>202</v>
      </c>
      <c r="F20" s="2">
        <v>46108.382290810187</v>
      </c>
      <c r="G20" s="3">
        <v>46108</v>
      </c>
      <c r="H20" t="s">
        <v>20</v>
      </c>
      <c r="I20">
        <v>9</v>
      </c>
    </row>
    <row r="21" spans="1:9" x14ac:dyDescent="0.2">
      <c r="A21" t="s">
        <v>118</v>
      </c>
      <c r="B21" t="s">
        <v>9</v>
      </c>
      <c r="C21" s="2">
        <v>46108.862821099538</v>
      </c>
      <c r="D21">
        <v>202</v>
      </c>
      <c r="F21" s="2">
        <v>46108.571154432873</v>
      </c>
      <c r="G21" s="3">
        <v>46108</v>
      </c>
      <c r="H21" t="s">
        <v>20</v>
      </c>
      <c r="I21">
        <v>13</v>
      </c>
    </row>
    <row r="22" spans="1:9" x14ac:dyDescent="0.2">
      <c r="A22" t="s">
        <v>119</v>
      </c>
      <c r="B22" t="s">
        <v>9</v>
      </c>
      <c r="C22" s="2">
        <v>46108.954459768516</v>
      </c>
      <c r="D22">
        <v>3</v>
      </c>
      <c r="F22" s="2">
        <v>46108.662793101852</v>
      </c>
      <c r="G22" s="3">
        <v>46108</v>
      </c>
      <c r="H22" t="s">
        <v>20</v>
      </c>
      <c r="I22">
        <v>15</v>
      </c>
    </row>
    <row r="23" spans="1:9" x14ac:dyDescent="0.2">
      <c r="A23" t="s">
        <v>120</v>
      </c>
      <c r="B23" t="s">
        <v>9</v>
      </c>
      <c r="C23" s="2">
        <v>46108.970317488427</v>
      </c>
      <c r="D23">
        <v>3</v>
      </c>
      <c r="F23" s="2">
        <v>46108.678650821763</v>
      </c>
      <c r="G23" s="3">
        <v>46108</v>
      </c>
      <c r="H23" t="s">
        <v>20</v>
      </c>
      <c r="I23">
        <v>16</v>
      </c>
    </row>
    <row r="24" spans="1:9" x14ac:dyDescent="0.2">
      <c r="A24" t="s">
        <v>121</v>
      </c>
      <c r="B24" t="s">
        <v>9</v>
      </c>
      <c r="C24" s="2">
        <v>46109.079821898151</v>
      </c>
      <c r="D24">
        <v>3</v>
      </c>
      <c r="F24" s="2">
        <v>46108.788155231479</v>
      </c>
      <c r="G24" s="3">
        <v>46108</v>
      </c>
      <c r="H24" t="s">
        <v>20</v>
      </c>
      <c r="I24">
        <v>18</v>
      </c>
    </row>
    <row r="25" spans="1:9" x14ac:dyDescent="0.2">
      <c r="A25" t="s">
        <v>122</v>
      </c>
      <c r="B25" t="s">
        <v>9</v>
      </c>
      <c r="C25" s="2">
        <v>46109.126786967594</v>
      </c>
      <c r="D25">
        <v>269</v>
      </c>
      <c r="F25" s="2">
        <v>46108.835120300922</v>
      </c>
      <c r="G25" s="3">
        <v>46108</v>
      </c>
      <c r="H25" t="s">
        <v>20</v>
      </c>
      <c r="I25">
        <v>20</v>
      </c>
    </row>
    <row r="26" spans="1:9" x14ac:dyDescent="0.2">
      <c r="A26" t="s">
        <v>123</v>
      </c>
      <c r="B26" t="s">
        <v>9</v>
      </c>
      <c r="C26" s="2">
        <v>46109.78900733796</v>
      </c>
      <c r="D26">
        <v>3</v>
      </c>
      <c r="F26" s="2">
        <v>46109.497340671296</v>
      </c>
      <c r="G26" s="3">
        <v>46109</v>
      </c>
      <c r="H26" t="s">
        <v>21</v>
      </c>
      <c r="I26">
        <v>11</v>
      </c>
    </row>
    <row r="27" spans="1:9" x14ac:dyDescent="0.2">
      <c r="A27" t="s">
        <v>124</v>
      </c>
      <c r="B27" t="s">
        <v>9</v>
      </c>
      <c r="C27" s="2">
        <v>46109.796512476853</v>
      </c>
      <c r="D27">
        <v>3</v>
      </c>
      <c r="F27" s="2">
        <v>46109.504845810188</v>
      </c>
      <c r="G27" s="3">
        <v>46109</v>
      </c>
      <c r="H27" t="s">
        <v>21</v>
      </c>
      <c r="I27">
        <v>12</v>
      </c>
    </row>
    <row r="28" spans="1:9" x14ac:dyDescent="0.2">
      <c r="A28" t="s">
        <v>125</v>
      </c>
      <c r="B28" t="s">
        <v>9</v>
      </c>
      <c r="C28" s="2">
        <v>46109.836077673608</v>
      </c>
      <c r="D28">
        <v>3</v>
      </c>
      <c r="F28" s="2">
        <v>46109.544411006944</v>
      </c>
      <c r="G28" s="3">
        <v>46109</v>
      </c>
      <c r="H28" t="s">
        <v>21</v>
      </c>
      <c r="I28">
        <v>13</v>
      </c>
    </row>
    <row r="29" spans="1:9" x14ac:dyDescent="0.2">
      <c r="A29" t="s">
        <v>126</v>
      </c>
      <c r="B29" t="s">
        <v>9</v>
      </c>
      <c r="C29" s="2">
        <v>46110.130988368059</v>
      </c>
      <c r="D29">
        <v>269</v>
      </c>
      <c r="F29" s="2">
        <v>46109.839321701387</v>
      </c>
      <c r="G29" s="3">
        <v>46109</v>
      </c>
      <c r="H29" t="s">
        <v>21</v>
      </c>
      <c r="I29">
        <v>20</v>
      </c>
    </row>
    <row r="30" spans="1:9" x14ac:dyDescent="0.2">
      <c r="A30" t="s">
        <v>127</v>
      </c>
      <c r="B30" t="s">
        <v>9</v>
      </c>
      <c r="C30" s="2">
        <v>46110.268792222225</v>
      </c>
      <c r="D30">
        <v>3</v>
      </c>
      <c r="F30" s="2">
        <v>46109.977125555553</v>
      </c>
      <c r="G30" s="3">
        <v>46109</v>
      </c>
      <c r="H30" t="s">
        <v>21</v>
      </c>
      <c r="I30">
        <v>23</v>
      </c>
    </row>
    <row r="31" spans="1:9" x14ac:dyDescent="0.2">
      <c r="A31" t="s">
        <v>128</v>
      </c>
      <c r="B31" t="s">
        <v>9</v>
      </c>
      <c r="C31" s="2">
        <v>46110.317609999998</v>
      </c>
      <c r="D31">
        <v>269</v>
      </c>
      <c r="F31" s="2">
        <v>46110.025943333334</v>
      </c>
      <c r="G31" s="3">
        <v>46110</v>
      </c>
      <c r="H31" t="s">
        <v>22</v>
      </c>
      <c r="I31">
        <v>0</v>
      </c>
    </row>
    <row r="32" spans="1:9" x14ac:dyDescent="0.2">
      <c r="A32" t="s">
        <v>129</v>
      </c>
      <c r="B32" t="s">
        <v>9</v>
      </c>
      <c r="C32" s="2">
        <v>46110.409972638889</v>
      </c>
      <c r="D32">
        <v>269</v>
      </c>
      <c r="F32" s="2">
        <v>46110.118305972224</v>
      </c>
      <c r="G32" s="3">
        <v>46110</v>
      </c>
      <c r="H32" t="s">
        <v>22</v>
      </c>
      <c r="I32">
        <v>2</v>
      </c>
    </row>
    <row r="33" spans="1:9" x14ac:dyDescent="0.2">
      <c r="A33" t="s">
        <v>130</v>
      </c>
      <c r="B33" t="s">
        <v>9</v>
      </c>
      <c r="C33" s="2">
        <v>46110.416921666663</v>
      </c>
      <c r="D33">
        <v>269</v>
      </c>
      <c r="F33" s="2">
        <v>46110.125254999999</v>
      </c>
      <c r="G33" s="3">
        <v>46110</v>
      </c>
      <c r="H33" t="s">
        <v>22</v>
      </c>
      <c r="I33">
        <v>3</v>
      </c>
    </row>
    <row r="34" spans="1:9" x14ac:dyDescent="0.2">
      <c r="A34" t="s">
        <v>131</v>
      </c>
      <c r="B34" t="s">
        <v>9</v>
      </c>
      <c r="C34" s="2">
        <v>46110.655512569443</v>
      </c>
      <c r="D34">
        <v>202</v>
      </c>
      <c r="F34" s="2">
        <v>46110.363845902779</v>
      </c>
      <c r="G34" s="3">
        <v>46110</v>
      </c>
      <c r="H34" t="s">
        <v>22</v>
      </c>
      <c r="I34">
        <v>8</v>
      </c>
    </row>
    <row r="35" spans="1:9" x14ac:dyDescent="0.2">
      <c r="A35" t="s">
        <v>132</v>
      </c>
      <c r="B35" t="s">
        <v>9</v>
      </c>
      <c r="C35" s="2">
        <v>46110.897934386572</v>
      </c>
      <c r="D35">
        <v>269</v>
      </c>
      <c r="F35" s="2">
        <v>46110.606267719908</v>
      </c>
      <c r="G35" s="3">
        <v>46110</v>
      </c>
      <c r="H35" t="s">
        <v>22</v>
      </c>
      <c r="I35">
        <v>14</v>
      </c>
    </row>
    <row r="36" spans="1:9" x14ac:dyDescent="0.2">
      <c r="A36" t="s">
        <v>133</v>
      </c>
      <c r="B36" t="s">
        <v>9</v>
      </c>
      <c r="C36" s="2">
        <v>46111.346833530093</v>
      </c>
      <c r="D36">
        <v>269</v>
      </c>
      <c r="F36" s="2">
        <v>46111.055166863429</v>
      </c>
      <c r="G36" s="3">
        <v>46111</v>
      </c>
      <c r="H36" t="s">
        <v>10</v>
      </c>
      <c r="I36">
        <v>1</v>
      </c>
    </row>
    <row r="37" spans="1:9" x14ac:dyDescent="0.2">
      <c r="A37" t="s">
        <v>134</v>
      </c>
      <c r="B37" t="s">
        <v>9</v>
      </c>
      <c r="C37" s="2">
        <v>46111.536908553244</v>
      </c>
      <c r="D37">
        <v>269</v>
      </c>
      <c r="F37" s="2">
        <v>46111.245241886572</v>
      </c>
      <c r="G37" s="3">
        <v>46111</v>
      </c>
      <c r="H37" t="s">
        <v>10</v>
      </c>
      <c r="I37">
        <v>5</v>
      </c>
    </row>
    <row r="38" spans="1:9" x14ac:dyDescent="0.2">
      <c r="A38" t="s">
        <v>135</v>
      </c>
      <c r="B38" t="s">
        <v>9</v>
      </c>
      <c r="C38" s="2">
        <v>46111.651583506944</v>
      </c>
      <c r="D38">
        <v>3</v>
      </c>
      <c r="E38" s="7" t="s">
        <v>136</v>
      </c>
      <c r="F38" s="2">
        <v>46111.35991684028</v>
      </c>
      <c r="G38" s="3">
        <v>46111</v>
      </c>
      <c r="H38" t="s">
        <v>10</v>
      </c>
      <c r="I38">
        <v>8</v>
      </c>
    </row>
    <row r="39" spans="1:9" x14ac:dyDescent="0.2">
      <c r="A39" t="s">
        <v>137</v>
      </c>
      <c r="B39" t="s">
        <v>9</v>
      </c>
      <c r="C39" s="2">
        <v>46111.672495393519</v>
      </c>
      <c r="D39">
        <v>202</v>
      </c>
      <c r="F39" s="2">
        <v>46111.380828726855</v>
      </c>
      <c r="G39" s="3">
        <v>46111</v>
      </c>
      <c r="H39" t="s">
        <v>10</v>
      </c>
      <c r="I39">
        <v>9</v>
      </c>
    </row>
    <row r="40" spans="1:9" x14ac:dyDescent="0.2">
      <c r="A40" t="s">
        <v>138</v>
      </c>
      <c r="B40" t="s">
        <v>9</v>
      </c>
      <c r="C40" s="2">
        <v>46111.743770949077</v>
      </c>
      <c r="D40">
        <v>3</v>
      </c>
      <c r="F40" s="2">
        <v>46111.452104282405</v>
      </c>
      <c r="G40" s="3">
        <v>46111</v>
      </c>
      <c r="H40" t="s">
        <v>10</v>
      </c>
      <c r="I40">
        <v>10</v>
      </c>
    </row>
    <row r="41" spans="1:9" x14ac:dyDescent="0.2">
      <c r="A41" t="s">
        <v>139</v>
      </c>
      <c r="B41" t="s">
        <v>9</v>
      </c>
      <c r="C41" s="2">
        <v>46111.886300300925</v>
      </c>
      <c r="D41">
        <v>3</v>
      </c>
      <c r="F41" s="2">
        <v>46111.59463363426</v>
      </c>
      <c r="G41" s="3">
        <v>46111</v>
      </c>
      <c r="H41" t="s">
        <v>10</v>
      </c>
      <c r="I41">
        <v>14</v>
      </c>
    </row>
    <row r="42" spans="1:9" x14ac:dyDescent="0.2">
      <c r="A42" t="s">
        <v>140</v>
      </c>
      <c r="B42" t="s">
        <v>9</v>
      </c>
      <c r="C42" s="2">
        <v>46111.90559278935</v>
      </c>
      <c r="D42">
        <v>3</v>
      </c>
      <c r="E42" s="7" t="s">
        <v>114</v>
      </c>
      <c r="F42" s="2">
        <v>46111.613926122685</v>
      </c>
      <c r="G42" s="3">
        <v>46111</v>
      </c>
      <c r="H42" t="s">
        <v>10</v>
      </c>
      <c r="I42">
        <v>14</v>
      </c>
    </row>
    <row r="43" spans="1:9" x14ac:dyDescent="0.2">
      <c r="A43" t="s">
        <v>141</v>
      </c>
      <c r="B43" t="s">
        <v>9</v>
      </c>
      <c r="C43" s="2">
        <v>46112.238905289349</v>
      </c>
      <c r="D43">
        <v>3</v>
      </c>
      <c r="E43" s="7" t="s">
        <v>142</v>
      </c>
      <c r="F43" s="2">
        <v>46111.947238622684</v>
      </c>
      <c r="G43" s="3">
        <v>46111</v>
      </c>
      <c r="H43" t="s">
        <v>10</v>
      </c>
      <c r="I43">
        <v>22</v>
      </c>
    </row>
    <row r="44" spans="1:9" x14ac:dyDescent="0.2">
      <c r="A44" t="s">
        <v>143</v>
      </c>
      <c r="B44" t="s">
        <v>9</v>
      </c>
      <c r="C44" s="2">
        <v>46112.269315104168</v>
      </c>
      <c r="D44">
        <v>3</v>
      </c>
      <c r="F44" s="2">
        <v>46111.977648437503</v>
      </c>
      <c r="G44" s="3">
        <v>46111</v>
      </c>
      <c r="H44" t="s">
        <v>10</v>
      </c>
      <c r="I44">
        <v>23</v>
      </c>
    </row>
    <row r="45" spans="1:9" x14ac:dyDescent="0.2">
      <c r="A45" t="s">
        <v>144</v>
      </c>
      <c r="B45" t="s">
        <v>9</v>
      </c>
      <c r="C45" s="2">
        <v>46112.343562499998</v>
      </c>
      <c r="D45">
        <v>269</v>
      </c>
      <c r="F45" s="2">
        <v>46112.051895833334</v>
      </c>
      <c r="G45" s="3">
        <v>46112</v>
      </c>
      <c r="H45" t="s">
        <v>13</v>
      </c>
      <c r="I45">
        <v>1</v>
      </c>
    </row>
    <row r="46" spans="1:9" x14ac:dyDescent="0.2">
      <c r="A46" t="s">
        <v>145</v>
      </c>
      <c r="B46" t="s">
        <v>9</v>
      </c>
      <c r="C46" s="2">
        <v>46112.346774074074</v>
      </c>
      <c r="D46">
        <v>3</v>
      </c>
      <c r="F46" s="2">
        <v>46112.05510740741</v>
      </c>
      <c r="G46" s="3">
        <v>46112</v>
      </c>
      <c r="H46" t="s">
        <v>13</v>
      </c>
      <c r="I46">
        <v>1</v>
      </c>
    </row>
    <row r="47" spans="1:9" x14ac:dyDescent="0.2">
      <c r="A47" t="s">
        <v>146</v>
      </c>
      <c r="B47" t="s">
        <v>9</v>
      </c>
      <c r="C47" s="2">
        <v>46112.452501215281</v>
      </c>
      <c r="D47">
        <v>269</v>
      </c>
      <c r="F47" s="2">
        <v>46112.160834548609</v>
      </c>
      <c r="G47" s="3">
        <v>46112</v>
      </c>
      <c r="H47" t="s">
        <v>13</v>
      </c>
      <c r="I47">
        <v>3</v>
      </c>
    </row>
    <row r="48" spans="1:9" x14ac:dyDescent="0.2">
      <c r="A48" t="s">
        <v>147</v>
      </c>
      <c r="B48" t="s">
        <v>9</v>
      </c>
      <c r="C48" s="2">
        <v>46112.549083275466</v>
      </c>
      <c r="D48">
        <v>269</v>
      </c>
      <c r="E48" s="7" t="s">
        <v>114</v>
      </c>
      <c r="F48" s="2">
        <v>46112.257416608794</v>
      </c>
      <c r="G48" s="3">
        <v>46112</v>
      </c>
      <c r="H48" t="s">
        <v>13</v>
      </c>
      <c r="I48">
        <v>6</v>
      </c>
    </row>
    <row r="49" spans="1:9" x14ac:dyDescent="0.2">
      <c r="A49" t="s">
        <v>148</v>
      </c>
      <c r="B49" t="s">
        <v>9</v>
      </c>
      <c r="C49" s="2">
        <v>46112.551119282405</v>
      </c>
      <c r="D49">
        <v>269</v>
      </c>
      <c r="F49" s="2">
        <v>46112.259452615741</v>
      </c>
      <c r="G49" s="3">
        <v>46112</v>
      </c>
      <c r="H49" t="s">
        <v>13</v>
      </c>
      <c r="I49">
        <v>6</v>
      </c>
    </row>
    <row r="50" spans="1:9" x14ac:dyDescent="0.2">
      <c r="A50" t="s">
        <v>149</v>
      </c>
      <c r="B50" t="s">
        <v>9</v>
      </c>
      <c r="C50" s="2">
        <v>46112.575691006947</v>
      </c>
      <c r="D50">
        <v>269</v>
      </c>
      <c r="F50" s="2">
        <v>46112.284024340275</v>
      </c>
      <c r="G50" s="3">
        <v>46112</v>
      </c>
      <c r="H50" t="s">
        <v>13</v>
      </c>
      <c r="I50">
        <v>6</v>
      </c>
    </row>
    <row r="51" spans="1:9" x14ac:dyDescent="0.2">
      <c r="A51" t="s">
        <v>150</v>
      </c>
      <c r="B51" t="s">
        <v>9</v>
      </c>
      <c r="C51" s="2">
        <v>46112.583386550927</v>
      </c>
      <c r="D51">
        <v>9</v>
      </c>
      <c r="F51" s="2">
        <v>46112.291719884262</v>
      </c>
      <c r="G51" s="3">
        <v>46112</v>
      </c>
      <c r="H51" t="s">
        <v>13</v>
      </c>
      <c r="I51">
        <v>7</v>
      </c>
    </row>
    <row r="52" spans="1:9" x14ac:dyDescent="0.2">
      <c r="A52" t="s">
        <v>151</v>
      </c>
      <c r="B52" t="s">
        <v>9</v>
      </c>
      <c r="C52" s="2">
        <v>46112.633921782406</v>
      </c>
      <c r="D52">
        <v>269</v>
      </c>
      <c r="E52" s="7" t="s">
        <v>114</v>
      </c>
      <c r="F52" s="2">
        <v>46112.342255115742</v>
      </c>
      <c r="G52" s="3">
        <v>46112</v>
      </c>
      <c r="H52" t="s">
        <v>13</v>
      </c>
      <c r="I52">
        <v>8</v>
      </c>
    </row>
    <row r="53" spans="1:9" x14ac:dyDescent="0.2">
      <c r="A53" t="s">
        <v>152</v>
      </c>
      <c r="B53" t="s">
        <v>9</v>
      </c>
      <c r="C53" s="2">
        <v>46112.659187974539</v>
      </c>
      <c r="D53">
        <v>269</v>
      </c>
      <c r="F53" s="2">
        <v>46112.367521307868</v>
      </c>
      <c r="G53" s="3">
        <v>46112</v>
      </c>
      <c r="H53" t="s">
        <v>13</v>
      </c>
      <c r="I53">
        <v>8</v>
      </c>
    </row>
    <row r="54" spans="1:9" x14ac:dyDescent="0.2">
      <c r="A54" t="s">
        <v>153</v>
      </c>
      <c r="B54" t="s">
        <v>9</v>
      </c>
      <c r="C54" s="2">
        <v>46112.66108766204</v>
      </c>
      <c r="D54">
        <v>12</v>
      </c>
      <c r="F54" s="2">
        <v>46112.369420995368</v>
      </c>
      <c r="G54" s="3">
        <v>46112</v>
      </c>
      <c r="H54" t="s">
        <v>13</v>
      </c>
      <c r="I54">
        <v>8</v>
      </c>
    </row>
    <row r="55" spans="1:9" x14ac:dyDescent="0.2">
      <c r="A55" t="s">
        <v>154</v>
      </c>
      <c r="B55" t="s">
        <v>9</v>
      </c>
      <c r="C55" s="2">
        <v>46112.71540872685</v>
      </c>
      <c r="D55">
        <v>269</v>
      </c>
      <c r="F55" s="2">
        <v>46112.423742060186</v>
      </c>
      <c r="G55" s="3">
        <v>46112</v>
      </c>
      <c r="H55" t="s">
        <v>13</v>
      </c>
      <c r="I55">
        <v>10</v>
      </c>
    </row>
    <row r="56" spans="1:9" x14ac:dyDescent="0.2">
      <c r="A56" t="s">
        <v>155</v>
      </c>
      <c r="B56" t="s">
        <v>9</v>
      </c>
      <c r="C56" s="2">
        <v>46112.718307141207</v>
      </c>
      <c r="D56">
        <v>3</v>
      </c>
      <c r="F56" s="2">
        <v>46112.426640474536</v>
      </c>
      <c r="G56" s="3">
        <v>46112</v>
      </c>
      <c r="H56" t="s">
        <v>13</v>
      </c>
      <c r="I56">
        <v>10</v>
      </c>
    </row>
    <row r="57" spans="1:9" x14ac:dyDescent="0.2">
      <c r="A57" t="s">
        <v>156</v>
      </c>
      <c r="B57" t="s">
        <v>9</v>
      </c>
      <c r="C57" s="2">
        <v>46112.893302789351</v>
      </c>
      <c r="D57">
        <v>269</v>
      </c>
      <c r="F57" s="2">
        <v>46112.601636122687</v>
      </c>
      <c r="G57" s="3">
        <v>46112</v>
      </c>
      <c r="H57" t="s">
        <v>13</v>
      </c>
      <c r="I57">
        <v>14</v>
      </c>
    </row>
    <row r="58" spans="1:9" x14ac:dyDescent="0.2">
      <c r="A58" t="s">
        <v>157</v>
      </c>
      <c r="B58" t="s">
        <v>9</v>
      </c>
      <c r="C58" s="2">
        <v>46112.91244591435</v>
      </c>
      <c r="D58">
        <v>3</v>
      </c>
      <c r="F58" s="2">
        <v>46112.620779247685</v>
      </c>
      <c r="G58" s="3">
        <v>46112</v>
      </c>
      <c r="H58" t="s">
        <v>13</v>
      </c>
      <c r="I58">
        <v>14</v>
      </c>
    </row>
    <row r="59" spans="1:9" x14ac:dyDescent="0.2">
      <c r="A59" t="s">
        <v>158</v>
      </c>
      <c r="B59" t="s">
        <v>9</v>
      </c>
      <c r="C59" s="2">
        <v>46112.931137418978</v>
      </c>
      <c r="D59">
        <v>202</v>
      </c>
      <c r="F59" s="2">
        <v>46112.639470752314</v>
      </c>
      <c r="G59" s="3">
        <v>46112</v>
      </c>
      <c r="H59" t="s">
        <v>13</v>
      </c>
      <c r="I59">
        <v>15</v>
      </c>
    </row>
    <row r="60" spans="1:9" x14ac:dyDescent="0.2">
      <c r="A60" t="s">
        <v>159</v>
      </c>
      <c r="B60" t="s">
        <v>9</v>
      </c>
      <c r="C60" s="2">
        <v>46112.99866247685</v>
      </c>
      <c r="D60">
        <v>202</v>
      </c>
      <c r="F60" s="2">
        <v>46112.706995810186</v>
      </c>
      <c r="G60" s="3">
        <v>46112</v>
      </c>
      <c r="H60" t="s">
        <v>13</v>
      </c>
      <c r="I60">
        <v>16</v>
      </c>
    </row>
    <row r="61" spans="1:9" x14ac:dyDescent="0.2">
      <c r="A61" t="s">
        <v>160</v>
      </c>
      <c r="B61" t="s">
        <v>9</v>
      </c>
      <c r="C61" s="2">
        <v>46113.124473912038</v>
      </c>
      <c r="D61">
        <v>3</v>
      </c>
      <c r="F61" s="2">
        <v>46112.832807245373</v>
      </c>
      <c r="G61" s="3">
        <v>46112</v>
      </c>
      <c r="H61" t="s">
        <v>13</v>
      </c>
      <c r="I61">
        <v>19</v>
      </c>
    </row>
    <row r="62" spans="1:9" x14ac:dyDescent="0.2">
      <c r="A62" t="s">
        <v>161</v>
      </c>
      <c r="B62" t="s">
        <v>9</v>
      </c>
      <c r="C62" s="2">
        <v>46113.125051875002</v>
      </c>
      <c r="D62">
        <v>3</v>
      </c>
      <c r="F62" s="2">
        <v>46112.833385208331</v>
      </c>
      <c r="G62" s="3">
        <v>46112</v>
      </c>
      <c r="H62" t="s">
        <v>13</v>
      </c>
      <c r="I62">
        <v>20</v>
      </c>
    </row>
    <row r="63" spans="1:9" x14ac:dyDescent="0.2">
      <c r="A63" t="s">
        <v>162</v>
      </c>
      <c r="B63" t="s">
        <v>9</v>
      </c>
      <c r="C63" s="2">
        <v>46113.344857129632</v>
      </c>
      <c r="D63">
        <v>3</v>
      </c>
      <c r="F63" s="2">
        <v>46113.053190462961</v>
      </c>
      <c r="G63" s="3">
        <v>46113</v>
      </c>
      <c r="H63" t="s">
        <v>17</v>
      </c>
      <c r="I63">
        <v>1</v>
      </c>
    </row>
    <row r="64" spans="1:9" x14ac:dyDescent="0.2">
      <c r="A64" t="s">
        <v>163</v>
      </c>
      <c r="B64" t="s">
        <v>9</v>
      </c>
      <c r="C64" s="2">
        <v>46113.404900312496</v>
      </c>
      <c r="D64">
        <v>3</v>
      </c>
      <c r="E64" s="7" t="s">
        <v>27</v>
      </c>
      <c r="F64" s="2">
        <v>46113.113233645832</v>
      </c>
      <c r="G64" s="3">
        <v>46113</v>
      </c>
      <c r="H64" t="s">
        <v>17</v>
      </c>
      <c r="I64">
        <v>2</v>
      </c>
    </row>
    <row r="65" spans="1:9" x14ac:dyDescent="0.2">
      <c r="A65" t="s">
        <v>164</v>
      </c>
      <c r="B65" t="s">
        <v>9</v>
      </c>
      <c r="C65" s="2">
        <v>46113.520975937499</v>
      </c>
      <c r="D65">
        <v>3</v>
      </c>
      <c r="F65" s="2">
        <v>46113.229309270835</v>
      </c>
      <c r="G65" s="3">
        <v>46113</v>
      </c>
      <c r="H65" t="s">
        <v>17</v>
      </c>
      <c r="I65">
        <v>5</v>
      </c>
    </row>
    <row r="66" spans="1:9" x14ac:dyDescent="0.2">
      <c r="A66" t="s">
        <v>165</v>
      </c>
      <c r="B66" t="s">
        <v>9</v>
      </c>
      <c r="C66" s="2">
        <v>46113.557682893515</v>
      </c>
      <c r="D66">
        <v>202</v>
      </c>
      <c r="F66" s="2">
        <v>46113.266016226851</v>
      </c>
      <c r="G66" s="3">
        <v>46113</v>
      </c>
      <c r="H66" t="s">
        <v>17</v>
      </c>
      <c r="I66">
        <v>6</v>
      </c>
    </row>
    <row r="67" spans="1:9" x14ac:dyDescent="0.2">
      <c r="A67" t="s">
        <v>166</v>
      </c>
      <c r="B67" t="s">
        <v>9</v>
      </c>
      <c r="C67" s="2">
        <v>46113.584723032407</v>
      </c>
      <c r="D67">
        <v>202</v>
      </c>
      <c r="F67" s="2">
        <v>46113.293056365743</v>
      </c>
      <c r="G67" s="3">
        <v>46113</v>
      </c>
      <c r="H67" t="s">
        <v>17</v>
      </c>
      <c r="I67">
        <v>7</v>
      </c>
    </row>
    <row r="68" spans="1:9" x14ac:dyDescent="0.2">
      <c r="A68" t="s">
        <v>167</v>
      </c>
      <c r="B68" t="s">
        <v>9</v>
      </c>
      <c r="C68" s="2">
        <v>46113.594744872687</v>
      </c>
      <c r="D68">
        <v>9</v>
      </c>
      <c r="F68" s="2">
        <v>46113.303078206016</v>
      </c>
      <c r="G68" s="3">
        <v>46113</v>
      </c>
      <c r="H68" t="s">
        <v>17</v>
      </c>
      <c r="I68">
        <v>7</v>
      </c>
    </row>
    <row r="69" spans="1:9" x14ac:dyDescent="0.2">
      <c r="A69" t="s">
        <v>168</v>
      </c>
      <c r="B69" t="s">
        <v>9</v>
      </c>
      <c r="C69" s="2">
        <v>46113.722958078703</v>
      </c>
      <c r="D69">
        <v>3</v>
      </c>
      <c r="F69" s="2">
        <v>46113.431291412038</v>
      </c>
      <c r="G69" s="3">
        <v>46113</v>
      </c>
      <c r="H69" t="s">
        <v>17</v>
      </c>
      <c r="I69">
        <v>10</v>
      </c>
    </row>
    <row r="70" spans="1:9" x14ac:dyDescent="0.2">
      <c r="A70" t="s">
        <v>169</v>
      </c>
      <c r="B70" t="s">
        <v>9</v>
      </c>
      <c r="C70" s="2">
        <v>46113.732561331017</v>
      </c>
      <c r="D70">
        <v>3</v>
      </c>
      <c r="F70" s="2">
        <v>46113.440894664353</v>
      </c>
      <c r="G70" s="3">
        <v>46113</v>
      </c>
      <c r="H70" t="s">
        <v>17</v>
      </c>
      <c r="I70">
        <v>10</v>
      </c>
    </row>
    <row r="71" spans="1:9" x14ac:dyDescent="0.2">
      <c r="A71" t="s">
        <v>170</v>
      </c>
      <c r="B71" t="s">
        <v>9</v>
      </c>
      <c r="C71" s="2">
        <v>46113.753175590275</v>
      </c>
      <c r="D71">
        <v>3</v>
      </c>
      <c r="E71" s="7" t="s">
        <v>114</v>
      </c>
      <c r="F71" s="2">
        <v>46113.46150892361</v>
      </c>
      <c r="G71" s="3">
        <v>46113</v>
      </c>
      <c r="H71" t="s">
        <v>17</v>
      </c>
      <c r="I71">
        <v>11</v>
      </c>
    </row>
    <row r="72" spans="1:9" x14ac:dyDescent="0.2">
      <c r="A72" t="s">
        <v>171</v>
      </c>
      <c r="B72" t="s">
        <v>9</v>
      </c>
      <c r="C72" s="2">
        <v>46113.756976006945</v>
      </c>
      <c r="D72">
        <v>3</v>
      </c>
      <c r="F72" s="2">
        <v>46113.465309340281</v>
      </c>
      <c r="G72" s="3">
        <v>46113</v>
      </c>
      <c r="H72" t="s">
        <v>17</v>
      </c>
      <c r="I72">
        <v>11</v>
      </c>
    </row>
    <row r="73" spans="1:9" x14ac:dyDescent="0.2">
      <c r="A73" t="s">
        <v>172</v>
      </c>
      <c r="B73" t="s">
        <v>9</v>
      </c>
      <c r="C73" s="2">
        <v>46113.777937881947</v>
      </c>
      <c r="D73">
        <v>202</v>
      </c>
      <c r="F73" s="2">
        <v>46113.486271215275</v>
      </c>
      <c r="G73" s="3">
        <v>46113</v>
      </c>
      <c r="H73" t="s">
        <v>17</v>
      </c>
      <c r="I73">
        <v>11</v>
      </c>
    </row>
    <row r="74" spans="1:9" x14ac:dyDescent="0.2">
      <c r="A74" t="s">
        <v>173</v>
      </c>
      <c r="B74" t="s">
        <v>9</v>
      </c>
      <c r="C74" s="2">
        <v>46113.845771412038</v>
      </c>
      <c r="D74">
        <v>269</v>
      </c>
      <c r="E74" s="7" t="s">
        <v>114</v>
      </c>
      <c r="F74" s="2">
        <v>46113.554104745373</v>
      </c>
      <c r="G74" s="3">
        <v>46113</v>
      </c>
      <c r="H74" t="s">
        <v>17</v>
      </c>
      <c r="I74">
        <v>13</v>
      </c>
    </row>
    <row r="75" spans="1:9" x14ac:dyDescent="0.2">
      <c r="A75" t="s">
        <v>174</v>
      </c>
      <c r="B75" t="s">
        <v>9</v>
      </c>
      <c r="C75" s="2">
        <v>46113.860718622687</v>
      </c>
      <c r="D75">
        <v>3</v>
      </c>
      <c r="F75" s="2">
        <v>46113.569051956016</v>
      </c>
      <c r="G75" s="3">
        <v>46113</v>
      </c>
      <c r="H75" t="s">
        <v>17</v>
      </c>
      <c r="I75">
        <v>13</v>
      </c>
    </row>
    <row r="76" spans="1:9" x14ac:dyDescent="0.2">
      <c r="A76" t="s">
        <v>175</v>
      </c>
      <c r="B76" t="s">
        <v>9</v>
      </c>
      <c r="C76" s="2">
        <v>46113.862725405095</v>
      </c>
      <c r="D76">
        <v>202</v>
      </c>
      <c r="F76" s="2">
        <v>46113.571058738424</v>
      </c>
      <c r="G76" s="3">
        <v>46113</v>
      </c>
      <c r="H76" t="s">
        <v>17</v>
      </c>
      <c r="I76">
        <v>13</v>
      </c>
    </row>
    <row r="77" spans="1:9" x14ac:dyDescent="0.2">
      <c r="A77" t="s">
        <v>176</v>
      </c>
      <c r="B77" t="s">
        <v>9</v>
      </c>
      <c r="C77" s="2">
        <v>46113.889095358798</v>
      </c>
      <c r="D77">
        <v>202</v>
      </c>
      <c r="F77" s="2">
        <v>46113.597428692126</v>
      </c>
      <c r="G77" s="3">
        <v>46113</v>
      </c>
      <c r="H77" t="s">
        <v>17</v>
      </c>
      <c r="I77">
        <v>14</v>
      </c>
    </row>
    <row r="78" spans="1:9" x14ac:dyDescent="0.2">
      <c r="A78" t="s">
        <v>177</v>
      </c>
      <c r="B78" t="s">
        <v>9</v>
      </c>
      <c r="C78" s="2">
        <v>46113.907371296293</v>
      </c>
      <c r="D78">
        <v>3</v>
      </c>
      <c r="F78" s="2">
        <v>46113.615704629628</v>
      </c>
      <c r="G78" s="3">
        <v>46113</v>
      </c>
      <c r="H78" t="s">
        <v>17</v>
      </c>
      <c r="I78">
        <v>14</v>
      </c>
    </row>
    <row r="79" spans="1:9" x14ac:dyDescent="0.2">
      <c r="A79" t="s">
        <v>178</v>
      </c>
      <c r="B79" t="s">
        <v>9</v>
      </c>
      <c r="C79" s="2">
        <v>46114.297608472225</v>
      </c>
      <c r="D79">
        <v>3</v>
      </c>
      <c r="E79" s="7" t="s">
        <v>179</v>
      </c>
      <c r="F79" s="2">
        <v>46114.005941805553</v>
      </c>
      <c r="G79" s="3">
        <v>46114</v>
      </c>
      <c r="H79" t="s">
        <v>19</v>
      </c>
      <c r="I79">
        <v>0</v>
      </c>
    </row>
    <row r="80" spans="1:9" x14ac:dyDescent="0.2">
      <c r="A80" t="s">
        <v>180</v>
      </c>
      <c r="B80" t="s">
        <v>9</v>
      </c>
      <c r="C80" s="2">
        <v>46114.321255416668</v>
      </c>
      <c r="D80">
        <v>9</v>
      </c>
      <c r="F80" s="2">
        <v>46114.029588750003</v>
      </c>
      <c r="G80" s="3">
        <v>46114</v>
      </c>
      <c r="H80" t="s">
        <v>19</v>
      </c>
      <c r="I80">
        <v>0</v>
      </c>
    </row>
    <row r="81" spans="1:9" x14ac:dyDescent="0.2">
      <c r="A81" t="s">
        <v>181</v>
      </c>
      <c r="B81" t="s">
        <v>9</v>
      </c>
      <c r="C81" s="2">
        <v>46114.330194270835</v>
      </c>
      <c r="D81">
        <v>269</v>
      </c>
      <c r="F81" s="2">
        <v>46114.038527604163</v>
      </c>
      <c r="G81" s="3">
        <v>46114</v>
      </c>
      <c r="H81" t="s">
        <v>19</v>
      </c>
      <c r="I81">
        <v>0</v>
      </c>
    </row>
    <row r="82" spans="1:9" x14ac:dyDescent="0.2">
      <c r="A82" t="s">
        <v>182</v>
      </c>
      <c r="B82" t="s">
        <v>9</v>
      </c>
      <c r="C82" s="2">
        <v>46114.338935879627</v>
      </c>
      <c r="D82">
        <v>269</v>
      </c>
      <c r="F82" s="2">
        <v>46114.047269212962</v>
      </c>
      <c r="G82" s="3">
        <v>46114</v>
      </c>
      <c r="H82" t="s">
        <v>19</v>
      </c>
      <c r="I82">
        <v>1</v>
      </c>
    </row>
    <row r="83" spans="1:9" x14ac:dyDescent="0.2">
      <c r="A83" t="s">
        <v>183</v>
      </c>
      <c r="B83" t="s">
        <v>9</v>
      </c>
      <c r="C83" s="2">
        <v>46114.358396354168</v>
      </c>
      <c r="D83">
        <v>3</v>
      </c>
      <c r="F83" s="2">
        <v>46114.066729687504</v>
      </c>
      <c r="G83" s="3">
        <v>46114</v>
      </c>
      <c r="H83" t="s">
        <v>19</v>
      </c>
      <c r="I83">
        <v>1</v>
      </c>
    </row>
    <row r="84" spans="1:9" x14ac:dyDescent="0.2">
      <c r="A84" t="s">
        <v>184</v>
      </c>
      <c r="B84" t="s">
        <v>9</v>
      </c>
      <c r="C84" s="2">
        <v>46114.412862662037</v>
      </c>
      <c r="D84">
        <v>269</v>
      </c>
      <c r="E84" s="7" t="s">
        <v>114</v>
      </c>
      <c r="F84" s="2">
        <v>46114.121195995373</v>
      </c>
      <c r="G84" s="3">
        <v>46114</v>
      </c>
      <c r="H84" t="s">
        <v>19</v>
      </c>
      <c r="I84">
        <v>2</v>
      </c>
    </row>
    <row r="85" spans="1:9" x14ac:dyDescent="0.2">
      <c r="A85" t="s">
        <v>185</v>
      </c>
      <c r="B85" t="s">
        <v>9</v>
      </c>
      <c r="C85" s="2">
        <v>46114.420552280091</v>
      </c>
      <c r="D85">
        <v>269</v>
      </c>
      <c r="E85" s="7" t="s">
        <v>114</v>
      </c>
      <c r="F85" s="2">
        <v>46114.128885613427</v>
      </c>
      <c r="G85" s="3">
        <v>46114</v>
      </c>
      <c r="H85" t="s">
        <v>19</v>
      </c>
      <c r="I85">
        <v>3</v>
      </c>
    </row>
    <row r="86" spans="1:9" x14ac:dyDescent="0.2">
      <c r="A86" t="s">
        <v>186</v>
      </c>
      <c r="B86" t="s">
        <v>9</v>
      </c>
      <c r="C86" s="2">
        <v>46114.456997928239</v>
      </c>
      <c r="D86">
        <v>3</v>
      </c>
      <c r="F86" s="2">
        <v>46114.165331261574</v>
      </c>
      <c r="G86" s="3">
        <v>46114</v>
      </c>
      <c r="H86" t="s">
        <v>19</v>
      </c>
      <c r="I86">
        <v>3</v>
      </c>
    </row>
    <row r="87" spans="1:9" x14ac:dyDescent="0.2">
      <c r="A87" t="s">
        <v>187</v>
      </c>
      <c r="B87" t="s">
        <v>9</v>
      </c>
      <c r="C87" s="2">
        <v>46114.462788807868</v>
      </c>
      <c r="D87">
        <v>3</v>
      </c>
      <c r="F87" s="2">
        <v>46114.171122141204</v>
      </c>
      <c r="G87" s="3">
        <v>46114</v>
      </c>
      <c r="H87" t="s">
        <v>19</v>
      </c>
      <c r="I87">
        <v>4</v>
      </c>
    </row>
    <row r="88" spans="1:9" x14ac:dyDescent="0.2">
      <c r="A88" t="s">
        <v>188</v>
      </c>
      <c r="B88" t="s">
        <v>9</v>
      </c>
      <c r="C88" s="2">
        <v>46114.52913790509</v>
      </c>
      <c r="D88">
        <v>3</v>
      </c>
      <c r="F88" s="2">
        <v>46114.237471238426</v>
      </c>
      <c r="G88" s="3">
        <v>46114</v>
      </c>
      <c r="H88" t="s">
        <v>19</v>
      </c>
      <c r="I88">
        <v>5</v>
      </c>
    </row>
    <row r="89" spans="1:9" x14ac:dyDescent="0.2">
      <c r="A89" t="s">
        <v>189</v>
      </c>
      <c r="B89" t="s">
        <v>9</v>
      </c>
      <c r="C89" s="2">
        <v>46114.586061550923</v>
      </c>
      <c r="D89">
        <v>3</v>
      </c>
      <c r="F89" s="2">
        <v>46114.294394884259</v>
      </c>
      <c r="G89" s="3">
        <v>46114</v>
      </c>
      <c r="H89" t="s">
        <v>19</v>
      </c>
      <c r="I89">
        <v>7</v>
      </c>
    </row>
    <row r="90" spans="1:9" x14ac:dyDescent="0.2">
      <c r="A90" t="s">
        <v>190</v>
      </c>
      <c r="B90" t="s">
        <v>9</v>
      </c>
      <c r="C90" s="2">
        <v>46114.60544496528</v>
      </c>
      <c r="D90">
        <v>3</v>
      </c>
      <c r="E90" s="7" t="s">
        <v>179</v>
      </c>
      <c r="F90" s="2">
        <v>46114.313778298609</v>
      </c>
      <c r="G90" s="3">
        <v>46114</v>
      </c>
      <c r="H90" t="s">
        <v>19</v>
      </c>
      <c r="I90">
        <v>7</v>
      </c>
    </row>
    <row r="91" spans="1:9" x14ac:dyDescent="0.2">
      <c r="A91" t="s">
        <v>191</v>
      </c>
      <c r="B91" t="s">
        <v>9</v>
      </c>
      <c r="C91" s="2">
        <v>46114.651607488428</v>
      </c>
      <c r="D91">
        <v>202</v>
      </c>
      <c r="F91" s="2">
        <v>46114.359940821756</v>
      </c>
      <c r="G91" s="3">
        <v>46114</v>
      </c>
      <c r="H91" t="s">
        <v>19</v>
      </c>
      <c r="I91">
        <v>8</v>
      </c>
    </row>
    <row r="92" spans="1:9" x14ac:dyDescent="0.2">
      <c r="A92" t="s">
        <v>192</v>
      </c>
      <c r="B92" t="s">
        <v>9</v>
      </c>
      <c r="C92" s="2">
        <v>46114.710991782405</v>
      </c>
      <c r="D92">
        <v>3</v>
      </c>
      <c r="F92" s="2">
        <v>46114.419325115741</v>
      </c>
      <c r="G92" s="3">
        <v>46114</v>
      </c>
      <c r="H92" t="s">
        <v>19</v>
      </c>
      <c r="I92">
        <v>10</v>
      </c>
    </row>
    <row r="93" spans="1:9" x14ac:dyDescent="0.2">
      <c r="A93" t="s">
        <v>193</v>
      </c>
      <c r="B93" t="s">
        <v>9</v>
      </c>
      <c r="C93" s="2">
        <v>46114.753645034725</v>
      </c>
      <c r="D93">
        <v>3</v>
      </c>
      <c r="F93" s="2">
        <v>46114.461978368054</v>
      </c>
      <c r="G93" s="3">
        <v>46114</v>
      </c>
      <c r="H93" t="s">
        <v>19</v>
      </c>
      <c r="I93">
        <v>11</v>
      </c>
    </row>
    <row r="94" spans="1:9" x14ac:dyDescent="0.2">
      <c r="A94" t="s">
        <v>194</v>
      </c>
      <c r="B94" t="s">
        <v>9</v>
      </c>
      <c r="C94" s="2">
        <v>46115.042136898148</v>
      </c>
      <c r="D94">
        <v>202</v>
      </c>
      <c r="F94" s="2">
        <v>46114.750470231484</v>
      </c>
      <c r="G94" s="3">
        <v>46114</v>
      </c>
      <c r="H94" t="s">
        <v>19</v>
      </c>
      <c r="I94">
        <v>18</v>
      </c>
    </row>
    <row r="95" spans="1:9" x14ac:dyDescent="0.2">
      <c r="A95" t="s">
        <v>195</v>
      </c>
      <c r="B95" t="s">
        <v>9</v>
      </c>
      <c r="C95" s="2">
        <v>46115.184179398151</v>
      </c>
      <c r="D95">
        <v>3</v>
      </c>
      <c r="F95" s="2">
        <v>46114.89251273148</v>
      </c>
      <c r="G95" s="3">
        <v>46114</v>
      </c>
      <c r="H95" t="s">
        <v>19</v>
      </c>
      <c r="I95">
        <v>21</v>
      </c>
    </row>
    <row r="96" spans="1:9" x14ac:dyDescent="0.2">
      <c r="A96" t="s">
        <v>196</v>
      </c>
      <c r="B96" t="s">
        <v>9</v>
      </c>
      <c r="C96" s="2">
        <v>46115.638959305557</v>
      </c>
      <c r="D96">
        <v>3</v>
      </c>
      <c r="E96" s="7" t="s">
        <v>179</v>
      </c>
      <c r="F96" s="2">
        <v>46115.347292638886</v>
      </c>
      <c r="G96" s="3">
        <v>46115</v>
      </c>
      <c r="H96" t="s">
        <v>20</v>
      </c>
      <c r="I96">
        <v>8</v>
      </c>
    </row>
    <row r="97" spans="1:9" x14ac:dyDescent="0.2">
      <c r="A97" t="s">
        <v>197</v>
      </c>
      <c r="B97" t="s">
        <v>9</v>
      </c>
      <c r="C97" s="2">
        <v>46116.525549861108</v>
      </c>
      <c r="D97">
        <v>3</v>
      </c>
      <c r="F97" s="2">
        <v>46116.233883194443</v>
      </c>
      <c r="G97" s="3">
        <v>46116</v>
      </c>
      <c r="H97" t="s">
        <v>21</v>
      </c>
      <c r="I97">
        <v>5</v>
      </c>
    </row>
    <row r="98" spans="1:9" x14ac:dyDescent="0.2">
      <c r="A98" t="s">
        <v>198</v>
      </c>
      <c r="B98" t="s">
        <v>9</v>
      </c>
      <c r="C98" s="2">
        <v>46116.608910937503</v>
      </c>
      <c r="D98">
        <v>3</v>
      </c>
      <c r="F98" s="2">
        <v>46116.317244270831</v>
      </c>
      <c r="G98" s="3">
        <v>46116</v>
      </c>
      <c r="H98" t="s">
        <v>21</v>
      </c>
      <c r="I98">
        <v>7</v>
      </c>
    </row>
    <row r="99" spans="1:9" x14ac:dyDescent="0.2">
      <c r="A99" t="s">
        <v>199</v>
      </c>
      <c r="B99" t="s">
        <v>9</v>
      </c>
      <c r="C99" s="2">
        <v>46117.004451388886</v>
      </c>
      <c r="D99">
        <v>3</v>
      </c>
      <c r="F99" s="2">
        <v>46116.712784722222</v>
      </c>
      <c r="G99" s="3">
        <v>46116</v>
      </c>
      <c r="H99" t="s">
        <v>21</v>
      </c>
      <c r="I99">
        <v>17</v>
      </c>
    </row>
    <row r="100" spans="1:9" x14ac:dyDescent="0.2">
      <c r="A100" t="s">
        <v>200</v>
      </c>
      <c r="B100" t="s">
        <v>9</v>
      </c>
      <c r="C100" s="2">
        <v>46118.288688761575</v>
      </c>
      <c r="D100">
        <v>269</v>
      </c>
      <c r="F100" s="2">
        <v>46117.997022094911</v>
      </c>
      <c r="G100" s="3">
        <v>46117</v>
      </c>
      <c r="H100" t="s">
        <v>22</v>
      </c>
      <c r="I100">
        <v>23</v>
      </c>
    </row>
    <row r="101" spans="1:9" x14ac:dyDescent="0.2">
      <c r="A101" t="s">
        <v>201</v>
      </c>
      <c r="B101" t="s">
        <v>9</v>
      </c>
      <c r="C101" s="2">
        <v>46118.310223159722</v>
      </c>
      <c r="D101">
        <v>269</v>
      </c>
      <c r="F101" s="2">
        <v>46118.018556493058</v>
      </c>
      <c r="G101" s="3">
        <v>46118</v>
      </c>
      <c r="H101" t="s">
        <v>10</v>
      </c>
      <c r="I101">
        <v>0</v>
      </c>
    </row>
    <row r="102" spans="1:9" x14ac:dyDescent="0.2">
      <c r="A102" t="s">
        <v>202</v>
      </c>
      <c r="B102" t="s">
        <v>9</v>
      </c>
      <c r="C102" s="2">
        <v>46118.348491215278</v>
      </c>
      <c r="D102">
        <v>269</v>
      </c>
      <c r="F102" s="2">
        <v>46118.056824548614</v>
      </c>
      <c r="G102" s="3">
        <v>46118</v>
      </c>
      <c r="H102" t="s">
        <v>10</v>
      </c>
      <c r="I102">
        <v>1</v>
      </c>
    </row>
    <row r="103" spans="1:9" x14ac:dyDescent="0.2">
      <c r="A103" t="s">
        <v>203</v>
      </c>
      <c r="B103" t="s">
        <v>9</v>
      </c>
      <c r="C103" s="2">
        <v>46118.606292951386</v>
      </c>
      <c r="D103">
        <v>202</v>
      </c>
      <c r="F103" s="2">
        <v>46118.314626284722</v>
      </c>
      <c r="G103" s="3">
        <v>46118</v>
      </c>
      <c r="H103" t="s">
        <v>10</v>
      </c>
      <c r="I103">
        <v>7</v>
      </c>
    </row>
    <row r="104" spans="1:9" x14ac:dyDescent="0.2">
      <c r="A104" t="s">
        <v>204</v>
      </c>
      <c r="B104" t="s">
        <v>9</v>
      </c>
      <c r="C104" s="2">
        <v>46118.62358295139</v>
      </c>
      <c r="D104">
        <v>269</v>
      </c>
      <c r="F104" s="2">
        <v>46118.331916284726</v>
      </c>
      <c r="G104" s="3">
        <v>46118</v>
      </c>
      <c r="H104" t="s">
        <v>10</v>
      </c>
      <c r="I104">
        <v>7</v>
      </c>
    </row>
    <row r="105" spans="1:9" x14ac:dyDescent="0.2">
      <c r="A105" t="s">
        <v>205</v>
      </c>
      <c r="B105" t="s">
        <v>9</v>
      </c>
      <c r="C105" s="2">
        <v>46118.627646759262</v>
      </c>
      <c r="D105">
        <v>269</v>
      </c>
      <c r="E105" s="7" t="s">
        <v>114</v>
      </c>
      <c r="F105" s="2">
        <v>46118.33598009259</v>
      </c>
      <c r="G105" s="3">
        <v>46118</v>
      </c>
      <c r="H105" t="s">
        <v>10</v>
      </c>
      <c r="I105">
        <v>8</v>
      </c>
    </row>
    <row r="106" spans="1:9" x14ac:dyDescent="0.2">
      <c r="A106" t="s">
        <v>206</v>
      </c>
      <c r="B106" t="s">
        <v>9</v>
      </c>
      <c r="C106" s="2">
        <v>46118.628313657406</v>
      </c>
      <c r="D106">
        <v>3</v>
      </c>
      <c r="E106" s="7" t="s">
        <v>136</v>
      </c>
      <c r="F106" s="2">
        <v>46118.336646990741</v>
      </c>
      <c r="G106" s="3">
        <v>46118</v>
      </c>
      <c r="H106" t="s">
        <v>10</v>
      </c>
      <c r="I106">
        <v>8</v>
      </c>
    </row>
    <row r="107" spans="1:9" x14ac:dyDescent="0.2">
      <c r="A107" t="s">
        <v>207</v>
      </c>
      <c r="B107" t="s">
        <v>9</v>
      </c>
      <c r="C107" s="2">
        <v>46118.640012442127</v>
      </c>
      <c r="D107">
        <v>269</v>
      </c>
      <c r="F107" s="2">
        <v>46118.348345775463</v>
      </c>
      <c r="G107" s="3">
        <v>46118</v>
      </c>
      <c r="H107" t="s">
        <v>10</v>
      </c>
      <c r="I107">
        <v>8</v>
      </c>
    </row>
    <row r="108" spans="1:9" x14ac:dyDescent="0.2">
      <c r="A108" t="s">
        <v>208</v>
      </c>
      <c r="B108" t="s">
        <v>9</v>
      </c>
      <c r="C108" s="2">
        <v>46118.695731886575</v>
      </c>
      <c r="D108">
        <v>202</v>
      </c>
      <c r="F108" s="2">
        <v>46118.404065219911</v>
      </c>
      <c r="G108" s="3">
        <v>46118</v>
      </c>
      <c r="H108" t="s">
        <v>10</v>
      </c>
      <c r="I108">
        <v>9</v>
      </c>
    </row>
    <row r="109" spans="1:9" x14ac:dyDescent="0.2">
      <c r="A109" t="s">
        <v>209</v>
      </c>
      <c r="B109" t="s">
        <v>9</v>
      </c>
      <c r="C109" s="2">
        <v>46118.696283067133</v>
      </c>
      <c r="D109">
        <v>3</v>
      </c>
      <c r="F109" s="2">
        <v>46118.404616400461</v>
      </c>
      <c r="G109" s="3">
        <v>46118</v>
      </c>
      <c r="H109" t="s">
        <v>10</v>
      </c>
      <c r="I109">
        <v>9</v>
      </c>
    </row>
    <row r="110" spans="1:9" x14ac:dyDescent="0.2">
      <c r="A110" t="s">
        <v>210</v>
      </c>
      <c r="B110" t="s">
        <v>9</v>
      </c>
      <c r="C110" s="2">
        <v>46118.751673101855</v>
      </c>
      <c r="D110">
        <v>3</v>
      </c>
      <c r="F110" s="2">
        <v>46118.460006435183</v>
      </c>
      <c r="G110" s="3">
        <v>46118</v>
      </c>
      <c r="H110" t="s">
        <v>10</v>
      </c>
      <c r="I110">
        <v>11</v>
      </c>
    </row>
    <row r="111" spans="1:9" x14ac:dyDescent="0.2">
      <c r="A111" t="s">
        <v>211</v>
      </c>
      <c r="B111" t="s">
        <v>9</v>
      </c>
      <c r="C111" s="2">
        <v>46118.864003796298</v>
      </c>
      <c r="D111">
        <v>202</v>
      </c>
      <c r="F111" s="2">
        <v>46118.572337129626</v>
      </c>
      <c r="G111" s="3">
        <v>46118</v>
      </c>
      <c r="H111" t="s">
        <v>10</v>
      </c>
      <c r="I111">
        <v>13</v>
      </c>
    </row>
    <row r="112" spans="1:9" x14ac:dyDescent="0.2">
      <c r="A112" t="s">
        <v>212</v>
      </c>
      <c r="B112" t="s">
        <v>9</v>
      </c>
      <c r="C112" s="2">
        <v>46119.283642025461</v>
      </c>
      <c r="D112">
        <v>269</v>
      </c>
      <c r="E112" s="7" t="s">
        <v>213</v>
      </c>
      <c r="F112" s="2">
        <v>46118.991975358796</v>
      </c>
      <c r="G112" s="3">
        <v>46118</v>
      </c>
      <c r="H112" t="s">
        <v>10</v>
      </c>
      <c r="I112">
        <v>23</v>
      </c>
    </row>
    <row r="113" spans="1:9" x14ac:dyDescent="0.2">
      <c r="A113" t="s">
        <v>214</v>
      </c>
      <c r="B113" t="s">
        <v>9</v>
      </c>
      <c r="C113" s="2">
        <v>46119.326549004632</v>
      </c>
      <c r="D113">
        <v>3</v>
      </c>
      <c r="E113" s="7" t="s">
        <v>179</v>
      </c>
      <c r="F113" s="2">
        <v>46119.034882337961</v>
      </c>
      <c r="G113" s="3">
        <v>46119</v>
      </c>
      <c r="H113" t="s">
        <v>13</v>
      </c>
      <c r="I113">
        <v>0</v>
      </c>
    </row>
    <row r="114" spans="1:9" x14ac:dyDescent="0.2">
      <c r="A114" t="s">
        <v>215</v>
      </c>
      <c r="B114" t="s">
        <v>9</v>
      </c>
      <c r="C114" s="2">
        <v>46119.337713159723</v>
      </c>
      <c r="D114">
        <v>269</v>
      </c>
      <c r="E114" s="7" t="s">
        <v>213</v>
      </c>
      <c r="F114" s="2">
        <v>46119.046046493058</v>
      </c>
      <c r="G114" s="3">
        <v>46119</v>
      </c>
      <c r="H114" t="s">
        <v>13</v>
      </c>
      <c r="I114">
        <v>1</v>
      </c>
    </row>
    <row r="115" spans="1:9" x14ac:dyDescent="0.2">
      <c r="A115" t="s">
        <v>216</v>
      </c>
      <c r="B115" t="s">
        <v>9</v>
      </c>
      <c r="C115" s="2">
        <v>46119.403283900465</v>
      </c>
      <c r="D115">
        <v>269</v>
      </c>
      <c r="F115" s="2">
        <v>46119.111617233793</v>
      </c>
      <c r="G115" s="3">
        <v>46119</v>
      </c>
      <c r="H115" t="s">
        <v>13</v>
      </c>
      <c r="I115">
        <v>2</v>
      </c>
    </row>
    <row r="116" spans="1:9" x14ac:dyDescent="0.2">
      <c r="A116" t="s">
        <v>217</v>
      </c>
      <c r="B116" t="s">
        <v>9</v>
      </c>
      <c r="C116" s="2">
        <v>46119.452217118058</v>
      </c>
      <c r="D116">
        <v>269</v>
      </c>
      <c r="E116" s="7" t="s">
        <v>213</v>
      </c>
      <c r="F116" s="2">
        <v>46119.160550451386</v>
      </c>
      <c r="G116" s="3">
        <v>46119</v>
      </c>
      <c r="H116" t="s">
        <v>13</v>
      </c>
      <c r="I116">
        <v>3</v>
      </c>
    </row>
    <row r="117" spans="1:9" x14ac:dyDescent="0.2">
      <c r="A117" t="s">
        <v>218</v>
      </c>
      <c r="B117" t="s">
        <v>9</v>
      </c>
      <c r="C117" s="2">
        <v>46119.48151420139</v>
      </c>
      <c r="D117">
        <v>3</v>
      </c>
      <c r="E117" s="7" t="s">
        <v>33</v>
      </c>
      <c r="F117" s="2">
        <v>46119.189847534719</v>
      </c>
      <c r="G117" s="3">
        <v>46119</v>
      </c>
      <c r="H117" t="s">
        <v>13</v>
      </c>
      <c r="I117">
        <v>4</v>
      </c>
    </row>
    <row r="118" spans="1:9" x14ac:dyDescent="0.2">
      <c r="A118" t="s">
        <v>219</v>
      </c>
      <c r="B118" t="s">
        <v>9</v>
      </c>
      <c r="C118" s="2">
        <v>46119.485715717594</v>
      </c>
      <c r="D118">
        <v>269</v>
      </c>
      <c r="F118" s="2">
        <v>46119.194049050922</v>
      </c>
      <c r="G118" s="3">
        <v>46119</v>
      </c>
      <c r="H118" t="s">
        <v>13</v>
      </c>
      <c r="I118">
        <v>4</v>
      </c>
    </row>
    <row r="119" spans="1:9" x14ac:dyDescent="0.2">
      <c r="A119" t="s">
        <v>220</v>
      </c>
      <c r="B119" t="s">
        <v>9</v>
      </c>
      <c r="C119" s="2">
        <v>46119.533546932871</v>
      </c>
      <c r="D119">
        <v>6036</v>
      </c>
      <c r="F119" s="2">
        <v>46119.241880266207</v>
      </c>
      <c r="G119" s="3">
        <v>46119</v>
      </c>
      <c r="H119" t="s">
        <v>13</v>
      </c>
      <c r="I119">
        <v>5</v>
      </c>
    </row>
    <row r="120" spans="1:9" x14ac:dyDescent="0.2">
      <c r="A120" t="s">
        <v>221</v>
      </c>
      <c r="B120" t="s">
        <v>9</v>
      </c>
      <c r="C120" s="2">
        <v>46119.60829178241</v>
      </c>
      <c r="D120">
        <v>12</v>
      </c>
      <c r="F120" s="2">
        <v>46119.316625115738</v>
      </c>
      <c r="G120" s="3">
        <v>46119</v>
      </c>
      <c r="H120" t="s">
        <v>13</v>
      </c>
      <c r="I120">
        <v>7</v>
      </c>
    </row>
    <row r="121" spans="1:9" x14ac:dyDescent="0.2">
      <c r="A121" t="s">
        <v>222</v>
      </c>
      <c r="B121" t="s">
        <v>9</v>
      </c>
      <c r="C121" s="2">
        <v>46119.608902905093</v>
      </c>
      <c r="D121">
        <v>3</v>
      </c>
      <c r="F121" s="2">
        <v>46119.317236238428</v>
      </c>
      <c r="G121" s="3">
        <v>46119</v>
      </c>
      <c r="H121" t="s">
        <v>13</v>
      </c>
      <c r="I121">
        <v>7</v>
      </c>
    </row>
    <row r="122" spans="1:9" x14ac:dyDescent="0.2">
      <c r="A122" t="s">
        <v>223</v>
      </c>
      <c r="B122" t="s">
        <v>9</v>
      </c>
      <c r="C122" s="2">
        <v>46119.616469340275</v>
      </c>
      <c r="D122">
        <v>269</v>
      </c>
      <c r="F122" s="2">
        <v>46119.324802673611</v>
      </c>
      <c r="G122" s="3">
        <v>46119</v>
      </c>
      <c r="H122" t="s">
        <v>13</v>
      </c>
      <c r="I122">
        <v>7</v>
      </c>
    </row>
    <row r="123" spans="1:9" x14ac:dyDescent="0.2">
      <c r="A123" t="s">
        <v>224</v>
      </c>
      <c r="B123" t="s">
        <v>9</v>
      </c>
      <c r="C123" s="2">
        <v>46119.628640462965</v>
      </c>
      <c r="D123">
        <v>3</v>
      </c>
      <c r="E123" s="7" t="s">
        <v>136</v>
      </c>
      <c r="F123" s="2">
        <v>46119.336973796293</v>
      </c>
      <c r="G123" s="3">
        <v>46119</v>
      </c>
      <c r="H123" t="s">
        <v>13</v>
      </c>
      <c r="I123">
        <v>8</v>
      </c>
    </row>
    <row r="124" spans="1:9" x14ac:dyDescent="0.2">
      <c r="A124" t="s">
        <v>225</v>
      </c>
      <c r="B124" t="s">
        <v>9</v>
      </c>
      <c r="C124" s="2">
        <v>46119.67596054398</v>
      </c>
      <c r="D124">
        <v>269</v>
      </c>
      <c r="F124" s="2">
        <v>46119.384293877316</v>
      </c>
      <c r="G124" s="3">
        <v>46119</v>
      </c>
      <c r="H124" t="s">
        <v>13</v>
      </c>
      <c r="I124">
        <v>9</v>
      </c>
    </row>
    <row r="125" spans="1:9" x14ac:dyDescent="0.2">
      <c r="A125" t="s">
        <v>226</v>
      </c>
      <c r="B125" t="s">
        <v>9</v>
      </c>
      <c r="C125" s="2">
        <v>46119.678023842593</v>
      </c>
      <c r="D125">
        <v>3</v>
      </c>
      <c r="F125" s="2">
        <v>46119.386357175928</v>
      </c>
      <c r="G125" s="3">
        <v>46119</v>
      </c>
      <c r="H125" t="s">
        <v>13</v>
      </c>
      <c r="I125">
        <v>9</v>
      </c>
    </row>
    <row r="126" spans="1:9" x14ac:dyDescent="0.2">
      <c r="A126" t="s">
        <v>227</v>
      </c>
      <c r="B126" t="s">
        <v>9</v>
      </c>
      <c r="C126" s="2">
        <v>46119.700895509261</v>
      </c>
      <c r="D126">
        <v>202</v>
      </c>
      <c r="F126" s="2">
        <v>46119.409228842589</v>
      </c>
      <c r="G126" s="3">
        <v>46119</v>
      </c>
      <c r="H126" t="s">
        <v>13</v>
      </c>
      <c r="I126">
        <v>9</v>
      </c>
    </row>
    <row r="127" spans="1:9" x14ac:dyDescent="0.2">
      <c r="A127" t="s">
        <v>228</v>
      </c>
      <c r="B127" t="s">
        <v>9</v>
      </c>
      <c r="C127" s="2">
        <v>46119.756601597219</v>
      </c>
      <c r="D127">
        <v>202</v>
      </c>
      <c r="F127" s="2">
        <v>46119.464934930555</v>
      </c>
      <c r="G127" s="3">
        <v>46119</v>
      </c>
      <c r="H127" t="s">
        <v>13</v>
      </c>
      <c r="I127">
        <v>11</v>
      </c>
    </row>
    <row r="128" spans="1:9" x14ac:dyDescent="0.2">
      <c r="A128" t="s">
        <v>229</v>
      </c>
      <c r="B128" t="s">
        <v>9</v>
      </c>
      <c r="C128" s="2">
        <v>46119.805731504632</v>
      </c>
      <c r="D128">
        <v>202</v>
      </c>
      <c r="F128" s="2">
        <v>46119.51406483796</v>
      </c>
      <c r="G128" s="3">
        <v>46119</v>
      </c>
      <c r="H128" t="s">
        <v>13</v>
      </c>
      <c r="I128">
        <v>12</v>
      </c>
    </row>
    <row r="129" spans="1:9" x14ac:dyDescent="0.2">
      <c r="A129" t="s">
        <v>230</v>
      </c>
      <c r="B129" t="s">
        <v>9</v>
      </c>
      <c r="C129" s="2">
        <v>46119.846942847224</v>
      </c>
      <c r="D129">
        <v>202</v>
      </c>
      <c r="F129" s="2">
        <v>46119.555276180552</v>
      </c>
      <c r="G129" s="3">
        <v>46119</v>
      </c>
      <c r="H129" t="s">
        <v>13</v>
      </c>
      <c r="I129">
        <v>13</v>
      </c>
    </row>
    <row r="130" spans="1:9" x14ac:dyDescent="0.2">
      <c r="A130" t="s">
        <v>231</v>
      </c>
      <c r="B130" t="s">
        <v>9</v>
      </c>
      <c r="C130" s="2">
        <v>46119.87671034722</v>
      </c>
      <c r="D130">
        <v>202</v>
      </c>
      <c r="F130" s="2">
        <v>46119.585043680556</v>
      </c>
      <c r="G130" s="3">
        <v>46119</v>
      </c>
      <c r="H130" t="s">
        <v>13</v>
      </c>
      <c r="I130">
        <v>14</v>
      </c>
    </row>
    <row r="131" spans="1:9" x14ac:dyDescent="0.2">
      <c r="A131" t="s">
        <v>232</v>
      </c>
      <c r="B131" t="s">
        <v>9</v>
      </c>
      <c r="C131" s="2">
        <v>46119.961088842596</v>
      </c>
      <c r="D131">
        <v>3</v>
      </c>
      <c r="F131" s="2">
        <v>46119.669422175924</v>
      </c>
      <c r="G131" s="3">
        <v>46119</v>
      </c>
      <c r="H131" t="s">
        <v>13</v>
      </c>
      <c r="I131">
        <v>16</v>
      </c>
    </row>
    <row r="132" spans="1:9" x14ac:dyDescent="0.2">
      <c r="A132" t="s">
        <v>233</v>
      </c>
      <c r="B132" t="s">
        <v>9</v>
      </c>
      <c r="C132" s="2">
        <v>46119.964531111109</v>
      </c>
      <c r="D132">
        <v>3</v>
      </c>
      <c r="F132" s="2">
        <v>46119.672864444445</v>
      </c>
      <c r="G132" s="3">
        <v>46119</v>
      </c>
      <c r="H132" t="s">
        <v>13</v>
      </c>
      <c r="I132">
        <v>16</v>
      </c>
    </row>
    <row r="133" spans="1:9" x14ac:dyDescent="0.2">
      <c r="A133" t="s">
        <v>234</v>
      </c>
      <c r="B133" t="s">
        <v>9</v>
      </c>
      <c r="C133" s="2">
        <v>46120.245105902781</v>
      </c>
      <c r="D133">
        <v>269</v>
      </c>
      <c r="E133" s="7" t="s">
        <v>235</v>
      </c>
      <c r="F133" s="2">
        <v>46119.953439236109</v>
      </c>
      <c r="G133" s="3">
        <v>46119</v>
      </c>
      <c r="H133" t="s">
        <v>13</v>
      </c>
      <c r="I133">
        <v>22</v>
      </c>
    </row>
    <row r="134" spans="1:9" x14ac:dyDescent="0.2">
      <c r="A134" t="s">
        <v>236</v>
      </c>
      <c r="B134" t="s">
        <v>9</v>
      </c>
      <c r="C134" s="2">
        <v>46120.261143356482</v>
      </c>
      <c r="D134">
        <v>202</v>
      </c>
      <c r="F134" s="2">
        <v>46119.969476689817</v>
      </c>
      <c r="G134" s="3">
        <v>46119</v>
      </c>
      <c r="H134" t="s">
        <v>13</v>
      </c>
      <c r="I134">
        <v>23</v>
      </c>
    </row>
    <row r="135" spans="1:9" x14ac:dyDescent="0.2">
      <c r="A135" t="s">
        <v>237</v>
      </c>
      <c r="B135" t="s">
        <v>9</v>
      </c>
      <c r="C135" s="2">
        <v>46120.267317303238</v>
      </c>
      <c r="D135">
        <v>3</v>
      </c>
      <c r="F135" s="2">
        <v>46119.975650636574</v>
      </c>
      <c r="G135" s="3">
        <v>46119</v>
      </c>
      <c r="H135" t="s">
        <v>13</v>
      </c>
      <c r="I135">
        <v>23</v>
      </c>
    </row>
    <row r="136" spans="1:9" x14ac:dyDescent="0.2">
      <c r="A136" t="s">
        <v>238</v>
      </c>
      <c r="B136" t="s">
        <v>9</v>
      </c>
      <c r="C136" s="2">
        <v>46120.292575196756</v>
      </c>
      <c r="D136">
        <v>3</v>
      </c>
      <c r="E136" s="7" t="s">
        <v>239</v>
      </c>
      <c r="F136" s="2">
        <v>46120.000908530092</v>
      </c>
      <c r="G136" s="3">
        <v>46120</v>
      </c>
      <c r="H136" t="s">
        <v>17</v>
      </c>
      <c r="I136">
        <v>0</v>
      </c>
    </row>
    <row r="137" spans="1:9" x14ac:dyDescent="0.2">
      <c r="A137" t="s">
        <v>240</v>
      </c>
      <c r="B137" t="s">
        <v>9</v>
      </c>
      <c r="C137" s="2">
        <v>46120.346764930553</v>
      </c>
      <c r="D137">
        <v>3</v>
      </c>
      <c r="E137" s="7" t="s">
        <v>179</v>
      </c>
      <c r="F137" s="2">
        <v>46120.055098263889</v>
      </c>
      <c r="G137" s="3">
        <v>46120</v>
      </c>
      <c r="H137" t="s">
        <v>17</v>
      </c>
      <c r="I137">
        <v>1</v>
      </c>
    </row>
    <row r="138" spans="1:9" x14ac:dyDescent="0.2">
      <c r="A138" t="s">
        <v>241</v>
      </c>
      <c r="B138" t="s">
        <v>9</v>
      </c>
      <c r="C138" s="2">
        <v>46120.371056018521</v>
      </c>
      <c r="D138">
        <v>3</v>
      </c>
      <c r="F138" s="2">
        <v>46120.079389351849</v>
      </c>
      <c r="G138" s="3">
        <v>46120</v>
      </c>
      <c r="H138" t="s">
        <v>17</v>
      </c>
      <c r="I138">
        <v>1</v>
      </c>
    </row>
    <row r="139" spans="1:9" x14ac:dyDescent="0.2">
      <c r="A139" t="s">
        <v>242</v>
      </c>
      <c r="B139" t="s">
        <v>9</v>
      </c>
      <c r="C139" s="2">
        <v>46120.377629386574</v>
      </c>
      <c r="D139">
        <v>12</v>
      </c>
      <c r="F139" s="2">
        <v>46120.08596271991</v>
      </c>
      <c r="G139" s="3">
        <v>46120</v>
      </c>
      <c r="H139" t="s">
        <v>17</v>
      </c>
      <c r="I139">
        <v>2</v>
      </c>
    </row>
    <row r="140" spans="1:9" x14ac:dyDescent="0.2">
      <c r="A140" t="s">
        <v>243</v>
      </c>
      <c r="B140" t="s">
        <v>9</v>
      </c>
      <c r="C140" s="2">
        <v>46120.41053346065</v>
      </c>
      <c r="D140">
        <v>9</v>
      </c>
      <c r="F140" s="2">
        <v>46120.118866793979</v>
      </c>
      <c r="G140" s="3">
        <v>46120</v>
      </c>
      <c r="H140" t="s">
        <v>17</v>
      </c>
      <c r="I140">
        <v>2</v>
      </c>
    </row>
    <row r="141" spans="1:9" x14ac:dyDescent="0.2">
      <c r="A141" t="s">
        <v>244</v>
      </c>
      <c r="B141" t="s">
        <v>9</v>
      </c>
      <c r="C141" s="2">
        <v>46120.446380763889</v>
      </c>
      <c r="D141">
        <v>3</v>
      </c>
      <c r="E141" s="7" t="s">
        <v>245</v>
      </c>
      <c r="F141" s="2">
        <v>46120.154714097225</v>
      </c>
      <c r="G141" s="3">
        <v>46120</v>
      </c>
      <c r="H141" t="s">
        <v>17</v>
      </c>
      <c r="I141">
        <v>3</v>
      </c>
    </row>
    <row r="142" spans="1:9" x14ac:dyDescent="0.2">
      <c r="A142" t="s">
        <v>246</v>
      </c>
      <c r="B142" t="s">
        <v>9</v>
      </c>
      <c r="C142" s="2">
        <v>46120.497760011574</v>
      </c>
      <c r="D142">
        <v>269</v>
      </c>
      <c r="F142" s="2">
        <v>46120.20609334491</v>
      </c>
      <c r="G142" s="3">
        <v>46120</v>
      </c>
      <c r="H142" t="s">
        <v>17</v>
      </c>
      <c r="I142">
        <v>4</v>
      </c>
    </row>
    <row r="143" spans="1:9" x14ac:dyDescent="0.2">
      <c r="A143" t="s">
        <v>247</v>
      </c>
      <c r="B143" t="s">
        <v>9</v>
      </c>
      <c r="C143" s="2">
        <v>46120.511986226855</v>
      </c>
      <c r="D143">
        <v>269</v>
      </c>
      <c r="F143" s="2">
        <v>46120.220319560183</v>
      </c>
      <c r="G143" s="3">
        <v>46120</v>
      </c>
      <c r="H143" t="s">
        <v>17</v>
      </c>
      <c r="I143">
        <v>5</v>
      </c>
    </row>
    <row r="144" spans="1:9" x14ac:dyDescent="0.2">
      <c r="A144" t="s">
        <v>248</v>
      </c>
      <c r="B144" t="s">
        <v>9</v>
      </c>
      <c r="C144" s="2">
        <v>46120.515446238423</v>
      </c>
      <c r="D144">
        <v>269</v>
      </c>
      <c r="F144" s="2">
        <v>46120.223779571759</v>
      </c>
      <c r="G144" s="3">
        <v>46120</v>
      </c>
      <c r="H144" t="s">
        <v>17</v>
      </c>
      <c r="I144">
        <v>5</v>
      </c>
    </row>
    <row r="145" spans="1:9" x14ac:dyDescent="0.2">
      <c r="A145" t="s">
        <v>249</v>
      </c>
      <c r="B145" t="s">
        <v>9</v>
      </c>
      <c r="C145" s="2">
        <v>46120.517616226854</v>
      </c>
      <c r="D145">
        <v>3</v>
      </c>
      <c r="F145" s="2">
        <v>46120.225949560183</v>
      </c>
      <c r="G145" s="3">
        <v>46120</v>
      </c>
      <c r="H145" t="s">
        <v>17</v>
      </c>
      <c r="I145">
        <v>5</v>
      </c>
    </row>
    <row r="146" spans="1:9" x14ac:dyDescent="0.2">
      <c r="A146" t="s">
        <v>250</v>
      </c>
      <c r="B146" t="s">
        <v>9</v>
      </c>
      <c r="C146" s="2">
        <v>46120.539423993054</v>
      </c>
      <c r="D146">
        <v>269</v>
      </c>
      <c r="F146" s="2">
        <v>46120.24775732639</v>
      </c>
      <c r="G146" s="3">
        <v>46120</v>
      </c>
      <c r="H146" t="s">
        <v>17</v>
      </c>
      <c r="I146">
        <v>5</v>
      </c>
    </row>
    <row r="147" spans="1:9" x14ac:dyDescent="0.2">
      <c r="A147" t="s">
        <v>251</v>
      </c>
      <c r="B147" t="s">
        <v>9</v>
      </c>
      <c r="C147" s="2">
        <v>46120.56236084491</v>
      </c>
      <c r="D147">
        <v>3</v>
      </c>
      <c r="E147" s="7" t="s">
        <v>179</v>
      </c>
      <c r="F147" s="2">
        <v>46120.270694178238</v>
      </c>
      <c r="G147" s="3">
        <v>46120</v>
      </c>
      <c r="H147" t="s">
        <v>17</v>
      </c>
      <c r="I147">
        <v>6</v>
      </c>
    </row>
    <row r="148" spans="1:9" x14ac:dyDescent="0.2">
      <c r="A148" t="s">
        <v>252</v>
      </c>
      <c r="B148" t="s">
        <v>9</v>
      </c>
      <c r="C148" s="2">
        <v>46120.562765497685</v>
      </c>
      <c r="D148">
        <v>269</v>
      </c>
      <c r="E148" s="7" t="s">
        <v>12</v>
      </c>
      <c r="F148" s="2">
        <v>46120.271098831021</v>
      </c>
      <c r="G148" s="3">
        <v>46120</v>
      </c>
      <c r="H148" t="s">
        <v>17</v>
      </c>
      <c r="I148">
        <v>6</v>
      </c>
    </row>
    <row r="149" spans="1:9" x14ac:dyDescent="0.2">
      <c r="A149" t="s">
        <v>253</v>
      </c>
      <c r="B149" t="s">
        <v>9</v>
      </c>
      <c r="C149" s="2">
        <v>46120.593139004632</v>
      </c>
      <c r="D149">
        <v>3</v>
      </c>
      <c r="F149" s="2">
        <v>46120.30147233796</v>
      </c>
      <c r="G149" s="3">
        <v>46120</v>
      </c>
      <c r="H149" t="s">
        <v>17</v>
      </c>
      <c r="I149">
        <v>7</v>
      </c>
    </row>
    <row r="150" spans="1:9" x14ac:dyDescent="0.2">
      <c r="A150" t="s">
        <v>254</v>
      </c>
      <c r="B150" t="s">
        <v>9</v>
      </c>
      <c r="C150" s="2">
        <v>46120.634863842592</v>
      </c>
      <c r="D150">
        <v>9</v>
      </c>
      <c r="F150" s="2">
        <v>46120.343197175927</v>
      </c>
      <c r="G150" s="3">
        <v>46120</v>
      </c>
      <c r="H150" t="s">
        <v>17</v>
      </c>
      <c r="I150">
        <v>8</v>
      </c>
    </row>
    <row r="151" spans="1:9" x14ac:dyDescent="0.2">
      <c r="A151" t="s">
        <v>255</v>
      </c>
      <c r="B151" t="s">
        <v>9</v>
      </c>
      <c r="C151" s="2">
        <v>46120.670020474536</v>
      </c>
      <c r="D151">
        <v>202</v>
      </c>
      <c r="F151" s="2">
        <v>46120.378353807871</v>
      </c>
      <c r="G151" s="3">
        <v>46120</v>
      </c>
      <c r="H151" t="s">
        <v>17</v>
      </c>
      <c r="I151">
        <v>9</v>
      </c>
    </row>
    <row r="152" spans="1:9" x14ac:dyDescent="0.2">
      <c r="A152" t="s">
        <v>256</v>
      </c>
      <c r="B152" t="s">
        <v>9</v>
      </c>
      <c r="C152" s="2">
        <v>46120.676147118058</v>
      </c>
      <c r="D152">
        <v>3</v>
      </c>
      <c r="F152" s="2">
        <v>46120.384480451386</v>
      </c>
      <c r="G152" s="3">
        <v>46120</v>
      </c>
      <c r="H152" t="s">
        <v>17</v>
      </c>
      <c r="I152">
        <v>9</v>
      </c>
    </row>
    <row r="153" spans="1:9" x14ac:dyDescent="0.2">
      <c r="A153" t="s">
        <v>257</v>
      </c>
      <c r="B153" t="s">
        <v>9</v>
      </c>
      <c r="C153" s="2">
        <v>46120.732038425929</v>
      </c>
      <c r="D153">
        <v>3</v>
      </c>
      <c r="F153" s="2">
        <v>46120.440371759258</v>
      </c>
      <c r="G153" s="3">
        <v>46120</v>
      </c>
      <c r="H153" t="s">
        <v>17</v>
      </c>
      <c r="I153">
        <v>10</v>
      </c>
    </row>
    <row r="154" spans="1:9" x14ac:dyDescent="0.2">
      <c r="A154" t="s">
        <v>258</v>
      </c>
      <c r="B154" t="s">
        <v>9</v>
      </c>
      <c r="C154" s="2">
        <v>46120.737620520835</v>
      </c>
      <c r="D154">
        <v>202</v>
      </c>
      <c r="F154" s="2">
        <v>46120.445953854163</v>
      </c>
      <c r="G154" s="3">
        <v>46120</v>
      </c>
      <c r="H154" t="s">
        <v>17</v>
      </c>
      <c r="I154">
        <v>10</v>
      </c>
    </row>
    <row r="155" spans="1:9" x14ac:dyDescent="0.2">
      <c r="A155" t="s">
        <v>259</v>
      </c>
      <c r="B155" t="s">
        <v>9</v>
      </c>
      <c r="C155" s="2">
        <v>46120.809650787036</v>
      </c>
      <c r="D155">
        <v>3</v>
      </c>
      <c r="F155" s="2">
        <v>46120.517984120372</v>
      </c>
      <c r="G155" s="3">
        <v>46120</v>
      </c>
      <c r="H155" t="s">
        <v>17</v>
      </c>
      <c r="I155">
        <v>12</v>
      </c>
    </row>
    <row r="156" spans="1:9" x14ac:dyDescent="0.2">
      <c r="A156" t="s">
        <v>260</v>
      </c>
      <c r="B156" t="s">
        <v>9</v>
      </c>
      <c r="C156" s="2">
        <v>46120.898016423613</v>
      </c>
      <c r="D156">
        <v>3</v>
      </c>
      <c r="F156" s="2">
        <v>46120.606349756941</v>
      </c>
      <c r="G156" s="3">
        <v>46120</v>
      </c>
      <c r="H156" t="s">
        <v>17</v>
      </c>
      <c r="I156">
        <v>14</v>
      </c>
    </row>
    <row r="157" spans="1:9" x14ac:dyDescent="0.2">
      <c r="A157" t="s">
        <v>261</v>
      </c>
      <c r="B157" t="s">
        <v>9</v>
      </c>
      <c r="C157" s="2">
        <v>46120.954477141204</v>
      </c>
      <c r="D157">
        <v>202</v>
      </c>
      <c r="F157" s="2">
        <v>46120.66281047454</v>
      </c>
      <c r="G157" s="3">
        <v>46120</v>
      </c>
      <c r="H157" t="s">
        <v>17</v>
      </c>
      <c r="I157">
        <v>15</v>
      </c>
    </row>
    <row r="158" spans="1:9" x14ac:dyDescent="0.2">
      <c r="A158" t="s">
        <v>262</v>
      </c>
      <c r="B158" t="s">
        <v>9</v>
      </c>
      <c r="C158" s="2">
        <v>46120.960952928239</v>
      </c>
      <c r="D158">
        <v>269</v>
      </c>
      <c r="F158" s="2">
        <v>46120.669286261575</v>
      </c>
      <c r="G158" s="3">
        <v>46120</v>
      </c>
      <c r="H158" t="s">
        <v>17</v>
      </c>
      <c r="I158">
        <v>16</v>
      </c>
    </row>
    <row r="159" spans="1:9" x14ac:dyDescent="0.2">
      <c r="A159" t="s">
        <v>263</v>
      </c>
      <c r="B159" t="s">
        <v>9</v>
      </c>
      <c r="C159" s="2">
        <v>46121.316527523151</v>
      </c>
      <c r="D159">
        <v>3</v>
      </c>
      <c r="E159" s="7" t="s">
        <v>179</v>
      </c>
      <c r="F159" s="2">
        <v>46121.02486085648</v>
      </c>
      <c r="G159" s="3">
        <v>46121</v>
      </c>
      <c r="H159" t="s">
        <v>19</v>
      </c>
      <c r="I159">
        <v>0</v>
      </c>
    </row>
    <row r="160" spans="1:9" x14ac:dyDescent="0.2">
      <c r="A160" t="s">
        <v>264</v>
      </c>
      <c r="B160" t="s">
        <v>9</v>
      </c>
      <c r="C160" s="2">
        <v>46121.332052662037</v>
      </c>
      <c r="D160">
        <v>269</v>
      </c>
      <c r="E160" s="7" t="s">
        <v>33</v>
      </c>
      <c r="F160" s="2">
        <v>46121.040385995373</v>
      </c>
      <c r="G160" s="3">
        <v>46121</v>
      </c>
      <c r="H160" t="s">
        <v>19</v>
      </c>
      <c r="I160">
        <v>0</v>
      </c>
    </row>
    <row r="161" spans="1:9" x14ac:dyDescent="0.2">
      <c r="A161" t="s">
        <v>265</v>
      </c>
      <c r="B161" t="s">
        <v>9</v>
      </c>
      <c r="C161" s="2">
        <v>46121.429546863423</v>
      </c>
      <c r="D161">
        <v>3</v>
      </c>
      <c r="E161" s="7" t="s">
        <v>213</v>
      </c>
      <c r="F161" s="2">
        <v>46121.137880196758</v>
      </c>
      <c r="G161" s="3">
        <v>46121</v>
      </c>
      <c r="H161" t="s">
        <v>19</v>
      </c>
      <c r="I161">
        <v>3</v>
      </c>
    </row>
    <row r="162" spans="1:9" x14ac:dyDescent="0.2">
      <c r="A162" t="s">
        <v>266</v>
      </c>
      <c r="B162" t="s">
        <v>9</v>
      </c>
      <c r="C162" s="2">
        <v>46121.466008055555</v>
      </c>
      <c r="D162">
        <v>269</v>
      </c>
      <c r="F162" s="2">
        <v>46121.174341388891</v>
      </c>
      <c r="G162" s="3">
        <v>46121</v>
      </c>
      <c r="H162" t="s">
        <v>19</v>
      </c>
      <c r="I162">
        <v>4</v>
      </c>
    </row>
    <row r="163" spans="1:9" x14ac:dyDescent="0.2">
      <c r="A163" t="s">
        <v>267</v>
      </c>
      <c r="B163" t="s">
        <v>9</v>
      </c>
      <c r="C163" s="2">
        <v>46121.476083171299</v>
      </c>
      <c r="D163">
        <v>3</v>
      </c>
      <c r="E163" s="7" t="s">
        <v>268</v>
      </c>
      <c r="F163" s="2">
        <v>46121.184416504628</v>
      </c>
      <c r="G163" s="3">
        <v>46121</v>
      </c>
      <c r="H163" t="s">
        <v>19</v>
      </c>
      <c r="I163">
        <v>4</v>
      </c>
    </row>
    <row r="164" spans="1:9" x14ac:dyDescent="0.2">
      <c r="A164" t="s">
        <v>269</v>
      </c>
      <c r="B164" t="s">
        <v>9</v>
      </c>
      <c r="C164" s="2">
        <v>46121.493718506943</v>
      </c>
      <c r="D164">
        <v>9</v>
      </c>
      <c r="F164" s="2">
        <v>46121.202051840279</v>
      </c>
      <c r="G164" s="3">
        <v>46121</v>
      </c>
      <c r="H164" t="s">
        <v>19</v>
      </c>
      <c r="I164">
        <v>4</v>
      </c>
    </row>
    <row r="165" spans="1:9" x14ac:dyDescent="0.2">
      <c r="A165" t="s">
        <v>270</v>
      </c>
      <c r="B165" t="s">
        <v>9</v>
      </c>
      <c r="C165" s="2">
        <v>46121.508052118057</v>
      </c>
      <c r="D165">
        <v>9</v>
      </c>
      <c r="F165" s="2">
        <v>46121.216385451386</v>
      </c>
      <c r="G165" s="3">
        <v>46121</v>
      </c>
      <c r="H165" t="s">
        <v>19</v>
      </c>
      <c r="I165">
        <v>5</v>
      </c>
    </row>
    <row r="166" spans="1:9" x14ac:dyDescent="0.2">
      <c r="A166" t="s">
        <v>271</v>
      </c>
      <c r="B166" t="s">
        <v>9</v>
      </c>
      <c r="C166" s="2">
        <v>46121.544430868053</v>
      </c>
      <c r="D166">
        <v>3</v>
      </c>
      <c r="E166" s="7" t="s">
        <v>179</v>
      </c>
      <c r="F166" s="2">
        <v>46121.252764201388</v>
      </c>
      <c r="G166" s="3">
        <v>46121</v>
      </c>
      <c r="H166" t="s">
        <v>19</v>
      </c>
      <c r="I166">
        <v>6</v>
      </c>
    </row>
    <row r="167" spans="1:9" x14ac:dyDescent="0.2">
      <c r="A167" t="s">
        <v>272</v>
      </c>
      <c r="B167" t="s">
        <v>9</v>
      </c>
      <c r="C167" s="2">
        <v>46121.547147303238</v>
      </c>
      <c r="D167">
        <v>9</v>
      </c>
      <c r="F167" s="2">
        <v>46121.255480636573</v>
      </c>
      <c r="G167" s="3">
        <v>46121</v>
      </c>
      <c r="H167" t="s">
        <v>19</v>
      </c>
      <c r="I167">
        <v>6</v>
      </c>
    </row>
    <row r="168" spans="1:9" x14ac:dyDescent="0.2">
      <c r="A168" t="s">
        <v>273</v>
      </c>
      <c r="B168" t="s">
        <v>9</v>
      </c>
      <c r="C168" s="2">
        <v>46121.596141469905</v>
      </c>
      <c r="D168">
        <v>1</v>
      </c>
      <c r="F168" s="2">
        <v>46121.304474803241</v>
      </c>
      <c r="G168" s="3">
        <v>46121</v>
      </c>
      <c r="H168" t="s">
        <v>19</v>
      </c>
      <c r="I168">
        <v>7</v>
      </c>
    </row>
    <row r="169" spans="1:9" x14ac:dyDescent="0.2">
      <c r="A169" t="s">
        <v>274</v>
      </c>
      <c r="B169" t="s">
        <v>9</v>
      </c>
      <c r="C169" s="2">
        <v>46121.602346203705</v>
      </c>
      <c r="D169">
        <v>3</v>
      </c>
      <c r="F169" s="2">
        <v>46121.31067953704</v>
      </c>
      <c r="G169" s="3">
        <v>46121</v>
      </c>
      <c r="H169" t="s">
        <v>19</v>
      </c>
      <c r="I169">
        <v>7</v>
      </c>
    </row>
    <row r="170" spans="1:9" x14ac:dyDescent="0.2">
      <c r="A170" t="s">
        <v>275</v>
      </c>
      <c r="B170" t="s">
        <v>9</v>
      </c>
      <c r="C170" s="2">
        <v>46121.605387627314</v>
      </c>
      <c r="D170">
        <v>3</v>
      </c>
      <c r="F170" s="2">
        <v>46121.31372096065</v>
      </c>
      <c r="G170" s="3">
        <v>46121</v>
      </c>
      <c r="H170" t="s">
        <v>19</v>
      </c>
      <c r="I170">
        <v>7</v>
      </c>
    </row>
    <row r="171" spans="1:9" x14ac:dyDescent="0.2">
      <c r="A171" t="s">
        <v>276</v>
      </c>
      <c r="B171" t="s">
        <v>9</v>
      </c>
      <c r="C171" s="2">
        <v>46121.623121226854</v>
      </c>
      <c r="D171">
        <v>3</v>
      </c>
      <c r="E171" s="7" t="s">
        <v>277</v>
      </c>
      <c r="F171" s="2">
        <v>46121.331454560182</v>
      </c>
      <c r="G171" s="3">
        <v>46121</v>
      </c>
      <c r="H171" t="s">
        <v>19</v>
      </c>
      <c r="I171">
        <v>7</v>
      </c>
    </row>
    <row r="172" spans="1:9" x14ac:dyDescent="0.2">
      <c r="A172" t="s">
        <v>278</v>
      </c>
      <c r="B172" t="s">
        <v>9</v>
      </c>
      <c r="C172" s="2">
        <v>46121.625692928239</v>
      </c>
      <c r="D172">
        <v>3</v>
      </c>
      <c r="F172" s="2">
        <v>46121.334026261575</v>
      </c>
      <c r="G172" s="3">
        <v>46121</v>
      </c>
      <c r="H172" t="s">
        <v>19</v>
      </c>
      <c r="I172">
        <v>8</v>
      </c>
    </row>
    <row r="173" spans="1:9" x14ac:dyDescent="0.2">
      <c r="A173" t="s">
        <v>279</v>
      </c>
      <c r="B173" t="s">
        <v>9</v>
      </c>
      <c r="C173" s="2">
        <v>46121.626114918981</v>
      </c>
      <c r="D173">
        <v>3</v>
      </c>
      <c r="E173" s="7" t="s">
        <v>277</v>
      </c>
      <c r="F173" s="2">
        <v>46121.334448252317</v>
      </c>
      <c r="G173" s="3">
        <v>46121</v>
      </c>
      <c r="H173" t="s">
        <v>19</v>
      </c>
      <c r="I173">
        <v>8</v>
      </c>
    </row>
    <row r="174" spans="1:9" x14ac:dyDescent="0.2">
      <c r="A174" t="s">
        <v>280</v>
      </c>
      <c r="B174" t="s">
        <v>9</v>
      </c>
      <c r="C174" s="2">
        <v>46121.634627476851</v>
      </c>
      <c r="D174">
        <v>3</v>
      </c>
      <c r="E174" s="7" t="s">
        <v>281</v>
      </c>
      <c r="F174" s="2">
        <v>46121.342960810187</v>
      </c>
      <c r="G174" s="3">
        <v>46121</v>
      </c>
      <c r="H174" t="s">
        <v>19</v>
      </c>
      <c r="I174">
        <v>8</v>
      </c>
    </row>
    <row r="175" spans="1:9" x14ac:dyDescent="0.2">
      <c r="A175" t="s">
        <v>282</v>
      </c>
      <c r="B175" t="s">
        <v>9</v>
      </c>
      <c r="C175" s="2">
        <v>46121.68810172454</v>
      </c>
      <c r="D175">
        <v>3</v>
      </c>
      <c r="F175" s="2">
        <v>46121.396435057868</v>
      </c>
      <c r="G175" s="3">
        <v>46121</v>
      </c>
      <c r="H175" t="s">
        <v>19</v>
      </c>
      <c r="I175">
        <v>9</v>
      </c>
    </row>
    <row r="176" spans="1:9" x14ac:dyDescent="0.2">
      <c r="A176" t="s">
        <v>283</v>
      </c>
      <c r="B176" t="s">
        <v>9</v>
      </c>
      <c r="C176" s="2">
        <v>46121.71273201389</v>
      </c>
      <c r="D176">
        <v>3</v>
      </c>
      <c r="F176" s="2">
        <v>46121.421065347226</v>
      </c>
      <c r="G176" s="3">
        <v>46121</v>
      </c>
      <c r="H176" t="s">
        <v>19</v>
      </c>
      <c r="I176">
        <v>10</v>
      </c>
    </row>
    <row r="177" spans="1:9" x14ac:dyDescent="0.2">
      <c r="A177" t="s">
        <v>284</v>
      </c>
      <c r="B177" t="s">
        <v>9</v>
      </c>
      <c r="C177" s="2">
        <v>46121.721877233795</v>
      </c>
      <c r="D177">
        <v>3</v>
      </c>
      <c r="F177" s="2">
        <v>46121.43021056713</v>
      </c>
      <c r="G177" s="3">
        <v>46121</v>
      </c>
      <c r="H177" t="s">
        <v>19</v>
      </c>
      <c r="I177">
        <v>10</v>
      </c>
    </row>
    <row r="178" spans="1:9" x14ac:dyDescent="0.2">
      <c r="A178" t="s">
        <v>285</v>
      </c>
      <c r="B178" t="s">
        <v>9</v>
      </c>
      <c r="C178" s="2">
        <v>46121.79552295139</v>
      </c>
      <c r="D178">
        <v>269</v>
      </c>
      <c r="F178" s="2">
        <v>46121.503856284726</v>
      </c>
      <c r="G178" s="3">
        <v>46121</v>
      </c>
      <c r="H178" t="s">
        <v>19</v>
      </c>
      <c r="I178">
        <v>12</v>
      </c>
    </row>
    <row r="179" spans="1:9" x14ac:dyDescent="0.2">
      <c r="A179" t="s">
        <v>286</v>
      </c>
      <c r="B179" t="s">
        <v>9</v>
      </c>
      <c r="C179" s="2">
        <v>46121.855494131945</v>
      </c>
      <c r="D179">
        <v>3</v>
      </c>
      <c r="F179" s="2">
        <v>46121.563827465281</v>
      </c>
      <c r="G179" s="3">
        <v>46121</v>
      </c>
      <c r="H179" t="s">
        <v>19</v>
      </c>
      <c r="I179">
        <v>13</v>
      </c>
    </row>
    <row r="180" spans="1:9" x14ac:dyDescent="0.2">
      <c r="A180" t="s">
        <v>287</v>
      </c>
      <c r="B180" t="s">
        <v>9</v>
      </c>
      <c r="C180" s="2">
        <v>46121.856889085648</v>
      </c>
      <c r="D180">
        <v>202</v>
      </c>
      <c r="F180" s="2">
        <v>46121.565222418983</v>
      </c>
      <c r="G180" s="3">
        <v>46121</v>
      </c>
      <c r="H180" t="s">
        <v>19</v>
      </c>
      <c r="I180">
        <v>13</v>
      </c>
    </row>
    <row r="181" spans="1:9" x14ac:dyDescent="0.2">
      <c r="A181" t="s">
        <v>288</v>
      </c>
      <c r="B181" t="s">
        <v>9</v>
      </c>
      <c r="C181" s="2">
        <v>46121.890823483795</v>
      </c>
      <c r="D181">
        <v>3</v>
      </c>
      <c r="F181" s="2">
        <v>46121.59915681713</v>
      </c>
      <c r="G181" s="3">
        <v>46121</v>
      </c>
      <c r="H181" t="s">
        <v>19</v>
      </c>
      <c r="I181">
        <v>14</v>
      </c>
    </row>
    <row r="182" spans="1:9" x14ac:dyDescent="0.2">
      <c r="A182" t="s">
        <v>289</v>
      </c>
      <c r="B182" t="s">
        <v>9</v>
      </c>
      <c r="C182" s="2">
        <v>46121.911650243055</v>
      </c>
      <c r="D182">
        <v>3</v>
      </c>
      <c r="F182" s="2">
        <v>46121.619983576391</v>
      </c>
      <c r="G182" s="3">
        <v>46121</v>
      </c>
      <c r="H182" t="s">
        <v>19</v>
      </c>
      <c r="I182">
        <v>14</v>
      </c>
    </row>
    <row r="183" spans="1:9" x14ac:dyDescent="0.2">
      <c r="A183" t="s">
        <v>290</v>
      </c>
      <c r="B183" t="s">
        <v>9</v>
      </c>
      <c r="C183" s="2">
        <v>46121.913596863429</v>
      </c>
      <c r="D183">
        <v>202</v>
      </c>
      <c r="F183" s="2">
        <v>46121.621930196758</v>
      </c>
      <c r="G183" s="3">
        <v>46121</v>
      </c>
      <c r="H183" t="s">
        <v>19</v>
      </c>
      <c r="I183">
        <v>14</v>
      </c>
    </row>
    <row r="184" spans="1:9" x14ac:dyDescent="0.2">
      <c r="A184" t="s">
        <v>291</v>
      </c>
      <c r="B184" t="s">
        <v>9</v>
      </c>
      <c r="C184" s="2">
        <v>46122.187761574074</v>
      </c>
      <c r="D184">
        <v>269</v>
      </c>
      <c r="F184" s="2">
        <v>46121.89609490741</v>
      </c>
      <c r="G184" s="3">
        <v>46121</v>
      </c>
      <c r="H184" t="s">
        <v>19</v>
      </c>
      <c r="I184">
        <v>21</v>
      </c>
    </row>
    <row r="185" spans="1:9" x14ac:dyDescent="0.2">
      <c r="A185" t="s">
        <v>292</v>
      </c>
      <c r="B185" t="s">
        <v>9</v>
      </c>
      <c r="C185" s="2">
        <v>46122.372525613428</v>
      </c>
      <c r="D185">
        <v>269</v>
      </c>
      <c r="F185" s="2">
        <v>46122.080858946756</v>
      </c>
      <c r="G185" s="3">
        <v>46122</v>
      </c>
      <c r="H185" t="s">
        <v>20</v>
      </c>
      <c r="I185">
        <v>1</v>
      </c>
    </row>
    <row r="186" spans="1:9" x14ac:dyDescent="0.2">
      <c r="A186" t="s">
        <v>293</v>
      </c>
      <c r="B186" t="s">
        <v>9</v>
      </c>
      <c r="C186" s="2">
        <v>46122.392741747688</v>
      </c>
      <c r="D186">
        <v>3</v>
      </c>
      <c r="F186" s="2">
        <v>46122.101075081016</v>
      </c>
      <c r="G186" s="3">
        <v>46122</v>
      </c>
      <c r="H186" t="s">
        <v>20</v>
      </c>
      <c r="I186">
        <v>2</v>
      </c>
    </row>
    <row r="187" spans="1:9" x14ac:dyDescent="0.2">
      <c r="A187" t="s">
        <v>294</v>
      </c>
      <c r="B187" t="s">
        <v>9</v>
      </c>
      <c r="C187" s="2">
        <v>46122.60864377315</v>
      </c>
      <c r="D187">
        <v>269</v>
      </c>
      <c r="F187" s="2">
        <v>46122.316977106479</v>
      </c>
      <c r="G187" s="3">
        <v>46122</v>
      </c>
      <c r="H187" t="s">
        <v>20</v>
      </c>
      <c r="I187">
        <v>7</v>
      </c>
    </row>
    <row r="188" spans="1:9" x14ac:dyDescent="0.2">
      <c r="A188" t="s">
        <v>295</v>
      </c>
      <c r="B188" t="s">
        <v>9</v>
      </c>
      <c r="C188" s="2">
        <v>46122.610426284722</v>
      </c>
      <c r="D188">
        <v>3</v>
      </c>
      <c r="F188" s="2">
        <v>46122.318759618058</v>
      </c>
      <c r="G188" s="3">
        <v>46122</v>
      </c>
      <c r="H188" t="s">
        <v>20</v>
      </c>
      <c r="I188">
        <v>7</v>
      </c>
    </row>
    <row r="189" spans="1:9" x14ac:dyDescent="0.2">
      <c r="A189" t="s">
        <v>296</v>
      </c>
      <c r="B189" t="s">
        <v>9</v>
      </c>
      <c r="C189" s="2">
        <v>46123.367616736112</v>
      </c>
      <c r="D189">
        <v>3</v>
      </c>
      <c r="F189" s="2">
        <v>46123.075950069448</v>
      </c>
      <c r="G189" s="3">
        <v>46123</v>
      </c>
      <c r="H189" t="s">
        <v>21</v>
      </c>
      <c r="I189">
        <v>1</v>
      </c>
    </row>
    <row r="190" spans="1:9" x14ac:dyDescent="0.2">
      <c r="A190" t="s">
        <v>297</v>
      </c>
      <c r="B190" t="s">
        <v>9</v>
      </c>
      <c r="C190" s="2">
        <v>46123.482023263889</v>
      </c>
      <c r="D190">
        <v>3</v>
      </c>
      <c r="E190" s="7" t="s">
        <v>298</v>
      </c>
      <c r="F190" s="2">
        <v>46123.190356597224</v>
      </c>
      <c r="G190" s="3">
        <v>46123</v>
      </c>
      <c r="H190" t="s">
        <v>21</v>
      </c>
      <c r="I190">
        <v>4</v>
      </c>
    </row>
    <row r="191" spans="1:9" x14ac:dyDescent="0.2">
      <c r="A191" t="s">
        <v>299</v>
      </c>
      <c r="B191" t="s">
        <v>9</v>
      </c>
      <c r="C191" s="2">
        <v>46123.798813009256</v>
      </c>
      <c r="D191">
        <v>3</v>
      </c>
      <c r="F191" s="2">
        <v>46123.507146342592</v>
      </c>
      <c r="G191" s="3">
        <v>46123</v>
      </c>
      <c r="H191" t="s">
        <v>21</v>
      </c>
      <c r="I191">
        <v>12</v>
      </c>
    </row>
    <row r="192" spans="1:9" x14ac:dyDescent="0.2">
      <c r="A192" t="s">
        <v>300</v>
      </c>
      <c r="B192" t="s">
        <v>9</v>
      </c>
      <c r="C192" s="2">
        <v>46123.860857141204</v>
      </c>
      <c r="D192">
        <v>3</v>
      </c>
      <c r="F192" s="2">
        <v>46123.56919047454</v>
      </c>
      <c r="G192" s="3">
        <v>46123</v>
      </c>
      <c r="H192" t="s">
        <v>21</v>
      </c>
      <c r="I192">
        <v>13</v>
      </c>
    </row>
    <row r="193" spans="1:9" x14ac:dyDescent="0.2">
      <c r="A193" t="s">
        <v>301</v>
      </c>
      <c r="B193" t="s">
        <v>9</v>
      </c>
      <c r="C193" s="2">
        <v>46123.996314328702</v>
      </c>
      <c r="D193">
        <v>3</v>
      </c>
      <c r="F193" s="2">
        <v>46123.704647662038</v>
      </c>
      <c r="G193" s="3">
        <v>46123</v>
      </c>
      <c r="H193" t="s">
        <v>21</v>
      </c>
      <c r="I193">
        <v>16</v>
      </c>
    </row>
    <row r="194" spans="1:9" x14ac:dyDescent="0.2">
      <c r="A194" t="s">
        <v>302</v>
      </c>
      <c r="B194" t="s">
        <v>9</v>
      </c>
      <c r="C194" s="2">
        <v>46124.011363090278</v>
      </c>
      <c r="D194">
        <v>3</v>
      </c>
      <c r="F194" s="2">
        <v>46123.719696423614</v>
      </c>
      <c r="G194" s="3">
        <v>46123</v>
      </c>
      <c r="H194" t="s">
        <v>21</v>
      </c>
      <c r="I194">
        <v>17</v>
      </c>
    </row>
    <row r="195" spans="1:9" x14ac:dyDescent="0.2">
      <c r="A195" t="s">
        <v>303</v>
      </c>
      <c r="B195" t="s">
        <v>9</v>
      </c>
      <c r="C195" s="2">
        <v>46124.061240034724</v>
      </c>
      <c r="D195">
        <v>3</v>
      </c>
      <c r="E195" s="7" t="s">
        <v>304</v>
      </c>
      <c r="F195" s="2">
        <v>46123.769573368052</v>
      </c>
      <c r="G195" s="3">
        <v>46123</v>
      </c>
      <c r="H195" t="s">
        <v>21</v>
      </c>
      <c r="I195">
        <v>18</v>
      </c>
    </row>
    <row r="196" spans="1:9" x14ac:dyDescent="0.2">
      <c r="A196" t="s">
        <v>305</v>
      </c>
      <c r="B196" t="s">
        <v>9</v>
      </c>
      <c r="C196" s="2">
        <v>46124.074992719907</v>
      </c>
      <c r="D196">
        <v>3</v>
      </c>
      <c r="F196" s="2">
        <v>46123.783326053242</v>
      </c>
      <c r="G196" s="3">
        <v>46123</v>
      </c>
      <c r="H196" t="s">
        <v>21</v>
      </c>
      <c r="I196">
        <v>18</v>
      </c>
    </row>
    <row r="197" spans="1:9" x14ac:dyDescent="0.2">
      <c r="A197" t="s">
        <v>306</v>
      </c>
      <c r="B197" t="s">
        <v>9</v>
      </c>
      <c r="C197" s="2">
        <v>46124.309904398149</v>
      </c>
      <c r="D197">
        <v>3</v>
      </c>
      <c r="F197" s="2">
        <v>46124.018237731485</v>
      </c>
      <c r="G197" s="3">
        <v>46124</v>
      </c>
      <c r="H197" t="s">
        <v>22</v>
      </c>
      <c r="I197">
        <v>0</v>
      </c>
    </row>
    <row r="198" spans="1:9" x14ac:dyDescent="0.2">
      <c r="A198" t="s">
        <v>307</v>
      </c>
      <c r="B198" t="s">
        <v>9</v>
      </c>
      <c r="C198" s="2">
        <v>46124.483825810188</v>
      </c>
      <c r="D198">
        <v>269</v>
      </c>
      <c r="F198" s="2">
        <v>46124.192159143517</v>
      </c>
      <c r="G198" s="3">
        <v>46124</v>
      </c>
      <c r="H198" t="s">
        <v>22</v>
      </c>
      <c r="I198">
        <v>4</v>
      </c>
    </row>
    <row r="199" spans="1:9" x14ac:dyDescent="0.2">
      <c r="A199" t="s">
        <v>308</v>
      </c>
      <c r="B199" t="s">
        <v>9</v>
      </c>
      <c r="C199" s="2">
        <v>46124.727407847226</v>
      </c>
      <c r="D199">
        <v>3</v>
      </c>
      <c r="F199" s="2">
        <v>46124.435741180554</v>
      </c>
      <c r="G199" s="3">
        <v>46124</v>
      </c>
      <c r="H199" t="s">
        <v>22</v>
      </c>
      <c r="I199">
        <v>10</v>
      </c>
    </row>
    <row r="200" spans="1:9" x14ac:dyDescent="0.2">
      <c r="A200" t="s">
        <v>309</v>
      </c>
      <c r="B200" t="s">
        <v>9</v>
      </c>
      <c r="C200" s="2">
        <v>46125.17573289352</v>
      </c>
      <c r="D200">
        <v>3</v>
      </c>
      <c r="F200" s="2">
        <v>46124.884066226849</v>
      </c>
      <c r="G200" s="3">
        <v>46124</v>
      </c>
      <c r="H200" t="s">
        <v>22</v>
      </c>
      <c r="I200">
        <v>21</v>
      </c>
    </row>
    <row r="201" spans="1:9" x14ac:dyDescent="0.2">
      <c r="A201" t="s">
        <v>310</v>
      </c>
      <c r="B201" t="s">
        <v>9</v>
      </c>
      <c r="C201" s="2">
        <v>46125.281525787039</v>
      </c>
      <c r="D201">
        <v>269</v>
      </c>
      <c r="F201" s="2">
        <v>46124.989859120367</v>
      </c>
      <c r="G201" s="3">
        <v>46124</v>
      </c>
      <c r="H201" t="s">
        <v>22</v>
      </c>
      <c r="I201">
        <v>23</v>
      </c>
    </row>
    <row r="202" spans="1:9" x14ac:dyDescent="0.2">
      <c r="A202" t="s">
        <v>311</v>
      </c>
      <c r="B202" t="s">
        <v>9</v>
      </c>
      <c r="C202" s="2">
        <v>46125.292780439813</v>
      </c>
      <c r="D202">
        <v>269</v>
      </c>
      <c r="F202" s="2">
        <v>46125.001113773149</v>
      </c>
      <c r="G202" s="3">
        <v>46125</v>
      </c>
      <c r="H202" t="s">
        <v>10</v>
      </c>
      <c r="I202">
        <v>0</v>
      </c>
    </row>
    <row r="203" spans="1:9" x14ac:dyDescent="0.2">
      <c r="A203" t="s">
        <v>312</v>
      </c>
      <c r="B203" t="s">
        <v>9</v>
      </c>
      <c r="C203" s="2">
        <v>46125.362097407407</v>
      </c>
      <c r="D203">
        <v>269</v>
      </c>
      <c r="F203" s="2">
        <v>46125.070430740743</v>
      </c>
      <c r="G203" s="3">
        <v>46125</v>
      </c>
      <c r="H203" t="s">
        <v>10</v>
      </c>
      <c r="I203">
        <v>1</v>
      </c>
    </row>
    <row r="204" spans="1:9" x14ac:dyDescent="0.2">
      <c r="A204" t="s">
        <v>313</v>
      </c>
      <c r="B204" t="s">
        <v>9</v>
      </c>
      <c r="C204" s="2">
        <v>46125.377690370369</v>
      </c>
      <c r="D204">
        <v>269</v>
      </c>
      <c r="F204" s="2">
        <v>46125.086023703705</v>
      </c>
      <c r="G204" s="3">
        <v>46125</v>
      </c>
      <c r="H204" t="s">
        <v>10</v>
      </c>
      <c r="I204">
        <v>2</v>
      </c>
    </row>
    <row r="205" spans="1:9" x14ac:dyDescent="0.2">
      <c r="A205" t="s">
        <v>314</v>
      </c>
      <c r="B205" t="s">
        <v>9</v>
      </c>
      <c r="C205" s="2">
        <v>46125.416715856481</v>
      </c>
      <c r="D205">
        <v>269</v>
      </c>
      <c r="F205" s="2">
        <v>46125.125049189817</v>
      </c>
      <c r="G205" s="3">
        <v>46125</v>
      </c>
      <c r="H205" t="s">
        <v>10</v>
      </c>
      <c r="I205">
        <v>3</v>
      </c>
    </row>
    <row r="206" spans="1:9" x14ac:dyDescent="0.2">
      <c r="A206" t="s">
        <v>315</v>
      </c>
      <c r="B206" t="s">
        <v>9</v>
      </c>
      <c r="C206" s="2">
        <v>46125.536615844911</v>
      </c>
      <c r="D206">
        <v>269</v>
      </c>
      <c r="E206" s="7" t="s">
        <v>114</v>
      </c>
      <c r="F206" s="2">
        <v>46125.244949178239</v>
      </c>
      <c r="G206" s="3">
        <v>46125</v>
      </c>
      <c r="H206" t="s">
        <v>10</v>
      </c>
      <c r="I206">
        <v>5</v>
      </c>
    </row>
    <row r="207" spans="1:9" x14ac:dyDescent="0.2">
      <c r="A207" t="s">
        <v>316</v>
      </c>
      <c r="B207" t="s">
        <v>9</v>
      </c>
      <c r="C207" s="2">
        <v>46125.586859687501</v>
      </c>
      <c r="D207">
        <v>269</v>
      </c>
      <c r="F207" s="2">
        <v>46125.295193020836</v>
      </c>
      <c r="G207" s="3">
        <v>46125</v>
      </c>
      <c r="H207" t="s">
        <v>10</v>
      </c>
      <c r="I207">
        <v>7</v>
      </c>
    </row>
    <row r="208" spans="1:9" x14ac:dyDescent="0.2">
      <c r="A208" t="s">
        <v>317</v>
      </c>
      <c r="B208" t="s">
        <v>9</v>
      </c>
      <c r="C208" s="2">
        <v>46125.6104309375</v>
      </c>
      <c r="D208">
        <v>1</v>
      </c>
      <c r="F208" s="2">
        <v>46125.318764270836</v>
      </c>
      <c r="G208" s="3">
        <v>46125</v>
      </c>
      <c r="H208" t="s">
        <v>10</v>
      </c>
      <c r="I208">
        <v>7</v>
      </c>
    </row>
    <row r="209" spans="1:9" x14ac:dyDescent="0.2">
      <c r="A209" t="s">
        <v>318</v>
      </c>
      <c r="B209" t="s">
        <v>9</v>
      </c>
      <c r="C209" s="2">
        <v>46125.665160717595</v>
      </c>
      <c r="D209">
        <v>269</v>
      </c>
      <c r="E209" s="7" t="s">
        <v>319</v>
      </c>
      <c r="F209" s="2">
        <v>46125.373494050924</v>
      </c>
      <c r="G209" s="3">
        <v>46125</v>
      </c>
      <c r="H209" t="s">
        <v>10</v>
      </c>
      <c r="I209">
        <v>8</v>
      </c>
    </row>
    <row r="210" spans="1:9" x14ac:dyDescent="0.2">
      <c r="A210" t="s">
        <v>320</v>
      </c>
      <c r="B210" t="s">
        <v>9</v>
      </c>
      <c r="C210" s="2">
        <v>46125.749615509259</v>
      </c>
      <c r="D210">
        <v>3</v>
      </c>
      <c r="F210" s="2">
        <v>46125.457948842595</v>
      </c>
      <c r="G210" s="3">
        <v>46125</v>
      </c>
      <c r="H210" t="s">
        <v>10</v>
      </c>
      <c r="I210">
        <v>10</v>
      </c>
    </row>
    <row r="211" spans="1:9" x14ac:dyDescent="0.2">
      <c r="A211" t="s">
        <v>321</v>
      </c>
      <c r="B211" t="s">
        <v>9</v>
      </c>
      <c r="C211" s="2">
        <v>46125.749790243055</v>
      </c>
      <c r="D211">
        <v>3</v>
      </c>
      <c r="F211" s="2">
        <v>46125.458123576391</v>
      </c>
      <c r="G211" s="3">
        <v>46125</v>
      </c>
      <c r="H211" t="s">
        <v>10</v>
      </c>
      <c r="I211">
        <v>10</v>
      </c>
    </row>
    <row r="212" spans="1:9" x14ac:dyDescent="0.2">
      <c r="A212" t="s">
        <v>322</v>
      </c>
      <c r="B212" t="s">
        <v>9</v>
      </c>
      <c r="C212" s="2">
        <v>46125.776569675923</v>
      </c>
      <c r="D212">
        <v>3</v>
      </c>
      <c r="E212" s="7" t="s">
        <v>323</v>
      </c>
      <c r="F212" s="2">
        <v>46125.484903009259</v>
      </c>
      <c r="G212" s="3">
        <v>46125</v>
      </c>
      <c r="H212" t="s">
        <v>10</v>
      </c>
      <c r="I212">
        <v>11</v>
      </c>
    </row>
    <row r="213" spans="1:9" x14ac:dyDescent="0.2">
      <c r="A213" t="s">
        <v>324</v>
      </c>
      <c r="B213" t="s">
        <v>9</v>
      </c>
      <c r="C213" s="2">
        <v>46125.792034965278</v>
      </c>
      <c r="D213">
        <v>6076</v>
      </c>
      <c r="E213" s="7" t="s">
        <v>323</v>
      </c>
      <c r="F213" s="2">
        <v>46125.500368298613</v>
      </c>
      <c r="G213" s="3">
        <v>46125</v>
      </c>
      <c r="H213" t="s">
        <v>10</v>
      </c>
      <c r="I213">
        <v>12</v>
      </c>
    </row>
    <row r="214" spans="1:9" x14ac:dyDescent="0.2">
      <c r="A214" t="s">
        <v>325</v>
      </c>
      <c r="B214" t="s">
        <v>9</v>
      </c>
      <c r="C214" s="2">
        <v>46125.793359131945</v>
      </c>
      <c r="D214">
        <v>3</v>
      </c>
      <c r="F214" s="2">
        <v>46125.501692465281</v>
      </c>
      <c r="G214" s="3">
        <v>46125</v>
      </c>
      <c r="H214" t="s">
        <v>10</v>
      </c>
      <c r="I214">
        <v>12</v>
      </c>
    </row>
    <row r="215" spans="1:9" x14ac:dyDescent="0.2">
      <c r="A215" t="s">
        <v>326</v>
      </c>
      <c r="B215" t="s">
        <v>9</v>
      </c>
      <c r="C215" s="2">
        <v>46125.809612291669</v>
      </c>
      <c r="D215">
        <v>3</v>
      </c>
      <c r="E215" s="7" t="s">
        <v>28</v>
      </c>
      <c r="F215" s="2">
        <v>46125.517945624997</v>
      </c>
      <c r="G215" s="3">
        <v>46125</v>
      </c>
      <c r="H215" t="s">
        <v>10</v>
      </c>
      <c r="I215">
        <v>12</v>
      </c>
    </row>
    <row r="216" spans="1:9" x14ac:dyDescent="0.2">
      <c r="A216" t="s">
        <v>327</v>
      </c>
      <c r="B216" t="s">
        <v>9</v>
      </c>
      <c r="C216" s="2">
        <v>46125.861180821761</v>
      </c>
      <c r="D216">
        <v>3</v>
      </c>
      <c r="F216" s="2">
        <v>46125.56951415509</v>
      </c>
      <c r="G216" s="3">
        <v>46125</v>
      </c>
      <c r="H216" t="s">
        <v>10</v>
      </c>
      <c r="I216">
        <v>13</v>
      </c>
    </row>
    <row r="217" spans="1:9" x14ac:dyDescent="0.2">
      <c r="A217" t="s">
        <v>328</v>
      </c>
      <c r="B217" t="s">
        <v>9</v>
      </c>
      <c r="C217" s="2">
        <v>46125.869846180554</v>
      </c>
      <c r="D217">
        <v>202</v>
      </c>
      <c r="F217" s="2">
        <v>46125.57817951389</v>
      </c>
      <c r="G217" s="3">
        <v>46125</v>
      </c>
      <c r="H217" t="s">
        <v>10</v>
      </c>
      <c r="I217">
        <v>13</v>
      </c>
    </row>
    <row r="218" spans="1:9" x14ac:dyDescent="0.2">
      <c r="A218" t="s">
        <v>329</v>
      </c>
      <c r="B218" t="s">
        <v>9</v>
      </c>
      <c r="C218" s="2">
        <v>46125.869900844904</v>
      </c>
      <c r="D218">
        <v>269</v>
      </c>
      <c r="E218" s="7" t="s">
        <v>114</v>
      </c>
      <c r="F218" s="2">
        <v>46125.57823417824</v>
      </c>
      <c r="G218" s="3">
        <v>46125</v>
      </c>
      <c r="H218" t="s">
        <v>10</v>
      </c>
      <c r="I218">
        <v>13</v>
      </c>
    </row>
    <row r="219" spans="1:9" x14ac:dyDescent="0.2">
      <c r="A219" t="s">
        <v>330</v>
      </c>
      <c r="B219" t="s">
        <v>9</v>
      </c>
      <c r="C219" s="2">
        <v>46125.891503437502</v>
      </c>
      <c r="D219">
        <v>3</v>
      </c>
      <c r="F219" s="2">
        <v>46125.599836770831</v>
      </c>
      <c r="G219" s="3">
        <v>46125</v>
      </c>
      <c r="H219" t="s">
        <v>10</v>
      </c>
      <c r="I219">
        <v>14</v>
      </c>
    </row>
    <row r="220" spans="1:9" x14ac:dyDescent="0.2">
      <c r="A220" t="s">
        <v>331</v>
      </c>
      <c r="B220" t="s">
        <v>9</v>
      </c>
      <c r="C220" s="2">
        <v>46125.895052685184</v>
      </c>
      <c r="D220">
        <v>3</v>
      </c>
      <c r="F220" s="2">
        <v>46125.60338601852</v>
      </c>
      <c r="G220" s="3">
        <v>46125</v>
      </c>
      <c r="H220" t="s">
        <v>10</v>
      </c>
      <c r="I220">
        <v>14</v>
      </c>
    </row>
    <row r="221" spans="1:9" x14ac:dyDescent="0.2">
      <c r="A221" t="s">
        <v>332</v>
      </c>
      <c r="B221" t="s">
        <v>9</v>
      </c>
      <c r="C221" s="2">
        <v>46125.941528425923</v>
      </c>
      <c r="D221">
        <v>3</v>
      </c>
      <c r="F221" s="2">
        <v>46125.649861759259</v>
      </c>
      <c r="G221" s="3">
        <v>46125</v>
      </c>
      <c r="H221" t="s">
        <v>10</v>
      </c>
      <c r="I221">
        <v>15</v>
      </c>
    </row>
    <row r="222" spans="1:9" x14ac:dyDescent="0.2">
      <c r="A222" t="s">
        <v>333</v>
      </c>
      <c r="B222" t="s">
        <v>9</v>
      </c>
      <c r="C222" s="2">
        <v>46126.120954016202</v>
      </c>
      <c r="D222">
        <v>3</v>
      </c>
      <c r="F222" s="2">
        <v>46125.829287349537</v>
      </c>
      <c r="G222" s="3">
        <v>46125</v>
      </c>
      <c r="H222" t="s">
        <v>10</v>
      </c>
      <c r="I222">
        <v>19</v>
      </c>
    </row>
    <row r="223" spans="1:9" x14ac:dyDescent="0.2">
      <c r="A223" t="s">
        <v>334</v>
      </c>
      <c r="B223" t="s">
        <v>9</v>
      </c>
      <c r="C223" s="2">
        <v>46126.127251365739</v>
      </c>
      <c r="D223">
        <v>269</v>
      </c>
      <c r="F223" s="2">
        <v>46125.835584699074</v>
      </c>
      <c r="G223" s="3">
        <v>46125</v>
      </c>
      <c r="H223" t="s">
        <v>10</v>
      </c>
      <c r="I223">
        <v>20</v>
      </c>
    </row>
    <row r="224" spans="1:9" x14ac:dyDescent="0.2">
      <c r="A224" t="s">
        <v>335</v>
      </c>
      <c r="B224" t="s">
        <v>9</v>
      </c>
      <c r="C224" s="2">
        <v>46126.274359768518</v>
      </c>
      <c r="D224">
        <v>269</v>
      </c>
      <c r="F224" s="2">
        <v>46125.982693101854</v>
      </c>
      <c r="G224" s="3">
        <v>46125</v>
      </c>
      <c r="H224" t="s">
        <v>10</v>
      </c>
      <c r="I224">
        <v>23</v>
      </c>
    </row>
    <row r="225" spans="1:9" x14ac:dyDescent="0.2">
      <c r="A225" t="s">
        <v>336</v>
      </c>
      <c r="B225" t="s">
        <v>9</v>
      </c>
      <c r="C225" s="2">
        <v>46126.307400439815</v>
      </c>
      <c r="D225">
        <v>269</v>
      </c>
      <c r="F225" s="2">
        <v>46126.015733773151</v>
      </c>
      <c r="G225" s="3">
        <v>46126</v>
      </c>
      <c r="H225" t="s">
        <v>13</v>
      </c>
      <c r="I225">
        <v>0</v>
      </c>
    </row>
    <row r="226" spans="1:9" x14ac:dyDescent="0.2">
      <c r="A226" t="s">
        <v>337</v>
      </c>
      <c r="B226" t="s">
        <v>9</v>
      </c>
      <c r="C226" s="2">
        <v>46126.308421319445</v>
      </c>
      <c r="D226">
        <v>269</v>
      </c>
      <c r="F226" s="2">
        <v>46126.016754652781</v>
      </c>
      <c r="G226" s="3">
        <v>46126</v>
      </c>
      <c r="H226" t="s">
        <v>13</v>
      </c>
      <c r="I226">
        <v>0</v>
      </c>
    </row>
    <row r="227" spans="1:9" x14ac:dyDescent="0.2">
      <c r="A227" t="s">
        <v>338</v>
      </c>
      <c r="B227" t="s">
        <v>9</v>
      </c>
      <c r="C227" s="2">
        <v>46126.317234502312</v>
      </c>
      <c r="D227">
        <v>3</v>
      </c>
      <c r="E227" s="7" t="s">
        <v>179</v>
      </c>
      <c r="F227" s="2">
        <v>46126.025567835648</v>
      </c>
      <c r="G227" s="3">
        <v>46126</v>
      </c>
      <c r="H227" t="s">
        <v>13</v>
      </c>
      <c r="I227">
        <v>0</v>
      </c>
    </row>
    <row r="228" spans="1:9" x14ac:dyDescent="0.2">
      <c r="A228" t="s">
        <v>339</v>
      </c>
      <c r="B228" t="s">
        <v>9</v>
      </c>
      <c r="C228" s="2">
        <v>46126.33632771991</v>
      </c>
      <c r="D228">
        <v>3</v>
      </c>
      <c r="E228" s="7" t="s">
        <v>340</v>
      </c>
      <c r="F228" s="2">
        <v>46126.044661053238</v>
      </c>
      <c r="G228" s="3">
        <v>46126</v>
      </c>
      <c r="H228" t="s">
        <v>13</v>
      </c>
      <c r="I228">
        <v>1</v>
      </c>
    </row>
    <row r="229" spans="1:9" x14ac:dyDescent="0.2">
      <c r="A229" t="s">
        <v>341</v>
      </c>
      <c r="B229" t="s">
        <v>9</v>
      </c>
      <c r="C229" s="2">
        <v>46126.349278958332</v>
      </c>
      <c r="D229">
        <v>269</v>
      </c>
      <c r="F229" s="2">
        <v>46126.057612291668</v>
      </c>
      <c r="G229" s="3">
        <v>46126</v>
      </c>
      <c r="H229" t="s">
        <v>13</v>
      </c>
      <c r="I229">
        <v>1</v>
      </c>
    </row>
    <row r="230" spans="1:9" x14ac:dyDescent="0.2">
      <c r="A230" t="s">
        <v>342</v>
      </c>
      <c r="B230" t="s">
        <v>9</v>
      </c>
      <c r="C230" s="2">
        <v>46126.35276736111</v>
      </c>
      <c r="D230">
        <v>269</v>
      </c>
      <c r="F230" s="2">
        <v>46126.061100694445</v>
      </c>
      <c r="G230" s="3">
        <v>46126</v>
      </c>
      <c r="H230" t="s">
        <v>13</v>
      </c>
      <c r="I230">
        <v>1</v>
      </c>
    </row>
    <row r="231" spans="1:9" x14ac:dyDescent="0.2">
      <c r="A231" t="s">
        <v>343</v>
      </c>
      <c r="B231" t="s">
        <v>9</v>
      </c>
      <c r="C231" s="2">
        <v>46126.441135717592</v>
      </c>
      <c r="D231">
        <v>269</v>
      </c>
      <c r="F231" s="2">
        <v>46126.149469050928</v>
      </c>
      <c r="G231" s="3">
        <v>46126</v>
      </c>
      <c r="H231" t="s">
        <v>13</v>
      </c>
      <c r="I231">
        <v>3</v>
      </c>
    </row>
    <row r="232" spans="1:9" x14ac:dyDescent="0.2">
      <c r="A232" t="s">
        <v>344</v>
      </c>
      <c r="B232" t="s">
        <v>9</v>
      </c>
      <c r="C232" s="2">
        <v>46126.452668171296</v>
      </c>
      <c r="D232">
        <v>3</v>
      </c>
      <c r="E232" s="7" t="s">
        <v>319</v>
      </c>
      <c r="F232" s="2">
        <v>46126.161001504632</v>
      </c>
      <c r="G232" s="3">
        <v>46126</v>
      </c>
      <c r="H232" t="s">
        <v>13</v>
      </c>
      <c r="I232">
        <v>3</v>
      </c>
    </row>
    <row r="233" spans="1:9" x14ac:dyDescent="0.2">
      <c r="A233" t="s">
        <v>345</v>
      </c>
      <c r="B233" t="s">
        <v>9</v>
      </c>
      <c r="C233" s="2">
        <v>46126.469130636571</v>
      </c>
      <c r="D233">
        <v>3</v>
      </c>
      <c r="E233" s="7" t="s">
        <v>346</v>
      </c>
      <c r="F233" s="2">
        <v>46126.177463969907</v>
      </c>
      <c r="G233" s="3">
        <v>46126</v>
      </c>
      <c r="H233" t="s">
        <v>13</v>
      </c>
      <c r="I233">
        <v>4</v>
      </c>
    </row>
    <row r="234" spans="1:9" x14ac:dyDescent="0.2">
      <c r="A234" t="s">
        <v>347</v>
      </c>
      <c r="B234" t="s">
        <v>9</v>
      </c>
      <c r="C234" s="2">
        <v>46126.482499386577</v>
      </c>
      <c r="D234">
        <v>269</v>
      </c>
      <c r="F234" s="2">
        <v>46126.190832719905</v>
      </c>
      <c r="G234" s="3">
        <v>46126</v>
      </c>
      <c r="H234" t="s">
        <v>13</v>
      </c>
      <c r="I234">
        <v>4</v>
      </c>
    </row>
    <row r="235" spans="1:9" x14ac:dyDescent="0.2">
      <c r="A235" t="s">
        <v>348</v>
      </c>
      <c r="B235" t="s">
        <v>9</v>
      </c>
      <c r="C235" s="2">
        <v>46126.576053182871</v>
      </c>
      <c r="D235">
        <v>3</v>
      </c>
      <c r="F235" s="2">
        <v>46126.284386516207</v>
      </c>
      <c r="G235" s="3">
        <v>46126</v>
      </c>
      <c r="H235" t="s">
        <v>13</v>
      </c>
      <c r="I235">
        <v>6</v>
      </c>
    </row>
    <row r="236" spans="1:9" x14ac:dyDescent="0.2">
      <c r="A236" t="s">
        <v>349</v>
      </c>
      <c r="B236" t="s">
        <v>9</v>
      </c>
      <c r="C236" s="2">
        <v>46126.587277303239</v>
      </c>
      <c r="D236">
        <v>269</v>
      </c>
      <c r="F236" s="2">
        <v>46126.295610636575</v>
      </c>
      <c r="G236" s="3">
        <v>46126</v>
      </c>
      <c r="H236" t="s">
        <v>13</v>
      </c>
      <c r="I236">
        <v>7</v>
      </c>
    </row>
    <row r="237" spans="1:9" x14ac:dyDescent="0.2">
      <c r="A237" t="s">
        <v>350</v>
      </c>
      <c r="B237" t="s">
        <v>9</v>
      </c>
      <c r="C237" s="2">
        <v>46126.592157800929</v>
      </c>
      <c r="D237">
        <v>3</v>
      </c>
      <c r="F237" s="2">
        <v>46126.300491134258</v>
      </c>
      <c r="G237" s="3">
        <v>46126</v>
      </c>
      <c r="H237" t="s">
        <v>13</v>
      </c>
      <c r="I237">
        <v>7</v>
      </c>
    </row>
    <row r="238" spans="1:9" x14ac:dyDescent="0.2">
      <c r="A238" t="s">
        <v>351</v>
      </c>
      <c r="B238" t="s">
        <v>9</v>
      </c>
      <c r="C238" s="2">
        <v>46126.617126712961</v>
      </c>
      <c r="D238">
        <v>3</v>
      </c>
      <c r="E238" s="7" t="s">
        <v>16</v>
      </c>
      <c r="F238" s="2">
        <v>46126.325460046297</v>
      </c>
      <c r="G238" s="3">
        <v>46126</v>
      </c>
      <c r="H238" t="s">
        <v>13</v>
      </c>
      <c r="I238">
        <v>7</v>
      </c>
    </row>
    <row r="239" spans="1:9" x14ac:dyDescent="0.2">
      <c r="A239" t="s">
        <v>352</v>
      </c>
      <c r="B239" t="s">
        <v>9</v>
      </c>
      <c r="C239" s="2">
        <v>46126.619391354165</v>
      </c>
      <c r="D239">
        <v>269</v>
      </c>
      <c r="F239" s="2">
        <v>46126.3277246875</v>
      </c>
      <c r="G239" s="3">
        <v>46126</v>
      </c>
      <c r="H239" t="s">
        <v>13</v>
      </c>
      <c r="I239">
        <v>7</v>
      </c>
    </row>
    <row r="240" spans="1:9" x14ac:dyDescent="0.2">
      <c r="A240" t="s">
        <v>353</v>
      </c>
      <c r="B240" t="s">
        <v>9</v>
      </c>
      <c r="C240" s="2">
        <v>46126.621949386572</v>
      </c>
      <c r="D240">
        <v>3</v>
      </c>
      <c r="F240" s="2">
        <v>46126.330282719908</v>
      </c>
      <c r="G240" s="3">
        <v>46126</v>
      </c>
      <c r="H240" t="s">
        <v>13</v>
      </c>
      <c r="I240">
        <v>7</v>
      </c>
    </row>
    <row r="241" spans="1:9" x14ac:dyDescent="0.2">
      <c r="A241" t="s">
        <v>354</v>
      </c>
      <c r="B241" t="s">
        <v>9</v>
      </c>
      <c r="C241" s="2">
        <v>46126.62613488426</v>
      </c>
      <c r="D241">
        <v>269</v>
      </c>
      <c r="F241" s="2">
        <v>46126.334468217596</v>
      </c>
      <c r="G241" s="3">
        <v>46126</v>
      </c>
      <c r="H241" t="s">
        <v>13</v>
      </c>
      <c r="I241">
        <v>8</v>
      </c>
    </row>
    <row r="242" spans="1:9" x14ac:dyDescent="0.2">
      <c r="A242" t="s">
        <v>355</v>
      </c>
      <c r="B242" t="s">
        <v>9</v>
      </c>
      <c r="C242" s="2">
        <v>46126.635901504633</v>
      </c>
      <c r="D242">
        <v>269</v>
      </c>
      <c r="F242" s="2">
        <v>46126.344234837961</v>
      </c>
      <c r="G242" s="3">
        <v>46126</v>
      </c>
      <c r="H242" t="s">
        <v>13</v>
      </c>
      <c r="I242">
        <v>8</v>
      </c>
    </row>
    <row r="243" spans="1:9" x14ac:dyDescent="0.2">
      <c r="A243" t="s">
        <v>356</v>
      </c>
      <c r="B243" t="s">
        <v>9</v>
      </c>
      <c r="C243" s="2">
        <v>46126.810645451391</v>
      </c>
      <c r="D243">
        <v>3</v>
      </c>
      <c r="F243" s="2">
        <v>46126.518978784719</v>
      </c>
      <c r="G243" s="3">
        <v>46126</v>
      </c>
      <c r="H243" t="s">
        <v>13</v>
      </c>
      <c r="I243">
        <v>12</v>
      </c>
    </row>
    <row r="244" spans="1:9" x14ac:dyDescent="0.2">
      <c r="A244" t="s">
        <v>357</v>
      </c>
      <c r="B244" t="s">
        <v>9</v>
      </c>
      <c r="C244" s="2">
        <v>46126.869833391203</v>
      </c>
      <c r="D244">
        <v>3</v>
      </c>
      <c r="F244" s="2">
        <v>46126.578166724539</v>
      </c>
      <c r="G244" s="3">
        <v>46126</v>
      </c>
      <c r="H244" t="s">
        <v>13</v>
      </c>
      <c r="I244">
        <v>13</v>
      </c>
    </row>
    <row r="245" spans="1:9" x14ac:dyDescent="0.2">
      <c r="A245" t="s">
        <v>358</v>
      </c>
      <c r="B245" t="s">
        <v>9</v>
      </c>
      <c r="C245" s="2">
        <v>46126.974759363424</v>
      </c>
      <c r="D245">
        <v>3</v>
      </c>
      <c r="F245" s="2">
        <v>46126.68309269676</v>
      </c>
      <c r="G245" s="3">
        <v>46126</v>
      </c>
      <c r="H245" t="s">
        <v>13</v>
      </c>
      <c r="I245">
        <v>16</v>
      </c>
    </row>
    <row r="246" spans="1:9" x14ac:dyDescent="0.2">
      <c r="A246" t="s">
        <v>359</v>
      </c>
      <c r="B246" t="s">
        <v>9</v>
      </c>
      <c r="C246" s="2">
        <v>46127.121705810183</v>
      </c>
      <c r="D246">
        <v>3</v>
      </c>
      <c r="E246" s="7" t="s">
        <v>304</v>
      </c>
      <c r="F246" s="2">
        <v>46126.830039143519</v>
      </c>
      <c r="G246" s="3">
        <v>46126</v>
      </c>
      <c r="H246" t="s">
        <v>13</v>
      </c>
      <c r="I246">
        <v>19</v>
      </c>
    </row>
    <row r="247" spans="1:9" x14ac:dyDescent="0.2">
      <c r="A247" t="s">
        <v>360</v>
      </c>
      <c r="B247" t="s">
        <v>9</v>
      </c>
      <c r="C247" s="2">
        <v>46127.169205312501</v>
      </c>
      <c r="D247">
        <v>269</v>
      </c>
      <c r="E247" s="7" t="s">
        <v>304</v>
      </c>
      <c r="F247" s="2">
        <v>46126.877538645836</v>
      </c>
      <c r="G247" s="3">
        <v>46126</v>
      </c>
      <c r="H247" t="s">
        <v>13</v>
      </c>
      <c r="I247">
        <v>21</v>
      </c>
    </row>
    <row r="248" spans="1:9" x14ac:dyDescent="0.2">
      <c r="A248" t="s">
        <v>361</v>
      </c>
      <c r="B248" t="s">
        <v>9</v>
      </c>
      <c r="C248" s="2">
        <v>46127.286404675928</v>
      </c>
      <c r="D248">
        <v>6085</v>
      </c>
      <c r="E248" s="7" t="s">
        <v>96</v>
      </c>
      <c r="F248" s="2">
        <v>46126.994738009256</v>
      </c>
      <c r="G248" s="3">
        <v>46126</v>
      </c>
      <c r="H248" t="s">
        <v>13</v>
      </c>
      <c r="I248">
        <v>23</v>
      </c>
    </row>
    <row r="249" spans="1:9" x14ac:dyDescent="0.2">
      <c r="A249" t="s">
        <v>362</v>
      </c>
      <c r="B249" t="s">
        <v>9</v>
      </c>
      <c r="C249" s="2">
        <v>46127.287516076387</v>
      </c>
      <c r="D249">
        <v>3</v>
      </c>
      <c r="E249" s="7" t="s">
        <v>319</v>
      </c>
      <c r="F249" s="2">
        <v>46126.995849409723</v>
      </c>
      <c r="G249" s="3">
        <v>46126</v>
      </c>
      <c r="H249" t="s">
        <v>13</v>
      </c>
      <c r="I249">
        <v>23</v>
      </c>
    </row>
    <row r="250" spans="1:9" x14ac:dyDescent="0.2">
      <c r="A250" t="s">
        <v>363</v>
      </c>
      <c r="B250" t="s">
        <v>9</v>
      </c>
      <c r="C250" s="2">
        <v>46127.29666064815</v>
      </c>
      <c r="D250">
        <v>269</v>
      </c>
      <c r="E250" s="7" t="s">
        <v>319</v>
      </c>
      <c r="F250" s="2">
        <v>46127.004993981478</v>
      </c>
      <c r="G250" s="3">
        <v>46127</v>
      </c>
      <c r="H250" t="s">
        <v>17</v>
      </c>
      <c r="I250">
        <v>0</v>
      </c>
    </row>
    <row r="251" spans="1:9" x14ac:dyDescent="0.2">
      <c r="A251" t="s">
        <v>364</v>
      </c>
      <c r="B251" t="s">
        <v>9</v>
      </c>
      <c r="C251" s="2">
        <v>46127.299423923614</v>
      </c>
      <c r="D251">
        <v>269</v>
      </c>
      <c r="E251" s="7" t="s">
        <v>33</v>
      </c>
      <c r="F251" s="2">
        <v>46127.007757256943</v>
      </c>
      <c r="G251" s="3">
        <v>46127</v>
      </c>
      <c r="H251" t="s">
        <v>17</v>
      </c>
      <c r="I251">
        <v>0</v>
      </c>
    </row>
    <row r="252" spans="1:9" x14ac:dyDescent="0.2">
      <c r="A252" t="s">
        <v>365</v>
      </c>
      <c r="B252" t="s">
        <v>9</v>
      </c>
      <c r="C252" s="2">
        <v>46127.318821076391</v>
      </c>
      <c r="D252">
        <v>1</v>
      </c>
      <c r="E252" s="7" t="s">
        <v>366</v>
      </c>
      <c r="F252" s="2">
        <v>46127.02715440972</v>
      </c>
      <c r="G252" s="3">
        <v>46127</v>
      </c>
      <c r="H252" t="s">
        <v>17</v>
      </c>
      <c r="I252">
        <v>0</v>
      </c>
    </row>
    <row r="253" spans="1:9" x14ac:dyDescent="0.2">
      <c r="A253" t="s">
        <v>367</v>
      </c>
      <c r="B253" t="s">
        <v>9</v>
      </c>
      <c r="C253" s="2">
        <v>46127.320025381945</v>
      </c>
      <c r="D253">
        <v>269</v>
      </c>
      <c r="F253" s="2">
        <v>46127.028358715281</v>
      </c>
      <c r="G253" s="3">
        <v>46127</v>
      </c>
      <c r="H253" t="s">
        <v>17</v>
      </c>
      <c r="I253">
        <v>0</v>
      </c>
    </row>
    <row r="254" spans="1:9" x14ac:dyDescent="0.2">
      <c r="A254" t="s">
        <v>368</v>
      </c>
      <c r="B254" t="s">
        <v>9</v>
      </c>
      <c r="C254" s="2">
        <v>46127.322318252314</v>
      </c>
      <c r="D254">
        <v>269</v>
      </c>
      <c r="F254" s="2">
        <v>46127.03065158565</v>
      </c>
      <c r="G254" s="3">
        <v>46127</v>
      </c>
      <c r="H254" t="s">
        <v>17</v>
      </c>
      <c r="I254">
        <v>0</v>
      </c>
    </row>
    <row r="255" spans="1:9" x14ac:dyDescent="0.2">
      <c r="A255" t="s">
        <v>369</v>
      </c>
      <c r="B255" t="s">
        <v>9</v>
      </c>
      <c r="C255" s="2">
        <v>46127.337735694447</v>
      </c>
      <c r="D255">
        <v>269</v>
      </c>
      <c r="F255" s="2">
        <v>46127.046069027776</v>
      </c>
      <c r="G255" s="3">
        <v>46127</v>
      </c>
      <c r="H255" t="s">
        <v>17</v>
      </c>
      <c r="I255">
        <v>1</v>
      </c>
    </row>
    <row r="256" spans="1:9" x14ac:dyDescent="0.2">
      <c r="A256" t="s">
        <v>370</v>
      </c>
      <c r="B256" t="s">
        <v>9</v>
      </c>
      <c r="C256" s="2">
        <v>46127.364187164349</v>
      </c>
      <c r="D256">
        <v>269</v>
      </c>
      <c r="F256" s="2">
        <v>46127.072520497684</v>
      </c>
      <c r="G256" s="3">
        <v>46127</v>
      </c>
      <c r="H256" t="s">
        <v>17</v>
      </c>
      <c r="I256">
        <v>1</v>
      </c>
    </row>
    <row r="257" spans="1:9" x14ac:dyDescent="0.2">
      <c r="A257" t="s">
        <v>371</v>
      </c>
      <c r="B257" t="s">
        <v>9</v>
      </c>
      <c r="C257" s="2">
        <v>46127.384797395833</v>
      </c>
      <c r="D257">
        <v>269</v>
      </c>
      <c r="F257" s="2">
        <v>46127.093130729168</v>
      </c>
      <c r="G257" s="3">
        <v>46127</v>
      </c>
      <c r="H257" t="s">
        <v>17</v>
      </c>
      <c r="I257">
        <v>2</v>
      </c>
    </row>
    <row r="258" spans="1:9" x14ac:dyDescent="0.2">
      <c r="A258" t="s">
        <v>372</v>
      </c>
      <c r="B258" t="s">
        <v>9</v>
      </c>
      <c r="C258" s="2">
        <v>46127.389953668979</v>
      </c>
      <c r="D258">
        <v>269</v>
      </c>
      <c r="F258" s="2">
        <v>46127.098287002314</v>
      </c>
      <c r="G258" s="3">
        <v>46127</v>
      </c>
      <c r="H258" t="s">
        <v>17</v>
      </c>
      <c r="I258">
        <v>2</v>
      </c>
    </row>
    <row r="259" spans="1:9" x14ac:dyDescent="0.2">
      <c r="A259" t="s">
        <v>373</v>
      </c>
      <c r="B259" t="s">
        <v>9</v>
      </c>
      <c r="C259" s="2">
        <v>46127.411033657409</v>
      </c>
      <c r="D259">
        <v>269</v>
      </c>
      <c r="E259" s="7" t="s">
        <v>33</v>
      </c>
      <c r="F259" s="2">
        <v>46127.119366990744</v>
      </c>
      <c r="G259" s="3">
        <v>46127</v>
      </c>
      <c r="H259" t="s">
        <v>17</v>
      </c>
      <c r="I259">
        <v>2</v>
      </c>
    </row>
    <row r="260" spans="1:9" x14ac:dyDescent="0.2">
      <c r="A260" t="s">
        <v>374</v>
      </c>
      <c r="B260" t="s">
        <v>9</v>
      </c>
      <c r="C260" s="2">
        <v>46127.418775011574</v>
      </c>
      <c r="D260">
        <v>269</v>
      </c>
      <c r="E260" s="7" t="s">
        <v>33</v>
      </c>
      <c r="F260" s="2">
        <v>46127.12710834491</v>
      </c>
      <c r="G260" s="3">
        <v>46127</v>
      </c>
      <c r="H260" t="s">
        <v>17</v>
      </c>
      <c r="I260">
        <v>3</v>
      </c>
    </row>
    <row r="261" spans="1:9" x14ac:dyDescent="0.2">
      <c r="A261" t="s">
        <v>375</v>
      </c>
      <c r="B261" t="s">
        <v>9</v>
      </c>
      <c r="C261" s="2">
        <v>46127.429061157411</v>
      </c>
      <c r="D261">
        <v>269</v>
      </c>
      <c r="F261" s="2">
        <v>46127.137394490739</v>
      </c>
      <c r="G261" s="3">
        <v>46127</v>
      </c>
      <c r="H261" t="s">
        <v>17</v>
      </c>
      <c r="I261">
        <v>3</v>
      </c>
    </row>
    <row r="262" spans="1:9" x14ac:dyDescent="0.2">
      <c r="A262" t="s">
        <v>376</v>
      </c>
      <c r="B262" t="s">
        <v>9</v>
      </c>
      <c r="C262" s="2">
        <v>46127.455431284725</v>
      </c>
      <c r="D262">
        <v>3</v>
      </c>
      <c r="F262" s="2">
        <v>46127.163764618053</v>
      </c>
      <c r="G262" s="3">
        <v>46127</v>
      </c>
      <c r="H262" t="s">
        <v>17</v>
      </c>
      <c r="I262">
        <v>3</v>
      </c>
    </row>
    <row r="263" spans="1:9" x14ac:dyDescent="0.2">
      <c r="A263" t="s">
        <v>377</v>
      </c>
      <c r="B263" t="s">
        <v>9</v>
      </c>
      <c r="C263" s="2">
        <v>46127.469993449071</v>
      </c>
      <c r="D263">
        <v>269</v>
      </c>
      <c r="F263" s="2">
        <v>46127.178326782407</v>
      </c>
      <c r="G263" s="3">
        <v>46127</v>
      </c>
      <c r="H263" t="s">
        <v>17</v>
      </c>
      <c r="I263">
        <v>4</v>
      </c>
    </row>
    <row r="264" spans="1:9" x14ac:dyDescent="0.2">
      <c r="A264" t="s">
        <v>378</v>
      </c>
      <c r="B264" t="s">
        <v>9</v>
      </c>
      <c r="C264" s="2">
        <v>46127.493144988424</v>
      </c>
      <c r="D264">
        <v>269</v>
      </c>
      <c r="E264" s="7" t="s">
        <v>33</v>
      </c>
      <c r="F264" s="2">
        <v>46127.20147832176</v>
      </c>
      <c r="G264" s="3">
        <v>46127</v>
      </c>
      <c r="H264" t="s">
        <v>17</v>
      </c>
      <c r="I264">
        <v>4</v>
      </c>
    </row>
    <row r="265" spans="1:9" x14ac:dyDescent="0.2">
      <c r="A265" t="s">
        <v>379</v>
      </c>
      <c r="B265" t="s">
        <v>9</v>
      </c>
      <c r="C265" s="2">
        <v>46127.494083703707</v>
      </c>
      <c r="D265">
        <v>3</v>
      </c>
      <c r="E265" s="7" t="s">
        <v>340</v>
      </c>
      <c r="F265" s="2">
        <v>46127.202417037035</v>
      </c>
      <c r="G265" s="3">
        <v>46127</v>
      </c>
      <c r="H265" t="s">
        <v>17</v>
      </c>
      <c r="I265">
        <v>4</v>
      </c>
    </row>
    <row r="266" spans="1:9" x14ac:dyDescent="0.2">
      <c r="A266" t="s">
        <v>380</v>
      </c>
      <c r="B266" t="s">
        <v>9</v>
      </c>
      <c r="C266" s="2">
        <v>46127.502967800923</v>
      </c>
      <c r="D266">
        <v>3</v>
      </c>
      <c r="F266" s="2">
        <v>46127.211301134259</v>
      </c>
      <c r="G266" s="3">
        <v>46127</v>
      </c>
      <c r="H266" t="s">
        <v>17</v>
      </c>
      <c r="I266">
        <v>5</v>
      </c>
    </row>
    <row r="267" spans="1:9" x14ac:dyDescent="0.2">
      <c r="A267" t="s">
        <v>381</v>
      </c>
      <c r="B267" t="s">
        <v>9</v>
      </c>
      <c r="C267" s="2">
        <v>46127.510595636573</v>
      </c>
      <c r="D267">
        <v>3</v>
      </c>
      <c r="E267" s="7" t="s">
        <v>340</v>
      </c>
      <c r="F267" s="2">
        <v>46127.218928969909</v>
      </c>
      <c r="G267" s="3">
        <v>46127</v>
      </c>
      <c r="H267" t="s">
        <v>17</v>
      </c>
      <c r="I267">
        <v>5</v>
      </c>
    </row>
    <row r="268" spans="1:9" x14ac:dyDescent="0.2">
      <c r="A268" t="s">
        <v>382</v>
      </c>
      <c r="B268" t="s">
        <v>9</v>
      </c>
      <c r="C268" s="2">
        <v>46127.521748969906</v>
      </c>
      <c r="D268">
        <v>269</v>
      </c>
      <c r="F268" s="2">
        <v>46127.230082303242</v>
      </c>
      <c r="G268" s="3">
        <v>46127</v>
      </c>
      <c r="H268" t="s">
        <v>17</v>
      </c>
      <c r="I268">
        <v>5</v>
      </c>
    </row>
    <row r="269" spans="1:9" x14ac:dyDescent="0.2">
      <c r="A269" t="s">
        <v>383</v>
      </c>
      <c r="B269" t="s">
        <v>9</v>
      </c>
      <c r="C269" s="2">
        <v>46127.537793715281</v>
      </c>
      <c r="D269">
        <v>269</v>
      </c>
      <c r="F269" s="2">
        <v>46127.246127048609</v>
      </c>
      <c r="G269" s="3">
        <v>46127</v>
      </c>
      <c r="H269" t="s">
        <v>17</v>
      </c>
      <c r="I269">
        <v>5</v>
      </c>
    </row>
    <row r="270" spans="1:9" x14ac:dyDescent="0.2">
      <c r="A270" t="s">
        <v>384</v>
      </c>
      <c r="B270" t="s">
        <v>9</v>
      </c>
      <c r="C270" s="2">
        <v>46127.544883356481</v>
      </c>
      <c r="D270">
        <v>269</v>
      </c>
      <c r="F270" s="2">
        <v>46127.253216689816</v>
      </c>
      <c r="G270" s="3">
        <v>46127</v>
      </c>
      <c r="H270" t="s">
        <v>17</v>
      </c>
      <c r="I270">
        <v>6</v>
      </c>
    </row>
    <row r="271" spans="1:9" x14ac:dyDescent="0.2">
      <c r="A271" t="s">
        <v>385</v>
      </c>
      <c r="B271" t="s">
        <v>9</v>
      </c>
      <c r="C271" s="2">
        <v>46127.545758495369</v>
      </c>
      <c r="D271">
        <v>269</v>
      </c>
      <c r="E271" s="7" t="s">
        <v>33</v>
      </c>
      <c r="F271" s="2">
        <v>46127.254091828705</v>
      </c>
      <c r="G271" s="3">
        <v>46127</v>
      </c>
      <c r="H271" t="s">
        <v>17</v>
      </c>
      <c r="I271">
        <v>6</v>
      </c>
    </row>
    <row r="272" spans="1:9" x14ac:dyDescent="0.2">
      <c r="A272" t="s">
        <v>386</v>
      </c>
      <c r="B272" t="s">
        <v>9</v>
      </c>
      <c r="C272" s="2">
        <v>46127.561934108795</v>
      </c>
      <c r="D272">
        <v>269</v>
      </c>
      <c r="E272" s="7" t="s">
        <v>387</v>
      </c>
      <c r="F272" s="2">
        <v>46127.270267442131</v>
      </c>
      <c r="G272" s="3">
        <v>46127</v>
      </c>
      <c r="H272" t="s">
        <v>17</v>
      </c>
      <c r="I272">
        <v>6</v>
      </c>
    </row>
    <row r="273" spans="1:9" x14ac:dyDescent="0.2">
      <c r="A273" t="s">
        <v>388</v>
      </c>
      <c r="B273" t="s">
        <v>9</v>
      </c>
      <c r="C273" s="2">
        <v>46127.564041481484</v>
      </c>
      <c r="D273">
        <v>3</v>
      </c>
      <c r="F273" s="2">
        <v>46127.272374814813</v>
      </c>
      <c r="G273" s="3">
        <v>46127</v>
      </c>
      <c r="H273" t="s">
        <v>17</v>
      </c>
      <c r="I273">
        <v>6</v>
      </c>
    </row>
    <row r="274" spans="1:9" x14ac:dyDescent="0.2">
      <c r="A274" t="s">
        <v>389</v>
      </c>
      <c r="B274" t="s">
        <v>9</v>
      </c>
      <c r="C274" s="2">
        <v>46127.569260335651</v>
      </c>
      <c r="D274">
        <v>3</v>
      </c>
      <c r="E274" s="7" t="s">
        <v>179</v>
      </c>
      <c r="F274" s="2">
        <v>46127.27759366898</v>
      </c>
      <c r="G274" s="3">
        <v>46127</v>
      </c>
      <c r="H274" t="s">
        <v>17</v>
      </c>
      <c r="I274">
        <v>6</v>
      </c>
    </row>
    <row r="275" spans="1:9" x14ac:dyDescent="0.2">
      <c r="A275" t="s">
        <v>390</v>
      </c>
      <c r="B275" t="s">
        <v>9</v>
      </c>
      <c r="C275" s="2">
        <v>46127.570555659724</v>
      </c>
      <c r="D275">
        <v>269</v>
      </c>
      <c r="F275" s="2">
        <v>46127.278888993053</v>
      </c>
      <c r="G275" s="3">
        <v>46127</v>
      </c>
      <c r="H275" t="s">
        <v>17</v>
      </c>
      <c r="I275">
        <v>6</v>
      </c>
    </row>
    <row r="276" spans="1:9" x14ac:dyDescent="0.2">
      <c r="A276" t="s">
        <v>391</v>
      </c>
      <c r="B276" t="s">
        <v>9</v>
      </c>
      <c r="C276" s="2">
        <v>46127.57109946759</v>
      </c>
      <c r="D276">
        <v>64</v>
      </c>
      <c r="F276" s="2">
        <v>46127.279432800926</v>
      </c>
      <c r="G276" s="3">
        <v>46127</v>
      </c>
      <c r="H276" t="s">
        <v>17</v>
      </c>
      <c r="I276">
        <v>6</v>
      </c>
    </row>
    <row r="277" spans="1:9" x14ac:dyDescent="0.2">
      <c r="A277" t="s">
        <v>392</v>
      </c>
      <c r="B277" t="s">
        <v>9</v>
      </c>
      <c r="C277" s="2">
        <v>46127.593199340277</v>
      </c>
      <c r="D277">
        <v>269</v>
      </c>
      <c r="F277" s="2">
        <v>46127.301532673613</v>
      </c>
      <c r="G277" s="3">
        <v>46127</v>
      </c>
      <c r="H277" t="s">
        <v>17</v>
      </c>
      <c r="I277">
        <v>7</v>
      </c>
    </row>
    <row r="278" spans="1:9" x14ac:dyDescent="0.2">
      <c r="A278" t="s">
        <v>393</v>
      </c>
      <c r="B278" t="s">
        <v>9</v>
      </c>
      <c r="C278" s="2">
        <v>46127.596416053238</v>
      </c>
      <c r="D278">
        <v>202</v>
      </c>
      <c r="E278" s="7" t="s">
        <v>394</v>
      </c>
      <c r="F278" s="2">
        <v>46127.304749386574</v>
      </c>
      <c r="G278" s="3">
        <v>46127</v>
      </c>
      <c r="H278" t="s">
        <v>17</v>
      </c>
      <c r="I278">
        <v>7</v>
      </c>
    </row>
    <row r="279" spans="1:9" x14ac:dyDescent="0.2">
      <c r="A279" t="s">
        <v>395</v>
      </c>
      <c r="B279" t="s">
        <v>9</v>
      </c>
      <c r="C279" s="2">
        <v>46127.612785277779</v>
      </c>
      <c r="D279">
        <v>269</v>
      </c>
      <c r="F279" s="2">
        <v>46127.321118611108</v>
      </c>
      <c r="G279" s="3">
        <v>46127</v>
      </c>
      <c r="H279" t="s">
        <v>17</v>
      </c>
      <c r="I279">
        <v>7</v>
      </c>
    </row>
    <row r="280" spans="1:9" x14ac:dyDescent="0.2">
      <c r="A280" t="s">
        <v>396</v>
      </c>
      <c r="B280" t="s">
        <v>9</v>
      </c>
      <c r="C280" s="2">
        <v>46127.620284490738</v>
      </c>
      <c r="D280">
        <v>269</v>
      </c>
      <c r="F280" s="2">
        <v>46127.328617824074</v>
      </c>
      <c r="G280" s="3">
        <v>46127</v>
      </c>
      <c r="H280" t="s">
        <v>17</v>
      </c>
      <c r="I280">
        <v>7</v>
      </c>
    </row>
    <row r="281" spans="1:9" x14ac:dyDescent="0.2">
      <c r="A281" t="s">
        <v>397</v>
      </c>
      <c r="B281" t="s">
        <v>9</v>
      </c>
      <c r="C281" s="2">
        <v>46127.62149888889</v>
      </c>
      <c r="D281">
        <v>3</v>
      </c>
      <c r="F281" s="2">
        <v>46127.329832222225</v>
      </c>
      <c r="G281" s="3">
        <v>46127</v>
      </c>
      <c r="H281" t="s">
        <v>17</v>
      </c>
      <c r="I281">
        <v>7</v>
      </c>
    </row>
    <row r="282" spans="1:9" x14ac:dyDescent="0.2">
      <c r="A282" t="s">
        <v>398</v>
      </c>
      <c r="B282" t="s">
        <v>9</v>
      </c>
      <c r="C282" s="2">
        <v>46127.626708043979</v>
      </c>
      <c r="D282">
        <v>269</v>
      </c>
      <c r="F282" s="2">
        <v>46127.335041377315</v>
      </c>
      <c r="G282" s="3">
        <v>46127</v>
      </c>
      <c r="H282" t="s">
        <v>17</v>
      </c>
      <c r="I282">
        <v>8</v>
      </c>
    </row>
    <row r="283" spans="1:9" x14ac:dyDescent="0.2">
      <c r="A283" t="s">
        <v>399</v>
      </c>
      <c r="B283" t="s">
        <v>9</v>
      </c>
      <c r="C283" s="2">
        <v>46127.646009131946</v>
      </c>
      <c r="D283">
        <v>202</v>
      </c>
      <c r="F283" s="2">
        <v>46127.354342465274</v>
      </c>
      <c r="G283" s="3">
        <v>46127</v>
      </c>
      <c r="H283" t="s">
        <v>17</v>
      </c>
      <c r="I283">
        <v>8</v>
      </c>
    </row>
    <row r="284" spans="1:9" x14ac:dyDescent="0.2">
      <c r="A284" t="s">
        <v>400</v>
      </c>
      <c r="B284" t="s">
        <v>9</v>
      </c>
      <c r="C284" s="2">
        <v>46127.647049722225</v>
      </c>
      <c r="D284">
        <v>3</v>
      </c>
      <c r="F284" s="2">
        <v>46127.355383055554</v>
      </c>
      <c r="G284" s="3">
        <v>46127</v>
      </c>
      <c r="H284" t="s">
        <v>17</v>
      </c>
      <c r="I284">
        <v>8</v>
      </c>
    </row>
    <row r="285" spans="1:9" x14ac:dyDescent="0.2">
      <c r="A285" t="s">
        <v>401</v>
      </c>
      <c r="B285" t="s">
        <v>9</v>
      </c>
      <c r="C285" s="2">
        <v>46127.658649120371</v>
      </c>
      <c r="D285">
        <v>10</v>
      </c>
      <c r="F285" s="2">
        <v>46127.366982453706</v>
      </c>
      <c r="G285" s="3">
        <v>46127</v>
      </c>
      <c r="H285" t="s">
        <v>17</v>
      </c>
      <c r="I285">
        <v>8</v>
      </c>
    </row>
    <row r="286" spans="1:9" x14ac:dyDescent="0.2">
      <c r="A286" t="s">
        <v>402</v>
      </c>
      <c r="B286" t="s">
        <v>9</v>
      </c>
      <c r="C286" s="2">
        <v>46127.659987453706</v>
      </c>
      <c r="D286">
        <v>9</v>
      </c>
      <c r="F286" s="2">
        <v>46127.368320787034</v>
      </c>
      <c r="G286" s="3">
        <v>46127</v>
      </c>
      <c r="H286" t="s">
        <v>17</v>
      </c>
      <c r="I286">
        <v>8</v>
      </c>
    </row>
    <row r="287" spans="1:9" x14ac:dyDescent="0.2">
      <c r="A287" t="s">
        <v>403</v>
      </c>
      <c r="B287" t="s">
        <v>9</v>
      </c>
      <c r="C287" s="2">
        <v>46127.683981817128</v>
      </c>
      <c r="D287">
        <v>3</v>
      </c>
      <c r="F287" s="2">
        <v>46127.392315150464</v>
      </c>
      <c r="G287" s="3">
        <v>46127</v>
      </c>
      <c r="H287" t="s">
        <v>17</v>
      </c>
      <c r="I287">
        <v>9</v>
      </c>
    </row>
    <row r="288" spans="1:9" x14ac:dyDescent="0.2">
      <c r="A288" t="s">
        <v>404</v>
      </c>
      <c r="B288" t="s">
        <v>9</v>
      </c>
      <c r="C288" s="2">
        <v>46127.686266909725</v>
      </c>
      <c r="D288">
        <v>3</v>
      </c>
      <c r="F288" s="2">
        <v>46127.394600243053</v>
      </c>
      <c r="G288" s="3">
        <v>46127</v>
      </c>
      <c r="H288" t="s">
        <v>17</v>
      </c>
      <c r="I288">
        <v>9</v>
      </c>
    </row>
    <row r="289" spans="1:9" x14ac:dyDescent="0.2">
      <c r="A289" t="s">
        <v>405</v>
      </c>
      <c r="B289" t="s">
        <v>9</v>
      </c>
      <c r="C289" s="2">
        <v>46127.737876238425</v>
      </c>
      <c r="D289">
        <v>202</v>
      </c>
      <c r="F289" s="2">
        <v>46127.446209571761</v>
      </c>
      <c r="G289" s="3">
        <v>46127</v>
      </c>
      <c r="H289" t="s">
        <v>17</v>
      </c>
      <c r="I289">
        <v>10</v>
      </c>
    </row>
    <row r="290" spans="1:9" x14ac:dyDescent="0.2">
      <c r="A290" t="s">
        <v>406</v>
      </c>
      <c r="B290" t="s">
        <v>9</v>
      </c>
      <c r="C290" s="2">
        <v>46127.744977372684</v>
      </c>
      <c r="D290">
        <v>3</v>
      </c>
      <c r="F290" s="2">
        <v>46127.45331070602</v>
      </c>
      <c r="G290" s="3">
        <v>46127</v>
      </c>
      <c r="H290" t="s">
        <v>17</v>
      </c>
      <c r="I290">
        <v>10</v>
      </c>
    </row>
    <row r="291" spans="1:9" x14ac:dyDescent="0.2">
      <c r="A291" t="s">
        <v>407</v>
      </c>
      <c r="B291" t="s">
        <v>9</v>
      </c>
      <c r="C291" s="2">
        <v>46127.806610370368</v>
      </c>
      <c r="D291">
        <v>3</v>
      </c>
      <c r="F291" s="2">
        <v>46127.514943703703</v>
      </c>
      <c r="G291" s="3">
        <v>46127</v>
      </c>
      <c r="H291" t="s">
        <v>17</v>
      </c>
      <c r="I291">
        <v>12</v>
      </c>
    </row>
    <row r="292" spans="1:9" x14ac:dyDescent="0.2">
      <c r="A292" t="s">
        <v>408</v>
      </c>
      <c r="B292" t="s">
        <v>9</v>
      </c>
      <c r="C292" s="2">
        <v>46127.82383627315</v>
      </c>
      <c r="D292">
        <v>3</v>
      </c>
      <c r="E292" s="7" t="s">
        <v>136</v>
      </c>
      <c r="F292" s="2">
        <v>46127.532169606478</v>
      </c>
      <c r="G292" s="3">
        <v>46127</v>
      </c>
      <c r="H292" t="s">
        <v>17</v>
      </c>
      <c r="I292">
        <v>12</v>
      </c>
    </row>
    <row r="293" spans="1:9" x14ac:dyDescent="0.2">
      <c r="A293" t="s">
        <v>409</v>
      </c>
      <c r="B293" t="s">
        <v>9</v>
      </c>
      <c r="C293" s="2">
        <v>46127.83580212963</v>
      </c>
      <c r="D293">
        <v>3</v>
      </c>
      <c r="F293" s="2">
        <v>46127.544135462966</v>
      </c>
      <c r="G293" s="3">
        <v>46127</v>
      </c>
      <c r="H293" t="s">
        <v>17</v>
      </c>
      <c r="I293">
        <v>13</v>
      </c>
    </row>
    <row r="294" spans="1:9" x14ac:dyDescent="0.2">
      <c r="A294" t="s">
        <v>410</v>
      </c>
      <c r="B294" t="s">
        <v>9</v>
      </c>
      <c r="C294" s="2">
        <v>46127.894004849535</v>
      </c>
      <c r="D294">
        <v>269</v>
      </c>
      <c r="E294" s="7" t="s">
        <v>114</v>
      </c>
      <c r="F294" s="2">
        <v>46127.602338182871</v>
      </c>
      <c r="G294" s="3">
        <v>46127</v>
      </c>
      <c r="H294" t="s">
        <v>17</v>
      </c>
      <c r="I294">
        <v>14</v>
      </c>
    </row>
    <row r="295" spans="1:9" x14ac:dyDescent="0.2">
      <c r="A295" t="s">
        <v>411</v>
      </c>
      <c r="B295" t="s">
        <v>9</v>
      </c>
      <c r="C295" s="2">
        <v>46127.899618935182</v>
      </c>
      <c r="D295">
        <v>3</v>
      </c>
      <c r="F295" s="2">
        <v>46127.607952268518</v>
      </c>
      <c r="G295" s="3">
        <v>46127</v>
      </c>
      <c r="H295" t="s">
        <v>17</v>
      </c>
      <c r="I295">
        <v>14</v>
      </c>
    </row>
    <row r="296" spans="1:9" x14ac:dyDescent="0.2">
      <c r="A296" t="s">
        <v>412</v>
      </c>
      <c r="B296" t="s">
        <v>9</v>
      </c>
      <c r="C296" s="2">
        <v>46127.902616585649</v>
      </c>
      <c r="D296">
        <v>3</v>
      </c>
      <c r="F296" s="2">
        <v>46127.610949918984</v>
      </c>
      <c r="G296" s="3">
        <v>46127</v>
      </c>
      <c r="H296" t="s">
        <v>17</v>
      </c>
      <c r="I296">
        <v>14</v>
      </c>
    </row>
    <row r="297" spans="1:9" x14ac:dyDescent="0.2">
      <c r="A297" t="s">
        <v>413</v>
      </c>
      <c r="B297" t="s">
        <v>9</v>
      </c>
      <c r="C297" s="2">
        <v>46127.939003645835</v>
      </c>
      <c r="D297">
        <v>269</v>
      </c>
      <c r="E297" s="7" t="s">
        <v>114</v>
      </c>
      <c r="F297" s="2">
        <v>46127.647336979164</v>
      </c>
      <c r="G297" s="3">
        <v>46127</v>
      </c>
      <c r="H297" t="s">
        <v>17</v>
      </c>
      <c r="I297">
        <v>15</v>
      </c>
    </row>
    <row r="298" spans="1:9" x14ac:dyDescent="0.2">
      <c r="A298" t="s">
        <v>414</v>
      </c>
      <c r="B298" t="s">
        <v>9</v>
      </c>
      <c r="C298" s="2">
        <v>46127.993926759256</v>
      </c>
      <c r="D298">
        <v>3</v>
      </c>
      <c r="F298" s="2">
        <v>46127.702260092592</v>
      </c>
      <c r="G298" s="3">
        <v>46127</v>
      </c>
      <c r="H298" t="s">
        <v>17</v>
      </c>
      <c r="I298">
        <v>16</v>
      </c>
    </row>
    <row r="299" spans="1:9" x14ac:dyDescent="0.2">
      <c r="A299" t="s">
        <v>415</v>
      </c>
      <c r="B299" t="s">
        <v>9</v>
      </c>
      <c r="C299" s="2">
        <v>46128.003064571756</v>
      </c>
      <c r="D299">
        <v>3</v>
      </c>
      <c r="F299" s="2">
        <v>46127.711397905092</v>
      </c>
      <c r="G299" s="3">
        <v>46127</v>
      </c>
      <c r="H299" t="s">
        <v>17</v>
      </c>
      <c r="I299">
        <v>17</v>
      </c>
    </row>
    <row r="300" spans="1:9" x14ac:dyDescent="0.2">
      <c r="A300" t="s">
        <v>416</v>
      </c>
      <c r="B300" t="s">
        <v>9</v>
      </c>
      <c r="C300" s="2">
        <v>46128.060398831018</v>
      </c>
      <c r="D300">
        <v>3</v>
      </c>
      <c r="F300" s="2">
        <v>46127.768732164353</v>
      </c>
      <c r="G300" s="3">
        <v>46127</v>
      </c>
      <c r="H300" t="s">
        <v>17</v>
      </c>
      <c r="I300">
        <v>18</v>
      </c>
    </row>
    <row r="301" spans="1:9" x14ac:dyDescent="0.2">
      <c r="A301" t="s">
        <v>417</v>
      </c>
      <c r="B301" t="s">
        <v>9</v>
      </c>
      <c r="C301" s="2">
        <v>46128.088378298613</v>
      </c>
      <c r="D301">
        <v>3</v>
      </c>
      <c r="F301" s="2">
        <v>46127.796711631941</v>
      </c>
      <c r="G301" s="3">
        <v>46127</v>
      </c>
      <c r="H301" t="s">
        <v>17</v>
      </c>
      <c r="I301">
        <v>19</v>
      </c>
    </row>
    <row r="302" spans="1:9" x14ac:dyDescent="0.2">
      <c r="A302" t="s">
        <v>418</v>
      </c>
      <c r="B302" t="s">
        <v>9</v>
      </c>
      <c r="C302" s="2">
        <v>46128.236171875003</v>
      </c>
      <c r="D302">
        <v>64</v>
      </c>
      <c r="F302" s="2">
        <v>46127.944505208332</v>
      </c>
      <c r="G302" s="3">
        <v>46127</v>
      </c>
      <c r="H302" t="s">
        <v>17</v>
      </c>
      <c r="I302">
        <v>22</v>
      </c>
    </row>
    <row r="303" spans="1:9" x14ac:dyDescent="0.2">
      <c r="A303" t="s">
        <v>419</v>
      </c>
      <c r="B303" t="s">
        <v>9</v>
      </c>
      <c r="C303" s="2">
        <v>46128.270922638891</v>
      </c>
      <c r="D303">
        <v>9</v>
      </c>
      <c r="F303" s="2">
        <v>46127.979255972219</v>
      </c>
      <c r="G303" s="3">
        <v>46127</v>
      </c>
      <c r="H303" t="s">
        <v>17</v>
      </c>
      <c r="I303">
        <v>23</v>
      </c>
    </row>
    <row r="304" spans="1:9" x14ac:dyDescent="0.2">
      <c r="A304" t="s">
        <v>420</v>
      </c>
      <c r="B304" t="s">
        <v>9</v>
      </c>
      <c r="C304" s="2">
        <v>46128.285577951392</v>
      </c>
      <c r="D304">
        <v>3</v>
      </c>
      <c r="F304" s="2">
        <v>46127.993911284721</v>
      </c>
      <c r="G304" s="3">
        <v>46127</v>
      </c>
      <c r="H304" t="s">
        <v>17</v>
      </c>
      <c r="I304">
        <v>23</v>
      </c>
    </row>
    <row r="305" spans="1:9" x14ac:dyDescent="0.2">
      <c r="A305" t="s">
        <v>421</v>
      </c>
      <c r="B305" t="s">
        <v>9</v>
      </c>
      <c r="C305" s="2">
        <v>46128.303539201392</v>
      </c>
      <c r="D305">
        <v>3</v>
      </c>
      <c r="F305" s="2">
        <v>46128.01187253472</v>
      </c>
      <c r="G305" s="3">
        <v>46128</v>
      </c>
      <c r="H305" t="s">
        <v>19</v>
      </c>
      <c r="I305">
        <v>0</v>
      </c>
    </row>
    <row r="306" spans="1:9" x14ac:dyDescent="0.2">
      <c r="A306" t="s">
        <v>422</v>
      </c>
      <c r="B306" t="s">
        <v>9</v>
      </c>
      <c r="C306" s="2">
        <v>46128.310665787038</v>
      </c>
      <c r="D306">
        <v>9</v>
      </c>
      <c r="F306" s="2">
        <v>46128.018999120373</v>
      </c>
      <c r="G306" s="3">
        <v>46128</v>
      </c>
      <c r="H306" t="s">
        <v>19</v>
      </c>
      <c r="I306">
        <v>0</v>
      </c>
    </row>
    <row r="307" spans="1:9" x14ac:dyDescent="0.2">
      <c r="A307" t="s">
        <v>423</v>
      </c>
      <c r="B307" t="s">
        <v>9</v>
      </c>
      <c r="C307" s="2">
        <v>46128.352631145834</v>
      </c>
      <c r="D307">
        <v>9</v>
      </c>
      <c r="F307" s="2">
        <v>46128.060964479169</v>
      </c>
      <c r="G307" s="3">
        <v>46128</v>
      </c>
      <c r="H307" t="s">
        <v>19</v>
      </c>
      <c r="I307">
        <v>1</v>
      </c>
    </row>
    <row r="308" spans="1:9" x14ac:dyDescent="0.2">
      <c r="A308" t="s">
        <v>424</v>
      </c>
      <c r="B308" t="s">
        <v>9</v>
      </c>
      <c r="C308" s="2">
        <v>46128.380706458331</v>
      </c>
      <c r="D308">
        <v>9</v>
      </c>
      <c r="F308" s="2">
        <v>46128.089039791666</v>
      </c>
      <c r="G308" s="3">
        <v>46128</v>
      </c>
      <c r="H308" t="s">
        <v>19</v>
      </c>
      <c r="I308">
        <v>2</v>
      </c>
    </row>
    <row r="309" spans="1:9" x14ac:dyDescent="0.2">
      <c r="A309" t="s">
        <v>425</v>
      </c>
      <c r="B309" t="s">
        <v>9</v>
      </c>
      <c r="C309" s="2">
        <v>46128.447859884262</v>
      </c>
      <c r="D309">
        <v>9</v>
      </c>
      <c r="F309" s="2">
        <v>46128.15619321759</v>
      </c>
      <c r="G309" s="3">
        <v>46128</v>
      </c>
      <c r="H309" t="s">
        <v>19</v>
      </c>
      <c r="I309">
        <v>3</v>
      </c>
    </row>
    <row r="310" spans="1:9" x14ac:dyDescent="0.2">
      <c r="A310" t="s">
        <v>426</v>
      </c>
      <c r="B310" t="s">
        <v>9</v>
      </c>
      <c r="C310" s="2">
        <v>46128.464381759259</v>
      </c>
      <c r="D310">
        <v>3</v>
      </c>
      <c r="F310" s="2">
        <v>46128.172715092594</v>
      </c>
      <c r="G310" s="3">
        <v>46128</v>
      </c>
      <c r="H310" t="s">
        <v>19</v>
      </c>
      <c r="I310">
        <v>4</v>
      </c>
    </row>
    <row r="311" spans="1:9" x14ac:dyDescent="0.2">
      <c r="A311" t="s">
        <v>427</v>
      </c>
      <c r="B311" t="s">
        <v>9</v>
      </c>
      <c r="C311" s="2">
        <v>46128.48582415509</v>
      </c>
      <c r="D311">
        <v>202</v>
      </c>
      <c r="F311" s="2">
        <v>46128.194157488426</v>
      </c>
      <c r="G311" s="3">
        <v>46128</v>
      </c>
      <c r="H311" t="s">
        <v>19</v>
      </c>
      <c r="I311">
        <v>4</v>
      </c>
    </row>
    <row r="312" spans="1:9" x14ac:dyDescent="0.2">
      <c r="A312" t="s">
        <v>428</v>
      </c>
      <c r="B312" t="s">
        <v>9</v>
      </c>
      <c r="C312" s="2">
        <v>46128.493625567127</v>
      </c>
      <c r="D312">
        <v>9</v>
      </c>
      <c r="F312" s="2">
        <v>46128.201958900463</v>
      </c>
      <c r="G312" s="3">
        <v>46128</v>
      </c>
      <c r="H312" t="s">
        <v>19</v>
      </c>
      <c r="I312">
        <v>4</v>
      </c>
    </row>
    <row r="313" spans="1:9" x14ac:dyDescent="0.2">
      <c r="A313" t="s">
        <v>429</v>
      </c>
      <c r="B313" t="s">
        <v>9</v>
      </c>
      <c r="C313" s="2">
        <v>46128.521770995372</v>
      </c>
      <c r="D313">
        <v>3</v>
      </c>
      <c r="F313" s="2">
        <v>46128.230104328701</v>
      </c>
      <c r="G313" s="3">
        <v>46128</v>
      </c>
      <c r="H313" t="s">
        <v>19</v>
      </c>
      <c r="I313">
        <v>5</v>
      </c>
    </row>
    <row r="314" spans="1:9" x14ac:dyDescent="0.2">
      <c r="A314" t="s">
        <v>430</v>
      </c>
      <c r="B314" t="s">
        <v>9</v>
      </c>
      <c r="C314" s="2">
        <v>46128.532727696758</v>
      </c>
      <c r="D314">
        <v>9</v>
      </c>
      <c r="F314" s="2">
        <v>46128.241061030094</v>
      </c>
      <c r="G314" s="3">
        <v>46128</v>
      </c>
      <c r="H314" t="s">
        <v>19</v>
      </c>
      <c r="I314">
        <v>5</v>
      </c>
    </row>
    <row r="315" spans="1:9" x14ac:dyDescent="0.2">
      <c r="A315" t="s">
        <v>431</v>
      </c>
      <c r="B315" t="s">
        <v>9</v>
      </c>
      <c r="C315" s="2">
        <v>46128.550744699074</v>
      </c>
      <c r="D315">
        <v>3</v>
      </c>
      <c r="F315" s="2">
        <v>46128.25907803241</v>
      </c>
      <c r="G315" s="3">
        <v>46128</v>
      </c>
      <c r="H315" t="s">
        <v>19</v>
      </c>
      <c r="I315">
        <v>6</v>
      </c>
    </row>
    <row r="316" spans="1:9" x14ac:dyDescent="0.2">
      <c r="A316" t="s">
        <v>432</v>
      </c>
      <c r="B316" t="s">
        <v>9</v>
      </c>
      <c r="C316" s="2">
        <v>46128.581794745369</v>
      </c>
      <c r="D316">
        <v>9</v>
      </c>
      <c r="F316" s="2">
        <v>46128.290128078705</v>
      </c>
      <c r="G316" s="3">
        <v>46128</v>
      </c>
      <c r="H316" t="s">
        <v>19</v>
      </c>
      <c r="I316">
        <v>6</v>
      </c>
    </row>
    <row r="317" spans="1:9" x14ac:dyDescent="0.2">
      <c r="A317" t="s">
        <v>433</v>
      </c>
      <c r="B317" t="s">
        <v>9</v>
      </c>
      <c r="C317" s="2">
        <v>46128.592013379632</v>
      </c>
      <c r="D317">
        <v>3</v>
      </c>
      <c r="F317" s="2">
        <v>46128.30034671296</v>
      </c>
      <c r="G317" s="3">
        <v>46128</v>
      </c>
      <c r="H317" t="s">
        <v>19</v>
      </c>
      <c r="I317">
        <v>7</v>
      </c>
    </row>
    <row r="318" spans="1:9" x14ac:dyDescent="0.2">
      <c r="A318" t="s">
        <v>434</v>
      </c>
      <c r="B318" t="s">
        <v>9</v>
      </c>
      <c r="C318" s="2">
        <v>46128.609385312498</v>
      </c>
      <c r="D318">
        <v>3</v>
      </c>
      <c r="F318" s="2">
        <v>46128.317718645834</v>
      </c>
      <c r="G318" s="3">
        <v>46128</v>
      </c>
      <c r="H318" t="s">
        <v>19</v>
      </c>
      <c r="I318">
        <v>7</v>
      </c>
    </row>
    <row r="319" spans="1:9" x14ac:dyDescent="0.2">
      <c r="A319" t="s">
        <v>435</v>
      </c>
      <c r="B319" t="s">
        <v>9</v>
      </c>
      <c r="C319" s="2">
        <v>46128.611428935183</v>
      </c>
      <c r="D319">
        <v>9</v>
      </c>
      <c r="F319" s="2">
        <v>46128.319762268518</v>
      </c>
      <c r="G319" s="3">
        <v>46128</v>
      </c>
      <c r="H319" t="s">
        <v>19</v>
      </c>
      <c r="I319">
        <v>7</v>
      </c>
    </row>
    <row r="320" spans="1:9" x14ac:dyDescent="0.2">
      <c r="A320" t="s">
        <v>436</v>
      </c>
      <c r="B320" t="s">
        <v>9</v>
      </c>
      <c r="C320" s="2">
        <v>46128.62564179398</v>
      </c>
      <c r="D320">
        <v>9</v>
      </c>
      <c r="F320" s="2">
        <v>46128.333975127316</v>
      </c>
      <c r="G320" s="3">
        <v>46128</v>
      </c>
      <c r="H320" t="s">
        <v>19</v>
      </c>
      <c r="I320">
        <v>8</v>
      </c>
    </row>
    <row r="321" spans="1:9" x14ac:dyDescent="0.2">
      <c r="A321" t="s">
        <v>437</v>
      </c>
      <c r="B321" t="s">
        <v>9</v>
      </c>
      <c r="C321" s="2">
        <v>46128.687059004631</v>
      </c>
      <c r="D321">
        <v>3</v>
      </c>
      <c r="F321" s="2">
        <v>46128.395392337959</v>
      </c>
      <c r="G321" s="3">
        <v>46128</v>
      </c>
      <c r="H321" t="s">
        <v>19</v>
      </c>
      <c r="I321">
        <v>9</v>
      </c>
    </row>
    <row r="322" spans="1:9" x14ac:dyDescent="0.2">
      <c r="A322" t="s">
        <v>438</v>
      </c>
      <c r="B322" t="s">
        <v>9</v>
      </c>
      <c r="C322" s="2">
        <v>46128.719117673609</v>
      </c>
      <c r="D322">
        <v>3</v>
      </c>
      <c r="F322" s="2">
        <v>46128.427451006944</v>
      </c>
      <c r="G322" s="3">
        <v>46128</v>
      </c>
      <c r="H322" t="s">
        <v>19</v>
      </c>
      <c r="I322">
        <v>10</v>
      </c>
    </row>
    <row r="323" spans="1:9" x14ac:dyDescent="0.2">
      <c r="A323" t="s">
        <v>439</v>
      </c>
      <c r="B323" t="s">
        <v>9</v>
      </c>
      <c r="C323" s="2">
        <v>46128.726950706019</v>
      </c>
      <c r="D323">
        <v>202</v>
      </c>
      <c r="F323" s="2">
        <v>46128.435284039355</v>
      </c>
      <c r="G323" s="3">
        <v>46128</v>
      </c>
      <c r="H323" t="s">
        <v>19</v>
      </c>
      <c r="I323">
        <v>10</v>
      </c>
    </row>
    <row r="324" spans="1:9" x14ac:dyDescent="0.2">
      <c r="A324" t="s">
        <v>440</v>
      </c>
      <c r="B324" t="s">
        <v>9</v>
      </c>
      <c r="C324" s="2">
        <v>46128.73080020833</v>
      </c>
      <c r="D324">
        <v>3</v>
      </c>
      <c r="E324" s="7" t="s">
        <v>136</v>
      </c>
      <c r="F324" s="2">
        <v>46128.439133541666</v>
      </c>
      <c r="G324" s="3">
        <v>46128</v>
      </c>
      <c r="H324" t="s">
        <v>19</v>
      </c>
      <c r="I324">
        <v>10</v>
      </c>
    </row>
    <row r="325" spans="1:9" x14ac:dyDescent="0.2">
      <c r="A325" t="s">
        <v>441</v>
      </c>
      <c r="B325" t="s">
        <v>9</v>
      </c>
      <c r="C325" s="2">
        <v>46128.819059247682</v>
      </c>
      <c r="D325">
        <v>3</v>
      </c>
      <c r="F325" s="2">
        <v>46128.527392581018</v>
      </c>
      <c r="G325" s="3">
        <v>46128</v>
      </c>
      <c r="H325" t="s">
        <v>19</v>
      </c>
      <c r="I325">
        <v>12</v>
      </c>
    </row>
    <row r="326" spans="1:9" x14ac:dyDescent="0.2">
      <c r="A326" t="s">
        <v>442</v>
      </c>
      <c r="B326" t="s">
        <v>9</v>
      </c>
      <c r="C326" s="2">
        <v>46128.870978449071</v>
      </c>
      <c r="D326">
        <v>3</v>
      </c>
      <c r="F326" s="2">
        <v>46128.579311782407</v>
      </c>
      <c r="G326" s="3">
        <v>46128</v>
      </c>
      <c r="H326" t="s">
        <v>19</v>
      </c>
      <c r="I326">
        <v>13</v>
      </c>
    </row>
    <row r="327" spans="1:9" x14ac:dyDescent="0.2">
      <c r="A327" t="s">
        <v>443</v>
      </c>
      <c r="B327" t="s">
        <v>9</v>
      </c>
      <c r="C327" s="2">
        <v>46128.902277974536</v>
      </c>
      <c r="D327">
        <v>3</v>
      </c>
      <c r="F327" s="2">
        <v>46128.610611307871</v>
      </c>
      <c r="G327" s="3">
        <v>46128</v>
      </c>
      <c r="H327" t="s">
        <v>19</v>
      </c>
      <c r="I327">
        <v>14</v>
      </c>
    </row>
    <row r="328" spans="1:9" x14ac:dyDescent="0.2">
      <c r="A328" t="s">
        <v>444</v>
      </c>
      <c r="B328" t="s">
        <v>9</v>
      </c>
      <c r="C328" s="2">
        <v>46128.924001030093</v>
      </c>
      <c r="D328">
        <v>3</v>
      </c>
      <c r="F328" s="2">
        <v>46128.632334363429</v>
      </c>
      <c r="G328" s="3">
        <v>46128</v>
      </c>
      <c r="H328" t="s">
        <v>19</v>
      </c>
      <c r="I328">
        <v>15</v>
      </c>
    </row>
    <row r="329" spans="1:9" x14ac:dyDescent="0.2">
      <c r="A329" t="s">
        <v>445</v>
      </c>
      <c r="B329" t="s">
        <v>9</v>
      </c>
      <c r="C329" s="2">
        <v>46128.931803703701</v>
      </c>
      <c r="D329">
        <v>3</v>
      </c>
      <c r="F329" s="2">
        <v>46128.640137037037</v>
      </c>
      <c r="G329" s="3">
        <v>46128</v>
      </c>
      <c r="H329" t="s">
        <v>19</v>
      </c>
      <c r="I329">
        <v>15</v>
      </c>
    </row>
    <row r="330" spans="1:9" x14ac:dyDescent="0.2">
      <c r="A330" t="s">
        <v>446</v>
      </c>
      <c r="B330" t="s">
        <v>9</v>
      </c>
      <c r="C330" s="2">
        <v>46128.9671771875</v>
      </c>
      <c r="D330">
        <v>3</v>
      </c>
      <c r="F330" s="2">
        <v>46128.675510520836</v>
      </c>
      <c r="G330" s="3">
        <v>46128</v>
      </c>
      <c r="H330" t="s">
        <v>19</v>
      </c>
      <c r="I330">
        <v>16</v>
      </c>
    </row>
    <row r="331" spans="1:9" x14ac:dyDescent="0.2">
      <c r="A331" t="s">
        <v>447</v>
      </c>
      <c r="B331" t="s">
        <v>9</v>
      </c>
      <c r="C331" s="2">
        <v>46128.995540370372</v>
      </c>
      <c r="D331">
        <v>3</v>
      </c>
      <c r="F331" s="2">
        <v>46128.7038737037</v>
      </c>
      <c r="G331" s="3">
        <v>46128</v>
      </c>
      <c r="H331" t="s">
        <v>19</v>
      </c>
      <c r="I331">
        <v>16</v>
      </c>
    </row>
    <row r="332" spans="1:9" x14ac:dyDescent="0.2">
      <c r="A332" t="s">
        <v>448</v>
      </c>
      <c r="B332" t="s">
        <v>9</v>
      </c>
      <c r="C332" s="2">
        <v>46129.029563136573</v>
      </c>
      <c r="D332">
        <v>3</v>
      </c>
      <c r="F332" s="2">
        <v>46128.737896469909</v>
      </c>
      <c r="G332" s="3">
        <v>46128</v>
      </c>
      <c r="H332" t="s">
        <v>19</v>
      </c>
      <c r="I332">
        <v>17</v>
      </c>
    </row>
    <row r="333" spans="1:9" x14ac:dyDescent="0.2">
      <c r="A333" t="s">
        <v>449</v>
      </c>
      <c r="B333" t="s">
        <v>9</v>
      </c>
      <c r="C333" s="2">
        <v>46129.258827048609</v>
      </c>
      <c r="D333">
        <v>9</v>
      </c>
      <c r="F333" s="2">
        <v>46128.967160381944</v>
      </c>
      <c r="G333" s="3">
        <v>46128</v>
      </c>
      <c r="H333" t="s">
        <v>19</v>
      </c>
      <c r="I333">
        <v>23</v>
      </c>
    </row>
    <row r="334" spans="1:9" x14ac:dyDescent="0.2">
      <c r="A334" t="s">
        <v>450</v>
      </c>
      <c r="B334" t="s">
        <v>9</v>
      </c>
      <c r="C334" s="2">
        <v>46129.326762500001</v>
      </c>
      <c r="D334">
        <v>3</v>
      </c>
      <c r="F334" s="2">
        <v>46129.035095833337</v>
      </c>
      <c r="G334" s="3">
        <v>46129</v>
      </c>
      <c r="H334" t="s">
        <v>20</v>
      </c>
      <c r="I334">
        <v>0</v>
      </c>
    </row>
    <row r="335" spans="1:9" x14ac:dyDescent="0.2">
      <c r="A335" t="s">
        <v>451</v>
      </c>
      <c r="B335" t="s">
        <v>9</v>
      </c>
      <c r="C335" s="2">
        <v>46129.335790381941</v>
      </c>
      <c r="D335">
        <v>9</v>
      </c>
      <c r="F335" s="2">
        <v>46129.044123715277</v>
      </c>
      <c r="G335" s="3">
        <v>46129</v>
      </c>
      <c r="H335" t="s">
        <v>20</v>
      </c>
      <c r="I335">
        <v>1</v>
      </c>
    </row>
    <row r="336" spans="1:9" x14ac:dyDescent="0.2">
      <c r="A336" t="s">
        <v>452</v>
      </c>
      <c r="B336" t="s">
        <v>9</v>
      </c>
      <c r="C336" s="2">
        <v>46129.343995254632</v>
      </c>
      <c r="D336">
        <v>3</v>
      </c>
      <c r="F336" s="2">
        <v>46129.052328587961</v>
      </c>
      <c r="G336" s="3">
        <v>46129</v>
      </c>
      <c r="H336" t="s">
        <v>20</v>
      </c>
      <c r="I336">
        <v>1</v>
      </c>
    </row>
    <row r="337" spans="1:9" x14ac:dyDescent="0.2">
      <c r="A337" t="s">
        <v>453</v>
      </c>
      <c r="B337" t="s">
        <v>9</v>
      </c>
      <c r="C337" s="2">
        <v>46129.399362349533</v>
      </c>
      <c r="D337">
        <v>3</v>
      </c>
      <c r="F337" s="2">
        <v>46129.107695682869</v>
      </c>
      <c r="G337" s="3">
        <v>46129</v>
      </c>
      <c r="H337" t="s">
        <v>20</v>
      </c>
      <c r="I337">
        <v>2</v>
      </c>
    </row>
    <row r="338" spans="1:9" x14ac:dyDescent="0.2">
      <c r="A338" t="s">
        <v>454</v>
      </c>
      <c r="B338" t="s">
        <v>9</v>
      </c>
      <c r="C338" s="2">
        <v>46129.430425844905</v>
      </c>
      <c r="D338">
        <v>9</v>
      </c>
      <c r="F338" s="2">
        <v>46129.13875917824</v>
      </c>
      <c r="G338" s="3">
        <v>46129</v>
      </c>
      <c r="H338" t="s">
        <v>20</v>
      </c>
      <c r="I338">
        <v>3</v>
      </c>
    </row>
    <row r="339" spans="1:9" x14ac:dyDescent="0.2">
      <c r="A339" t="s">
        <v>455</v>
      </c>
      <c r="B339" t="s">
        <v>9</v>
      </c>
      <c r="C339" s="2">
        <v>46129.434016493055</v>
      </c>
      <c r="D339">
        <v>3</v>
      </c>
      <c r="F339" s="2">
        <v>46129.14234982639</v>
      </c>
      <c r="G339" s="3">
        <v>46129</v>
      </c>
      <c r="H339" t="s">
        <v>20</v>
      </c>
      <c r="I339">
        <v>3</v>
      </c>
    </row>
    <row r="340" spans="1:9" x14ac:dyDescent="0.2">
      <c r="A340" t="s">
        <v>456</v>
      </c>
      <c r="B340" t="s">
        <v>9</v>
      </c>
      <c r="C340" s="2">
        <v>46129.495299178241</v>
      </c>
      <c r="D340">
        <v>3</v>
      </c>
      <c r="F340" s="2">
        <v>46129.203632511577</v>
      </c>
      <c r="G340" s="3">
        <v>46129</v>
      </c>
      <c r="H340" t="s">
        <v>20</v>
      </c>
      <c r="I340">
        <v>4</v>
      </c>
    </row>
    <row r="341" spans="1:9" x14ac:dyDescent="0.2">
      <c r="A341" t="s">
        <v>457</v>
      </c>
      <c r="B341" t="s">
        <v>9</v>
      </c>
      <c r="C341" s="2">
        <v>46129.510732939816</v>
      </c>
      <c r="D341">
        <v>3</v>
      </c>
      <c r="F341" s="2">
        <v>46129.219066273145</v>
      </c>
      <c r="G341" s="3">
        <v>46129</v>
      </c>
      <c r="H341" t="s">
        <v>20</v>
      </c>
      <c r="I341">
        <v>5</v>
      </c>
    </row>
    <row r="342" spans="1:9" x14ac:dyDescent="0.2">
      <c r="A342" t="s">
        <v>458</v>
      </c>
      <c r="B342" t="s">
        <v>9</v>
      </c>
      <c r="C342" s="2">
        <v>46129.557330613425</v>
      </c>
      <c r="D342">
        <v>3</v>
      </c>
      <c r="F342" s="2">
        <v>46129.26566394676</v>
      </c>
      <c r="G342" s="3">
        <v>46129</v>
      </c>
      <c r="H342" t="s">
        <v>20</v>
      </c>
      <c r="I342">
        <v>6</v>
      </c>
    </row>
    <row r="343" spans="1:9" x14ac:dyDescent="0.2">
      <c r="A343" t="s">
        <v>459</v>
      </c>
      <c r="B343" t="s">
        <v>9</v>
      </c>
      <c r="C343" s="2">
        <v>46129.683029224536</v>
      </c>
      <c r="D343">
        <v>3</v>
      </c>
      <c r="E343" s="7" t="s">
        <v>460</v>
      </c>
      <c r="F343" s="2">
        <v>46129.391362557872</v>
      </c>
      <c r="G343" s="3">
        <v>46129</v>
      </c>
      <c r="H343" t="s">
        <v>20</v>
      </c>
      <c r="I343">
        <v>9</v>
      </c>
    </row>
    <row r="344" spans="1:9" x14ac:dyDescent="0.2">
      <c r="A344" t="s">
        <v>461</v>
      </c>
      <c r="B344" t="s">
        <v>9</v>
      </c>
      <c r="C344" s="2">
        <v>46130.644775266206</v>
      </c>
      <c r="D344">
        <v>268</v>
      </c>
      <c r="E344" s="7" t="s">
        <v>33</v>
      </c>
      <c r="F344" s="2">
        <v>46130.353108599535</v>
      </c>
      <c r="G344" s="3">
        <v>46130</v>
      </c>
      <c r="H344" t="s">
        <v>21</v>
      </c>
      <c r="I344">
        <v>8</v>
      </c>
    </row>
    <row r="345" spans="1:9" x14ac:dyDescent="0.2">
      <c r="A345" t="s">
        <v>462</v>
      </c>
      <c r="B345" t="s">
        <v>9</v>
      </c>
      <c r="C345" s="2">
        <v>46130.686876168984</v>
      </c>
      <c r="D345">
        <v>3</v>
      </c>
      <c r="F345" s="2">
        <v>46130.395209502312</v>
      </c>
      <c r="G345" s="3">
        <v>46130</v>
      </c>
      <c r="H345" t="s">
        <v>21</v>
      </c>
      <c r="I345">
        <v>9</v>
      </c>
    </row>
    <row r="346" spans="1:9" x14ac:dyDescent="0.2">
      <c r="A346" t="s">
        <v>463</v>
      </c>
      <c r="B346" t="s">
        <v>9</v>
      </c>
      <c r="C346" s="2">
        <v>46130.970012430553</v>
      </c>
      <c r="D346">
        <v>2</v>
      </c>
      <c r="F346" s="2">
        <v>46130.678345763889</v>
      </c>
      <c r="G346" s="3">
        <v>46130</v>
      </c>
      <c r="H346" t="s">
        <v>21</v>
      </c>
      <c r="I346">
        <v>16</v>
      </c>
    </row>
    <row r="347" spans="1:9" x14ac:dyDescent="0.2">
      <c r="A347" t="s">
        <v>464</v>
      </c>
      <c r="B347" t="s">
        <v>9</v>
      </c>
      <c r="C347" s="2">
        <v>46130.982064826392</v>
      </c>
      <c r="D347">
        <v>1</v>
      </c>
      <c r="F347" s="2">
        <v>46130.690398159721</v>
      </c>
      <c r="G347" s="3">
        <v>46130</v>
      </c>
      <c r="H347" t="s">
        <v>21</v>
      </c>
      <c r="I347">
        <v>16</v>
      </c>
    </row>
    <row r="348" spans="1:9" x14ac:dyDescent="0.2">
      <c r="A348" t="s">
        <v>465</v>
      </c>
      <c r="B348" t="s">
        <v>9</v>
      </c>
      <c r="C348" s="2">
        <v>46130.989884189818</v>
      </c>
      <c r="D348">
        <v>3</v>
      </c>
      <c r="F348" s="2">
        <v>46130.698217523146</v>
      </c>
      <c r="G348" s="3">
        <v>46130</v>
      </c>
      <c r="H348" t="s">
        <v>21</v>
      </c>
      <c r="I348">
        <v>16</v>
      </c>
    </row>
    <row r="349" spans="1:9" x14ac:dyDescent="0.2">
      <c r="A349" t="s">
        <v>466</v>
      </c>
      <c r="B349" t="s">
        <v>9</v>
      </c>
      <c r="C349" s="2">
        <v>46131.299348854169</v>
      </c>
      <c r="D349">
        <v>268</v>
      </c>
      <c r="F349" s="2">
        <v>46131.007682187497</v>
      </c>
      <c r="G349" s="3">
        <v>46131</v>
      </c>
      <c r="H349" t="s">
        <v>22</v>
      </c>
      <c r="I349">
        <v>0</v>
      </c>
    </row>
    <row r="350" spans="1:9" x14ac:dyDescent="0.2">
      <c r="A350" t="s">
        <v>467</v>
      </c>
      <c r="B350" t="s">
        <v>9</v>
      </c>
      <c r="C350" s="2">
        <v>46131.341687569446</v>
      </c>
      <c r="D350">
        <v>268</v>
      </c>
      <c r="F350" s="2">
        <v>46131.050020902781</v>
      </c>
      <c r="G350" s="3">
        <v>46131</v>
      </c>
      <c r="H350" t="s">
        <v>22</v>
      </c>
      <c r="I350">
        <v>1</v>
      </c>
    </row>
    <row r="351" spans="1:9" x14ac:dyDescent="0.2">
      <c r="A351" t="s">
        <v>468</v>
      </c>
      <c r="B351" t="s">
        <v>9</v>
      </c>
      <c r="C351" s="2">
        <v>46131.41733009259</v>
      </c>
      <c r="D351">
        <v>3</v>
      </c>
      <c r="F351" s="2">
        <v>46131.125663425926</v>
      </c>
      <c r="G351" s="3">
        <v>46131</v>
      </c>
      <c r="H351" t="s">
        <v>22</v>
      </c>
      <c r="I351">
        <v>3</v>
      </c>
    </row>
    <row r="352" spans="1:9" x14ac:dyDescent="0.2">
      <c r="A352" t="s">
        <v>469</v>
      </c>
      <c r="B352" t="s">
        <v>9</v>
      </c>
      <c r="C352" s="2">
        <v>46131.45958234954</v>
      </c>
      <c r="D352">
        <v>268</v>
      </c>
      <c r="F352" s="2">
        <v>46131.167915682869</v>
      </c>
      <c r="G352" s="3">
        <v>46131</v>
      </c>
      <c r="H352" t="s">
        <v>22</v>
      </c>
      <c r="I352">
        <v>4</v>
      </c>
    </row>
    <row r="353" spans="1:9" x14ac:dyDescent="0.2">
      <c r="A353" t="s">
        <v>470</v>
      </c>
      <c r="B353" t="s">
        <v>9</v>
      </c>
      <c r="C353" s="2">
        <v>46131.527071354169</v>
      </c>
      <c r="D353">
        <v>268</v>
      </c>
      <c r="F353" s="2">
        <v>46131.235404687497</v>
      </c>
      <c r="G353" s="3">
        <v>46131</v>
      </c>
      <c r="H353" t="s">
        <v>22</v>
      </c>
      <c r="I353">
        <v>5</v>
      </c>
    </row>
    <row r="354" spans="1:9" x14ac:dyDescent="0.2">
      <c r="A354" t="s">
        <v>471</v>
      </c>
      <c r="B354" t="s">
        <v>9</v>
      </c>
      <c r="C354" s="2">
        <v>46131.528399074072</v>
      </c>
      <c r="D354">
        <v>3</v>
      </c>
      <c r="F354" s="2">
        <v>46131.236732407408</v>
      </c>
      <c r="G354" s="3">
        <v>46131</v>
      </c>
      <c r="H354" t="s">
        <v>22</v>
      </c>
      <c r="I354">
        <v>5</v>
      </c>
    </row>
    <row r="355" spans="1:9" x14ac:dyDescent="0.2">
      <c r="A355" t="s">
        <v>472</v>
      </c>
      <c r="B355" t="s">
        <v>9</v>
      </c>
      <c r="C355" s="2">
        <v>46131.545478182874</v>
      </c>
      <c r="D355">
        <v>268</v>
      </c>
      <c r="E355" s="7" t="s">
        <v>114</v>
      </c>
      <c r="F355" s="2">
        <v>46131.253811516202</v>
      </c>
      <c r="G355" s="3">
        <v>46131</v>
      </c>
      <c r="H355" t="s">
        <v>22</v>
      </c>
      <c r="I355">
        <v>6</v>
      </c>
    </row>
    <row r="356" spans="1:9" x14ac:dyDescent="0.2">
      <c r="A356" t="s">
        <v>473</v>
      </c>
      <c r="B356" t="s">
        <v>9</v>
      </c>
      <c r="C356" s="2">
        <v>46131.552095613428</v>
      </c>
      <c r="D356">
        <v>268</v>
      </c>
      <c r="F356" s="2">
        <v>46131.260428946756</v>
      </c>
      <c r="G356" s="3">
        <v>46131</v>
      </c>
      <c r="H356" t="s">
        <v>22</v>
      </c>
      <c r="I356">
        <v>6</v>
      </c>
    </row>
    <row r="357" spans="1:9" x14ac:dyDescent="0.2">
      <c r="A357" t="s">
        <v>474</v>
      </c>
      <c r="B357" t="s">
        <v>9</v>
      </c>
      <c r="C357" s="2">
        <v>46131.622195335651</v>
      </c>
      <c r="D357">
        <v>202</v>
      </c>
      <c r="F357" s="2">
        <v>46131.330528668979</v>
      </c>
      <c r="G357" s="3">
        <v>46131</v>
      </c>
      <c r="H357" t="s">
        <v>22</v>
      </c>
      <c r="I357">
        <v>7</v>
      </c>
    </row>
    <row r="358" spans="1:9" x14ac:dyDescent="0.2">
      <c r="A358" t="s">
        <v>475</v>
      </c>
      <c r="B358" t="s">
        <v>9</v>
      </c>
      <c r="C358" s="2">
        <v>46131.633483321762</v>
      </c>
      <c r="D358">
        <v>268</v>
      </c>
      <c r="F358" s="2">
        <v>46131.341816655091</v>
      </c>
      <c r="G358" s="3">
        <v>46131</v>
      </c>
      <c r="H358" t="s">
        <v>22</v>
      </c>
      <c r="I358">
        <v>8</v>
      </c>
    </row>
    <row r="359" spans="1:9" x14ac:dyDescent="0.2">
      <c r="A359" t="s">
        <v>476</v>
      </c>
      <c r="B359" t="s">
        <v>9</v>
      </c>
      <c r="C359" s="2">
        <v>46132.286584780093</v>
      </c>
      <c r="D359">
        <v>268</v>
      </c>
      <c r="F359" s="2">
        <v>46131.994918113429</v>
      </c>
      <c r="G359" s="3">
        <v>46131</v>
      </c>
      <c r="H359" t="s">
        <v>22</v>
      </c>
      <c r="I359">
        <v>23</v>
      </c>
    </row>
    <row r="360" spans="1:9" x14ac:dyDescent="0.2">
      <c r="A360" t="s">
        <v>477</v>
      </c>
      <c r="B360" t="s">
        <v>9</v>
      </c>
      <c r="C360" s="2">
        <v>46132.295560104169</v>
      </c>
      <c r="D360">
        <v>268</v>
      </c>
      <c r="F360" s="2">
        <v>46132.003893437497</v>
      </c>
      <c r="G360" s="3">
        <v>46132</v>
      </c>
      <c r="H360" t="s">
        <v>10</v>
      </c>
      <c r="I360">
        <v>0</v>
      </c>
    </row>
    <row r="361" spans="1:9" x14ac:dyDescent="0.2">
      <c r="A361" t="s">
        <v>478</v>
      </c>
      <c r="B361" t="s">
        <v>9</v>
      </c>
      <c r="C361" s="2">
        <v>46132.321926539349</v>
      </c>
      <c r="D361">
        <v>3</v>
      </c>
      <c r="E361" s="7" t="s">
        <v>340</v>
      </c>
      <c r="F361" s="2">
        <v>46132.030259872685</v>
      </c>
      <c r="G361" s="3">
        <v>46132</v>
      </c>
      <c r="H361" t="s">
        <v>10</v>
      </c>
      <c r="I361">
        <v>0</v>
      </c>
    </row>
    <row r="362" spans="1:9" x14ac:dyDescent="0.2">
      <c r="A362" t="s">
        <v>479</v>
      </c>
      <c r="B362" t="s">
        <v>9</v>
      </c>
      <c r="C362" s="2">
        <v>46132.32364962963</v>
      </c>
      <c r="D362">
        <v>3</v>
      </c>
      <c r="F362" s="2">
        <v>46132.031982962966</v>
      </c>
      <c r="G362" s="3">
        <v>46132</v>
      </c>
      <c r="H362" t="s">
        <v>10</v>
      </c>
      <c r="I362">
        <v>0</v>
      </c>
    </row>
    <row r="363" spans="1:9" x14ac:dyDescent="0.2">
      <c r="A363" t="s">
        <v>480</v>
      </c>
      <c r="B363" t="s">
        <v>9</v>
      </c>
      <c r="C363" s="2">
        <v>46132.335721701391</v>
      </c>
      <c r="D363">
        <v>268</v>
      </c>
      <c r="F363" s="2">
        <v>46132.044055034719</v>
      </c>
      <c r="G363" s="3">
        <v>46132</v>
      </c>
      <c r="H363" t="s">
        <v>10</v>
      </c>
      <c r="I363">
        <v>1</v>
      </c>
    </row>
    <row r="364" spans="1:9" x14ac:dyDescent="0.2">
      <c r="A364" t="s">
        <v>481</v>
      </c>
      <c r="B364" t="s">
        <v>9</v>
      </c>
      <c r="C364" s="2">
        <v>46132.335791851852</v>
      </c>
      <c r="D364">
        <v>3</v>
      </c>
      <c r="F364" s="2">
        <v>46132.044125185188</v>
      </c>
      <c r="G364" s="3">
        <v>46132</v>
      </c>
      <c r="H364" t="s">
        <v>10</v>
      </c>
      <c r="I364">
        <v>1</v>
      </c>
    </row>
    <row r="365" spans="1:9" x14ac:dyDescent="0.2">
      <c r="A365" t="s">
        <v>482</v>
      </c>
      <c r="B365" t="s">
        <v>9</v>
      </c>
      <c r="C365" s="2">
        <v>46132.384945300924</v>
      </c>
      <c r="D365">
        <v>3</v>
      </c>
      <c r="F365" s="2">
        <v>46132.09327863426</v>
      </c>
      <c r="G365" s="3">
        <v>46132</v>
      </c>
      <c r="H365" t="s">
        <v>10</v>
      </c>
      <c r="I365">
        <v>2</v>
      </c>
    </row>
    <row r="366" spans="1:9" x14ac:dyDescent="0.2">
      <c r="A366" t="s">
        <v>483</v>
      </c>
      <c r="B366" t="s">
        <v>9</v>
      </c>
      <c r="C366" s="2">
        <v>46132.42068865741</v>
      </c>
      <c r="D366">
        <v>3</v>
      </c>
      <c r="F366" s="2">
        <v>46132.129021990739</v>
      </c>
      <c r="G366" s="3">
        <v>46132</v>
      </c>
      <c r="H366" t="s">
        <v>10</v>
      </c>
      <c r="I366">
        <v>3</v>
      </c>
    </row>
    <row r="367" spans="1:9" x14ac:dyDescent="0.2">
      <c r="A367" t="s">
        <v>484</v>
      </c>
      <c r="B367" t="s">
        <v>9</v>
      </c>
      <c r="C367" s="2">
        <v>46132.420801643515</v>
      </c>
      <c r="D367">
        <v>268</v>
      </c>
      <c r="F367" s="2">
        <v>46132.129134976851</v>
      </c>
      <c r="G367" s="3">
        <v>46132</v>
      </c>
      <c r="H367" t="s">
        <v>10</v>
      </c>
      <c r="I367">
        <v>3</v>
      </c>
    </row>
    <row r="368" spans="1:9" x14ac:dyDescent="0.2">
      <c r="A368" t="s">
        <v>485</v>
      </c>
      <c r="B368" t="s">
        <v>9</v>
      </c>
      <c r="C368" s="2">
        <v>46132.434659942126</v>
      </c>
      <c r="D368">
        <v>3</v>
      </c>
      <c r="F368" s="2">
        <v>46132.142993275462</v>
      </c>
      <c r="G368" s="3">
        <v>46132</v>
      </c>
      <c r="H368" t="s">
        <v>10</v>
      </c>
      <c r="I368">
        <v>3</v>
      </c>
    </row>
    <row r="369" spans="1:9" x14ac:dyDescent="0.2">
      <c r="A369" t="s">
        <v>486</v>
      </c>
      <c r="B369" t="s">
        <v>9</v>
      </c>
      <c r="C369" s="2">
        <v>46132.435567222223</v>
      </c>
      <c r="D369">
        <v>268</v>
      </c>
      <c r="E369" s="7" t="s">
        <v>487</v>
      </c>
      <c r="F369" s="2">
        <v>46132.143900555559</v>
      </c>
      <c r="G369" s="3">
        <v>46132</v>
      </c>
      <c r="H369" t="s">
        <v>10</v>
      </c>
      <c r="I369">
        <v>3</v>
      </c>
    </row>
    <row r="370" spans="1:9" x14ac:dyDescent="0.2">
      <c r="A370" t="s">
        <v>488</v>
      </c>
      <c r="B370" t="s">
        <v>9</v>
      </c>
      <c r="C370" s="2">
        <v>46132.440100636573</v>
      </c>
      <c r="D370">
        <v>3</v>
      </c>
      <c r="F370" s="2">
        <v>46132.148433969909</v>
      </c>
      <c r="G370" s="3">
        <v>46132</v>
      </c>
      <c r="H370" t="s">
        <v>10</v>
      </c>
      <c r="I370">
        <v>3</v>
      </c>
    </row>
    <row r="371" spans="1:9" x14ac:dyDescent="0.2">
      <c r="A371" t="s">
        <v>489</v>
      </c>
      <c r="B371" t="s">
        <v>9</v>
      </c>
      <c r="C371" s="2">
        <v>46132.454244328706</v>
      </c>
      <c r="D371">
        <v>3</v>
      </c>
      <c r="E371" s="7" t="s">
        <v>235</v>
      </c>
      <c r="F371" s="2">
        <v>46132.162577662035</v>
      </c>
      <c r="G371" s="3">
        <v>46132</v>
      </c>
      <c r="H371" t="s">
        <v>10</v>
      </c>
      <c r="I371">
        <v>3</v>
      </c>
    </row>
    <row r="372" spans="1:9" x14ac:dyDescent="0.2">
      <c r="A372" t="s">
        <v>490</v>
      </c>
      <c r="B372" t="s">
        <v>9</v>
      </c>
      <c r="C372" s="2">
        <v>46132.465217743054</v>
      </c>
      <c r="D372">
        <v>268</v>
      </c>
      <c r="F372" s="2">
        <v>46132.17355107639</v>
      </c>
      <c r="G372" s="3">
        <v>46132</v>
      </c>
      <c r="H372" t="s">
        <v>10</v>
      </c>
      <c r="I372">
        <v>4</v>
      </c>
    </row>
    <row r="373" spans="1:9" x14ac:dyDescent="0.2">
      <c r="A373" t="s">
        <v>491</v>
      </c>
      <c r="B373" t="s">
        <v>9</v>
      </c>
      <c r="C373" s="2">
        <v>46132.473952708337</v>
      </c>
      <c r="D373">
        <v>268</v>
      </c>
      <c r="F373" s="2">
        <v>46132.182286041665</v>
      </c>
      <c r="G373" s="3">
        <v>46132</v>
      </c>
      <c r="H373" t="s">
        <v>10</v>
      </c>
      <c r="I373">
        <v>4</v>
      </c>
    </row>
    <row r="374" spans="1:9" x14ac:dyDescent="0.2">
      <c r="A374" t="s">
        <v>492</v>
      </c>
      <c r="B374" t="s">
        <v>9</v>
      </c>
      <c r="C374" s="2">
        <v>46132.507364490739</v>
      </c>
      <c r="D374">
        <v>3</v>
      </c>
      <c r="F374" s="2">
        <v>46132.215697824075</v>
      </c>
      <c r="G374" s="3">
        <v>46132</v>
      </c>
      <c r="H374" t="s">
        <v>10</v>
      </c>
      <c r="I374">
        <v>5</v>
      </c>
    </row>
    <row r="375" spans="1:9" x14ac:dyDescent="0.2">
      <c r="A375" t="s">
        <v>493</v>
      </c>
      <c r="B375" t="s">
        <v>9</v>
      </c>
      <c r="C375" s="2">
        <v>46132.532388113425</v>
      </c>
      <c r="D375">
        <v>268</v>
      </c>
      <c r="E375" s="7" t="s">
        <v>494</v>
      </c>
      <c r="F375" s="2">
        <v>46132.24072144676</v>
      </c>
      <c r="G375" s="3">
        <v>46132</v>
      </c>
      <c r="H375" t="s">
        <v>10</v>
      </c>
      <c r="I375">
        <v>5</v>
      </c>
    </row>
    <row r="376" spans="1:9" x14ac:dyDescent="0.2">
      <c r="A376" t="s">
        <v>495</v>
      </c>
      <c r="B376" t="s">
        <v>9</v>
      </c>
      <c r="C376" s="2">
        <v>46132.541839560188</v>
      </c>
      <c r="D376">
        <v>3</v>
      </c>
      <c r="F376" s="2">
        <v>46132.250172893517</v>
      </c>
      <c r="G376" s="3">
        <v>46132</v>
      </c>
      <c r="H376" t="s">
        <v>10</v>
      </c>
      <c r="I376">
        <v>6</v>
      </c>
    </row>
    <row r="377" spans="1:9" x14ac:dyDescent="0.2">
      <c r="A377" t="s">
        <v>496</v>
      </c>
      <c r="B377" t="s">
        <v>9</v>
      </c>
      <c r="C377" s="2">
        <v>46132.54381304398</v>
      </c>
      <c r="D377">
        <v>268</v>
      </c>
      <c r="F377" s="2">
        <v>46132.252146377316</v>
      </c>
      <c r="G377" s="3">
        <v>46132</v>
      </c>
      <c r="H377" t="s">
        <v>10</v>
      </c>
      <c r="I377">
        <v>6</v>
      </c>
    </row>
    <row r="378" spans="1:9" x14ac:dyDescent="0.2">
      <c r="A378" t="s">
        <v>497</v>
      </c>
      <c r="B378" t="s">
        <v>9</v>
      </c>
      <c r="C378" s="2">
        <v>46132.54400923611</v>
      </c>
      <c r="D378">
        <v>6090</v>
      </c>
      <c r="E378" s="7" t="s">
        <v>494</v>
      </c>
      <c r="F378" s="2">
        <v>46132.252342569445</v>
      </c>
      <c r="G378" s="3">
        <v>46132</v>
      </c>
      <c r="H378" t="s">
        <v>10</v>
      </c>
      <c r="I378">
        <v>6</v>
      </c>
    </row>
    <row r="379" spans="1:9" x14ac:dyDescent="0.2">
      <c r="A379" t="s">
        <v>498</v>
      </c>
      <c r="B379" t="s">
        <v>9</v>
      </c>
      <c r="C379" s="2">
        <v>46132.573443171299</v>
      </c>
      <c r="D379">
        <v>268</v>
      </c>
      <c r="E379" s="7" t="s">
        <v>114</v>
      </c>
      <c r="F379" s="2">
        <v>46132.281776504627</v>
      </c>
      <c r="G379" s="3">
        <v>46132</v>
      </c>
      <c r="H379" t="s">
        <v>10</v>
      </c>
      <c r="I379">
        <v>6</v>
      </c>
    </row>
    <row r="380" spans="1:9" x14ac:dyDescent="0.2">
      <c r="A380" t="s">
        <v>499</v>
      </c>
      <c r="B380" t="s">
        <v>9</v>
      </c>
      <c r="C380" s="2">
        <v>46132.616570937498</v>
      </c>
      <c r="D380">
        <v>268</v>
      </c>
      <c r="F380" s="2">
        <v>46132.324904270834</v>
      </c>
      <c r="G380" s="3">
        <v>46132</v>
      </c>
      <c r="H380" t="s">
        <v>10</v>
      </c>
      <c r="I380">
        <v>7</v>
      </c>
    </row>
    <row r="381" spans="1:9" x14ac:dyDescent="0.2">
      <c r="A381" t="s">
        <v>500</v>
      </c>
      <c r="B381" t="s">
        <v>9</v>
      </c>
      <c r="C381" s="2">
        <v>46132.674289768518</v>
      </c>
      <c r="D381">
        <v>202</v>
      </c>
      <c r="F381" s="2">
        <v>46132.382623101854</v>
      </c>
      <c r="G381" s="3">
        <v>46132</v>
      </c>
      <c r="H381" t="s">
        <v>10</v>
      </c>
      <c r="I381">
        <v>9</v>
      </c>
    </row>
    <row r="382" spans="1:9" x14ac:dyDescent="0.2">
      <c r="A382" t="s">
        <v>501</v>
      </c>
      <c r="B382" t="s">
        <v>9</v>
      </c>
      <c r="C382" s="2">
        <v>46132.710128206018</v>
      </c>
      <c r="D382">
        <v>3</v>
      </c>
      <c r="F382" s="2">
        <v>46132.418461539353</v>
      </c>
      <c r="G382" s="3">
        <v>46132</v>
      </c>
      <c r="H382" t="s">
        <v>10</v>
      </c>
      <c r="I382">
        <v>10</v>
      </c>
    </row>
    <row r="383" spans="1:9" x14ac:dyDescent="0.2">
      <c r="A383" t="s">
        <v>502</v>
      </c>
      <c r="B383" t="s">
        <v>9</v>
      </c>
      <c r="C383" s="2">
        <v>46132.71671685185</v>
      </c>
      <c r="D383">
        <v>3</v>
      </c>
      <c r="E383" s="7" t="s">
        <v>136</v>
      </c>
      <c r="F383" s="2">
        <v>46132.425050185186</v>
      </c>
      <c r="G383" s="3">
        <v>46132</v>
      </c>
      <c r="H383" t="s">
        <v>10</v>
      </c>
      <c r="I383">
        <v>10</v>
      </c>
    </row>
    <row r="384" spans="1:9" x14ac:dyDescent="0.2">
      <c r="A384" t="s">
        <v>503</v>
      </c>
      <c r="B384" t="s">
        <v>9</v>
      </c>
      <c r="C384" s="2">
        <v>46132.757417025467</v>
      </c>
      <c r="D384">
        <v>3</v>
      </c>
      <c r="F384" s="2">
        <v>46132.465750358795</v>
      </c>
      <c r="G384" s="3">
        <v>46132</v>
      </c>
      <c r="H384" t="s">
        <v>10</v>
      </c>
      <c r="I384">
        <v>11</v>
      </c>
    </row>
    <row r="385" spans="1:9" x14ac:dyDescent="0.2">
      <c r="A385" t="s">
        <v>504</v>
      </c>
      <c r="B385" t="s">
        <v>9</v>
      </c>
      <c r="C385" s="2">
        <v>46132.82758060185</v>
      </c>
      <c r="D385">
        <v>3</v>
      </c>
      <c r="E385" s="7" t="s">
        <v>304</v>
      </c>
      <c r="F385" s="2">
        <v>46132.535913935186</v>
      </c>
      <c r="G385" s="3">
        <v>46132</v>
      </c>
      <c r="H385" t="s">
        <v>10</v>
      </c>
      <c r="I385">
        <v>12</v>
      </c>
    </row>
    <row r="386" spans="1:9" x14ac:dyDescent="0.2">
      <c r="A386" t="s">
        <v>505</v>
      </c>
      <c r="B386" t="s">
        <v>9</v>
      </c>
      <c r="C386" s="2">
        <v>46132.837308530092</v>
      </c>
      <c r="D386">
        <v>3</v>
      </c>
      <c r="E386" s="7" t="s">
        <v>304</v>
      </c>
      <c r="F386" s="2">
        <v>46132.545641863428</v>
      </c>
      <c r="G386" s="3">
        <v>46132</v>
      </c>
      <c r="H386" t="s">
        <v>10</v>
      </c>
      <c r="I386">
        <v>13</v>
      </c>
    </row>
    <row r="387" spans="1:9" x14ac:dyDescent="0.2">
      <c r="A387" t="s">
        <v>506</v>
      </c>
      <c r="B387" t="s">
        <v>9</v>
      </c>
      <c r="C387" s="2">
        <v>46132.862438888886</v>
      </c>
      <c r="D387">
        <v>3</v>
      </c>
      <c r="F387" s="2">
        <v>46132.570772222221</v>
      </c>
      <c r="G387" s="3">
        <v>46132</v>
      </c>
      <c r="H387" t="s">
        <v>10</v>
      </c>
      <c r="I387">
        <v>13</v>
      </c>
    </row>
    <row r="388" spans="1:9" x14ac:dyDescent="0.2">
      <c r="A388" t="s">
        <v>507</v>
      </c>
      <c r="B388" t="s">
        <v>9</v>
      </c>
      <c r="C388" s="2">
        <v>46132.87129664352</v>
      </c>
      <c r="D388">
        <v>3</v>
      </c>
      <c r="F388" s="2">
        <v>46132.579629976855</v>
      </c>
      <c r="G388" s="3">
        <v>46132</v>
      </c>
      <c r="H388" t="s">
        <v>10</v>
      </c>
      <c r="I388">
        <v>13</v>
      </c>
    </row>
    <row r="389" spans="1:9" x14ac:dyDescent="0.2">
      <c r="A389" t="s">
        <v>508</v>
      </c>
      <c r="B389" t="s">
        <v>9</v>
      </c>
      <c r="C389" s="2">
        <v>46132.884188796299</v>
      </c>
      <c r="D389">
        <v>3</v>
      </c>
      <c r="F389" s="2">
        <v>46132.592522129627</v>
      </c>
      <c r="G389" s="3">
        <v>46132</v>
      </c>
      <c r="H389" t="s">
        <v>10</v>
      </c>
      <c r="I389">
        <v>14</v>
      </c>
    </row>
    <row r="390" spans="1:9" x14ac:dyDescent="0.2">
      <c r="A390" t="s">
        <v>509</v>
      </c>
      <c r="B390" t="s">
        <v>9</v>
      </c>
      <c r="C390" s="2">
        <v>46132.895283877318</v>
      </c>
      <c r="D390">
        <v>268</v>
      </c>
      <c r="F390" s="2">
        <v>46132.603617210647</v>
      </c>
      <c r="G390" s="3">
        <v>46132</v>
      </c>
      <c r="H390" t="s">
        <v>10</v>
      </c>
      <c r="I390">
        <v>14</v>
      </c>
    </row>
    <row r="391" spans="1:9" x14ac:dyDescent="0.2">
      <c r="A391" t="s">
        <v>510</v>
      </c>
      <c r="B391" t="s">
        <v>9</v>
      </c>
      <c r="C391" s="2">
        <v>46132.904526388891</v>
      </c>
      <c r="D391">
        <v>3</v>
      </c>
      <c r="F391" s="2">
        <v>46132.61285972222</v>
      </c>
      <c r="G391" s="3">
        <v>46132</v>
      </c>
      <c r="H391" t="s">
        <v>10</v>
      </c>
      <c r="I391">
        <v>14</v>
      </c>
    </row>
    <row r="392" spans="1:9" x14ac:dyDescent="0.2">
      <c r="A392" t="s">
        <v>511</v>
      </c>
      <c r="B392" t="s">
        <v>9</v>
      </c>
      <c r="C392" s="2">
        <v>46132.916755416663</v>
      </c>
      <c r="D392">
        <v>16</v>
      </c>
      <c r="F392" s="2">
        <v>46132.625088749999</v>
      </c>
      <c r="G392" s="3">
        <v>46132</v>
      </c>
      <c r="H392" t="s">
        <v>10</v>
      </c>
      <c r="I392">
        <v>15</v>
      </c>
    </row>
    <row r="393" spans="1:9" x14ac:dyDescent="0.2">
      <c r="A393" t="s">
        <v>512</v>
      </c>
      <c r="B393" t="s">
        <v>9</v>
      </c>
      <c r="C393" s="2">
        <v>46132.926746192126</v>
      </c>
      <c r="D393">
        <v>3</v>
      </c>
      <c r="F393" s="2">
        <v>46132.635079525462</v>
      </c>
      <c r="G393" s="3">
        <v>46132</v>
      </c>
      <c r="H393" t="s">
        <v>10</v>
      </c>
      <c r="I393">
        <v>15</v>
      </c>
    </row>
    <row r="394" spans="1:9" x14ac:dyDescent="0.2">
      <c r="A394" t="s">
        <v>513</v>
      </c>
      <c r="B394" t="s">
        <v>9</v>
      </c>
      <c r="C394" s="2">
        <v>46132.950182777779</v>
      </c>
      <c r="D394">
        <v>268</v>
      </c>
      <c r="E394" s="7" t="s">
        <v>114</v>
      </c>
      <c r="F394" s="2">
        <v>46132.658516111114</v>
      </c>
      <c r="G394" s="3">
        <v>46132</v>
      </c>
      <c r="H394" t="s">
        <v>10</v>
      </c>
      <c r="I394">
        <v>15</v>
      </c>
    </row>
    <row r="395" spans="1:9" x14ac:dyDescent="0.2">
      <c r="A395" t="s">
        <v>514</v>
      </c>
      <c r="B395" t="s">
        <v>9</v>
      </c>
      <c r="C395" s="2">
        <v>46132.958494328705</v>
      </c>
      <c r="D395">
        <v>268</v>
      </c>
      <c r="E395" s="7" t="s">
        <v>114</v>
      </c>
      <c r="F395" s="2">
        <v>46132.66682766204</v>
      </c>
      <c r="G395" s="3">
        <v>46132</v>
      </c>
      <c r="H395" t="s">
        <v>10</v>
      </c>
      <c r="I395">
        <v>16</v>
      </c>
    </row>
    <row r="396" spans="1:9" x14ac:dyDescent="0.2">
      <c r="A396" t="s">
        <v>515</v>
      </c>
      <c r="B396" t="s">
        <v>9</v>
      </c>
      <c r="C396" s="2">
        <v>46132.96133554398</v>
      </c>
      <c r="D396">
        <v>268</v>
      </c>
      <c r="F396" s="2">
        <v>46132.669668877315</v>
      </c>
      <c r="G396" s="3">
        <v>46132</v>
      </c>
      <c r="H396" t="s">
        <v>10</v>
      </c>
      <c r="I396">
        <v>16</v>
      </c>
    </row>
    <row r="397" spans="1:9" x14ac:dyDescent="0.2">
      <c r="A397" t="s">
        <v>516</v>
      </c>
      <c r="B397" t="s">
        <v>9</v>
      </c>
      <c r="C397" s="2">
        <v>46133.276054525464</v>
      </c>
      <c r="D397">
        <v>268</v>
      </c>
      <c r="F397" s="2">
        <v>46132.9843878588</v>
      </c>
      <c r="G397" s="3">
        <v>46132</v>
      </c>
      <c r="H397" t="s">
        <v>10</v>
      </c>
      <c r="I397">
        <v>23</v>
      </c>
    </row>
    <row r="398" spans="1:9" x14ac:dyDescent="0.2">
      <c r="A398" t="s">
        <v>517</v>
      </c>
      <c r="B398" t="s">
        <v>9</v>
      </c>
      <c r="C398" s="2">
        <v>46133.29872298611</v>
      </c>
      <c r="D398">
        <v>9</v>
      </c>
      <c r="F398" s="2">
        <v>46133.007056319446</v>
      </c>
      <c r="G398" s="3">
        <v>46133</v>
      </c>
      <c r="H398" t="s">
        <v>13</v>
      </c>
      <c r="I398">
        <v>0</v>
      </c>
    </row>
    <row r="399" spans="1:9" x14ac:dyDescent="0.2">
      <c r="A399" t="s">
        <v>518</v>
      </c>
      <c r="B399" t="s">
        <v>9</v>
      </c>
      <c r="C399" s="2">
        <v>46133.309540821756</v>
      </c>
      <c r="D399">
        <v>3</v>
      </c>
      <c r="F399" s="2">
        <v>46133.017874155092</v>
      </c>
      <c r="G399" s="3">
        <v>46133</v>
      </c>
      <c r="H399" t="s">
        <v>13</v>
      </c>
      <c r="I399">
        <v>0</v>
      </c>
    </row>
    <row r="400" spans="1:9" x14ac:dyDescent="0.2">
      <c r="A400" t="s">
        <v>519</v>
      </c>
      <c r="B400" t="s">
        <v>9</v>
      </c>
      <c r="C400" s="2">
        <v>46133.328453495371</v>
      </c>
      <c r="D400">
        <v>12</v>
      </c>
      <c r="F400" s="2">
        <v>46133.036786828707</v>
      </c>
      <c r="G400" s="3">
        <v>46133</v>
      </c>
      <c r="H400" t="s">
        <v>13</v>
      </c>
      <c r="I400">
        <v>0</v>
      </c>
    </row>
    <row r="401" spans="1:9" x14ac:dyDescent="0.2">
      <c r="A401" t="s">
        <v>520</v>
      </c>
      <c r="B401" t="s">
        <v>9</v>
      </c>
      <c r="C401" s="2">
        <v>46133.32939215278</v>
      </c>
      <c r="D401">
        <v>268</v>
      </c>
      <c r="F401" s="2">
        <v>46133.037725486109</v>
      </c>
      <c r="G401" s="3">
        <v>46133</v>
      </c>
      <c r="H401" t="s">
        <v>13</v>
      </c>
      <c r="I401">
        <v>0</v>
      </c>
    </row>
    <row r="402" spans="1:9" x14ac:dyDescent="0.2">
      <c r="A402" t="s">
        <v>521</v>
      </c>
      <c r="B402" t="s">
        <v>9</v>
      </c>
      <c r="C402" s="2">
        <v>46133.334720960651</v>
      </c>
      <c r="D402">
        <v>268</v>
      </c>
      <c r="F402" s="2">
        <v>46133.043054293979</v>
      </c>
      <c r="G402" s="3">
        <v>46133</v>
      </c>
      <c r="H402" t="s">
        <v>13</v>
      </c>
      <c r="I402">
        <v>1</v>
      </c>
    </row>
    <row r="403" spans="1:9" x14ac:dyDescent="0.2">
      <c r="A403" t="s">
        <v>522</v>
      </c>
      <c r="B403" t="s">
        <v>9</v>
      </c>
      <c r="C403" s="2">
        <v>46133.33541324074</v>
      </c>
      <c r="D403">
        <v>268</v>
      </c>
      <c r="F403" s="2">
        <v>46133.043746574076</v>
      </c>
      <c r="G403" s="3">
        <v>46133</v>
      </c>
      <c r="H403" t="s">
        <v>13</v>
      </c>
      <c r="I403">
        <v>1</v>
      </c>
    </row>
    <row r="404" spans="1:9" x14ac:dyDescent="0.2">
      <c r="A404" t="s">
        <v>523</v>
      </c>
      <c r="B404" t="s">
        <v>9</v>
      </c>
      <c r="C404" s="2">
        <v>46133.34812865741</v>
      </c>
      <c r="D404">
        <v>268</v>
      </c>
      <c r="F404" s="2">
        <v>46133.056461990738</v>
      </c>
      <c r="G404" s="3">
        <v>46133</v>
      </c>
      <c r="H404" t="s">
        <v>13</v>
      </c>
      <c r="I404">
        <v>1</v>
      </c>
    </row>
    <row r="405" spans="1:9" x14ac:dyDescent="0.2">
      <c r="A405" t="s">
        <v>524</v>
      </c>
      <c r="B405" t="s">
        <v>9</v>
      </c>
      <c r="C405" s="2">
        <v>46133.375533298611</v>
      </c>
      <c r="D405">
        <v>268</v>
      </c>
      <c r="F405" s="2">
        <v>46133.083866631947</v>
      </c>
      <c r="G405" s="3">
        <v>46133</v>
      </c>
      <c r="H405" t="s">
        <v>13</v>
      </c>
      <c r="I405">
        <v>2</v>
      </c>
    </row>
    <row r="406" spans="1:9" x14ac:dyDescent="0.2">
      <c r="A406" t="s">
        <v>525</v>
      </c>
      <c r="B406" t="s">
        <v>9</v>
      </c>
      <c r="C406" s="2">
        <v>46133.37581672454</v>
      </c>
      <c r="D406">
        <v>268</v>
      </c>
      <c r="F406" s="2">
        <v>46133.084150057868</v>
      </c>
      <c r="G406" s="3">
        <v>46133</v>
      </c>
      <c r="H406" t="s">
        <v>13</v>
      </c>
      <c r="I406">
        <v>2</v>
      </c>
    </row>
    <row r="407" spans="1:9" x14ac:dyDescent="0.2">
      <c r="A407" t="s">
        <v>526</v>
      </c>
      <c r="B407" t="s">
        <v>9</v>
      </c>
      <c r="C407" s="2">
        <v>46133.403331203706</v>
      </c>
      <c r="D407">
        <v>3</v>
      </c>
      <c r="F407" s="2">
        <v>46133.111664537035</v>
      </c>
      <c r="G407" s="3">
        <v>46133</v>
      </c>
      <c r="H407" t="s">
        <v>13</v>
      </c>
      <c r="I407">
        <v>2</v>
      </c>
    </row>
    <row r="408" spans="1:9" x14ac:dyDescent="0.2">
      <c r="A408" t="s">
        <v>527</v>
      </c>
      <c r="B408" t="s">
        <v>9</v>
      </c>
      <c r="C408" s="2">
        <v>46133.404339618057</v>
      </c>
      <c r="D408">
        <v>3</v>
      </c>
      <c r="F408" s="2">
        <v>46133.112672951385</v>
      </c>
      <c r="G408" s="3">
        <v>46133</v>
      </c>
      <c r="H408" t="s">
        <v>13</v>
      </c>
      <c r="I408">
        <v>2</v>
      </c>
    </row>
    <row r="409" spans="1:9" x14ac:dyDescent="0.2">
      <c r="A409" t="s">
        <v>528</v>
      </c>
      <c r="B409" t="s">
        <v>9</v>
      </c>
      <c r="C409" s="2">
        <v>46133.412899212963</v>
      </c>
      <c r="D409">
        <v>3</v>
      </c>
      <c r="F409" s="2">
        <v>46133.121232546298</v>
      </c>
      <c r="G409" s="3">
        <v>46133</v>
      </c>
      <c r="H409" t="s">
        <v>13</v>
      </c>
      <c r="I409">
        <v>2</v>
      </c>
    </row>
    <row r="410" spans="1:9" x14ac:dyDescent="0.2">
      <c r="A410" t="s">
        <v>529</v>
      </c>
      <c r="B410" t="s">
        <v>9</v>
      </c>
      <c r="C410" s="2">
        <v>46133.416787303242</v>
      </c>
      <c r="D410">
        <v>268</v>
      </c>
      <c r="F410" s="2">
        <v>46133.125120636571</v>
      </c>
      <c r="G410" s="3">
        <v>46133</v>
      </c>
      <c r="H410" t="s">
        <v>13</v>
      </c>
      <c r="I410">
        <v>3</v>
      </c>
    </row>
    <row r="411" spans="1:9" x14ac:dyDescent="0.2">
      <c r="A411" t="s">
        <v>530</v>
      </c>
      <c r="B411" t="s">
        <v>9</v>
      </c>
      <c r="C411" s="2">
        <v>46133.416905393518</v>
      </c>
      <c r="D411">
        <v>6092</v>
      </c>
      <c r="E411" s="7" t="s">
        <v>531</v>
      </c>
      <c r="F411" s="2">
        <v>46133.125238726854</v>
      </c>
      <c r="G411" s="3">
        <v>46133</v>
      </c>
      <c r="H411" t="s">
        <v>13</v>
      </c>
      <c r="I411">
        <v>3</v>
      </c>
    </row>
    <row r="412" spans="1:9" x14ac:dyDescent="0.2">
      <c r="A412" t="s">
        <v>532</v>
      </c>
      <c r="B412" t="s">
        <v>9</v>
      </c>
      <c r="C412" s="2">
        <v>46133.417973009258</v>
      </c>
      <c r="D412">
        <v>3</v>
      </c>
      <c r="F412" s="2">
        <v>46133.126306342594</v>
      </c>
      <c r="G412" s="3">
        <v>46133</v>
      </c>
      <c r="H412" t="s">
        <v>13</v>
      </c>
      <c r="I412">
        <v>3</v>
      </c>
    </row>
    <row r="413" spans="1:9" x14ac:dyDescent="0.2">
      <c r="A413" t="s">
        <v>533</v>
      </c>
      <c r="B413" t="s">
        <v>9</v>
      </c>
      <c r="C413" s="2">
        <v>46133.422429745369</v>
      </c>
      <c r="D413">
        <v>3</v>
      </c>
      <c r="F413" s="2">
        <v>46133.130763078705</v>
      </c>
      <c r="G413" s="3">
        <v>46133</v>
      </c>
      <c r="H413" t="s">
        <v>13</v>
      </c>
      <c r="I413">
        <v>3</v>
      </c>
    </row>
    <row r="414" spans="1:9" x14ac:dyDescent="0.2">
      <c r="A414" t="s">
        <v>534</v>
      </c>
      <c r="B414" t="s">
        <v>9</v>
      </c>
      <c r="C414" s="2">
        <v>46133.427061944443</v>
      </c>
      <c r="D414">
        <v>3</v>
      </c>
      <c r="F414" s="2">
        <v>46133.135395277779</v>
      </c>
      <c r="G414" s="3">
        <v>46133</v>
      </c>
      <c r="H414" t="s">
        <v>13</v>
      </c>
      <c r="I414">
        <v>3</v>
      </c>
    </row>
    <row r="415" spans="1:9" x14ac:dyDescent="0.2">
      <c r="A415" t="s">
        <v>535</v>
      </c>
      <c r="B415" t="s">
        <v>9</v>
      </c>
      <c r="C415" s="2">
        <v>46133.428345370368</v>
      </c>
      <c r="D415">
        <v>3</v>
      </c>
      <c r="F415" s="2">
        <v>46133.136678703704</v>
      </c>
      <c r="G415" s="3">
        <v>46133</v>
      </c>
      <c r="H415" t="s">
        <v>13</v>
      </c>
      <c r="I415">
        <v>3</v>
      </c>
    </row>
    <row r="416" spans="1:9" x14ac:dyDescent="0.2">
      <c r="A416" t="s">
        <v>536</v>
      </c>
      <c r="B416" t="s">
        <v>9</v>
      </c>
      <c r="C416" s="2">
        <v>46133.457081134256</v>
      </c>
      <c r="D416">
        <v>3</v>
      </c>
      <c r="F416" s="2">
        <v>46133.165414467592</v>
      </c>
      <c r="G416" s="3">
        <v>46133</v>
      </c>
      <c r="H416" t="s">
        <v>13</v>
      </c>
      <c r="I416">
        <v>3</v>
      </c>
    </row>
    <row r="417" spans="1:9" x14ac:dyDescent="0.2">
      <c r="A417" t="s">
        <v>537</v>
      </c>
      <c r="B417" t="s">
        <v>9</v>
      </c>
      <c r="C417" s="2">
        <v>46133.458372685185</v>
      </c>
      <c r="D417">
        <v>3</v>
      </c>
      <c r="F417" s="2">
        <v>46133.166706018521</v>
      </c>
      <c r="G417" s="3">
        <v>46133</v>
      </c>
      <c r="H417" t="s">
        <v>13</v>
      </c>
      <c r="I417">
        <v>4</v>
      </c>
    </row>
    <row r="418" spans="1:9" x14ac:dyDescent="0.2">
      <c r="A418" t="s">
        <v>538</v>
      </c>
      <c r="B418" t="s">
        <v>9</v>
      </c>
      <c r="C418" s="2">
        <v>46133.461458414349</v>
      </c>
      <c r="D418">
        <v>268</v>
      </c>
      <c r="E418" s="7" t="s">
        <v>487</v>
      </c>
      <c r="F418" s="2">
        <v>46133.169791747685</v>
      </c>
      <c r="G418" s="3">
        <v>46133</v>
      </c>
      <c r="H418" t="s">
        <v>13</v>
      </c>
      <c r="I418">
        <v>4</v>
      </c>
    </row>
    <row r="419" spans="1:9" x14ac:dyDescent="0.2">
      <c r="A419" t="s">
        <v>539</v>
      </c>
      <c r="B419" t="s">
        <v>9</v>
      </c>
      <c r="C419" s="2">
        <v>46133.491436412034</v>
      </c>
      <c r="D419">
        <v>268</v>
      </c>
      <c r="F419" s="2">
        <v>46133.19976974537</v>
      </c>
      <c r="G419" s="3">
        <v>46133</v>
      </c>
      <c r="H419" t="s">
        <v>13</v>
      </c>
      <c r="I419">
        <v>4</v>
      </c>
    </row>
    <row r="420" spans="1:9" x14ac:dyDescent="0.2">
      <c r="A420" t="s">
        <v>540</v>
      </c>
      <c r="B420" t="s">
        <v>9</v>
      </c>
      <c r="C420" s="2">
        <v>46133.505880185185</v>
      </c>
      <c r="D420">
        <v>268</v>
      </c>
      <c r="F420" s="2">
        <v>46133.21421351852</v>
      </c>
      <c r="G420" s="3">
        <v>46133</v>
      </c>
      <c r="H420" t="s">
        <v>13</v>
      </c>
      <c r="I420">
        <v>5</v>
      </c>
    </row>
    <row r="421" spans="1:9" x14ac:dyDescent="0.2">
      <c r="A421" t="s">
        <v>541</v>
      </c>
      <c r="B421" t="s">
        <v>9</v>
      </c>
      <c r="C421" s="2">
        <v>46133.560505173613</v>
      </c>
      <c r="D421">
        <v>268</v>
      </c>
      <c r="F421" s="2">
        <v>46133.268838506941</v>
      </c>
      <c r="G421" s="3">
        <v>46133</v>
      </c>
      <c r="H421" t="s">
        <v>13</v>
      </c>
      <c r="I421">
        <v>6</v>
      </c>
    </row>
    <row r="422" spans="1:9" x14ac:dyDescent="0.2">
      <c r="A422" t="s">
        <v>542</v>
      </c>
      <c r="B422" t="s">
        <v>9</v>
      </c>
      <c r="C422" s="2">
        <v>46133.568863877314</v>
      </c>
      <c r="D422">
        <v>3</v>
      </c>
      <c r="F422" s="2">
        <v>46133.277197210649</v>
      </c>
      <c r="G422" s="3">
        <v>46133</v>
      </c>
      <c r="H422" t="s">
        <v>13</v>
      </c>
      <c r="I422">
        <v>6</v>
      </c>
    </row>
    <row r="423" spans="1:9" x14ac:dyDescent="0.2">
      <c r="A423" t="s">
        <v>543</v>
      </c>
      <c r="B423" t="s">
        <v>9</v>
      </c>
      <c r="C423" s="2">
        <v>46133.577889826389</v>
      </c>
      <c r="D423">
        <v>3</v>
      </c>
      <c r="F423" s="2">
        <v>46133.286223159725</v>
      </c>
      <c r="G423" s="3">
        <v>46133</v>
      </c>
      <c r="H423" t="s">
        <v>13</v>
      </c>
      <c r="I423">
        <v>6</v>
      </c>
    </row>
    <row r="424" spans="1:9" x14ac:dyDescent="0.2">
      <c r="A424" t="s">
        <v>544</v>
      </c>
      <c r="B424" t="s">
        <v>9</v>
      </c>
      <c r="C424" s="2">
        <v>46133.602993333334</v>
      </c>
      <c r="D424">
        <v>10</v>
      </c>
      <c r="F424" s="2">
        <v>46133.31132666667</v>
      </c>
      <c r="G424" s="3">
        <v>46133</v>
      </c>
      <c r="H424" t="s">
        <v>13</v>
      </c>
      <c r="I424">
        <v>7</v>
      </c>
    </row>
    <row r="425" spans="1:9" x14ac:dyDescent="0.2">
      <c r="A425" t="s">
        <v>545</v>
      </c>
      <c r="B425" t="s">
        <v>9</v>
      </c>
      <c r="C425" s="2">
        <v>46133.61250787037</v>
      </c>
      <c r="D425">
        <v>3</v>
      </c>
      <c r="F425" s="2">
        <v>46133.320841203706</v>
      </c>
      <c r="G425" s="3">
        <v>46133</v>
      </c>
      <c r="H425" t="s">
        <v>13</v>
      </c>
      <c r="I425">
        <v>7</v>
      </c>
    </row>
    <row r="426" spans="1:9" x14ac:dyDescent="0.2">
      <c r="A426" t="s">
        <v>546</v>
      </c>
      <c r="B426" t="s">
        <v>9</v>
      </c>
      <c r="C426" s="2">
        <v>46133.616783078702</v>
      </c>
      <c r="D426">
        <v>268</v>
      </c>
      <c r="F426" s="2">
        <v>46133.325116412037</v>
      </c>
      <c r="G426" s="3">
        <v>46133</v>
      </c>
      <c r="H426" t="s">
        <v>13</v>
      </c>
      <c r="I426">
        <v>7</v>
      </c>
    </row>
    <row r="427" spans="1:9" x14ac:dyDescent="0.2">
      <c r="A427" t="s">
        <v>547</v>
      </c>
      <c r="B427" t="s">
        <v>9</v>
      </c>
      <c r="C427" s="2">
        <v>46133.625815833337</v>
      </c>
      <c r="D427">
        <v>3</v>
      </c>
      <c r="F427" s="2">
        <v>46133.334149166665</v>
      </c>
      <c r="G427" s="3">
        <v>46133</v>
      </c>
      <c r="H427" t="s">
        <v>13</v>
      </c>
      <c r="I427">
        <v>8</v>
      </c>
    </row>
    <row r="428" spans="1:9" x14ac:dyDescent="0.2">
      <c r="A428" t="s">
        <v>548</v>
      </c>
      <c r="B428" t="s">
        <v>9</v>
      </c>
      <c r="C428" s="2">
        <v>46133.627083611114</v>
      </c>
      <c r="D428">
        <v>3</v>
      </c>
      <c r="E428" s="7" t="s">
        <v>549</v>
      </c>
      <c r="F428" s="2">
        <v>46133.335416944443</v>
      </c>
      <c r="G428" s="3">
        <v>46133</v>
      </c>
      <c r="H428" t="s">
        <v>13</v>
      </c>
      <c r="I428">
        <v>8</v>
      </c>
    </row>
    <row r="429" spans="1:9" x14ac:dyDescent="0.2">
      <c r="A429" t="s">
        <v>550</v>
      </c>
      <c r="B429" t="s">
        <v>9</v>
      </c>
      <c r="C429" s="2">
        <v>46133.630742627312</v>
      </c>
      <c r="D429">
        <v>268</v>
      </c>
      <c r="F429" s="2">
        <v>46133.339075960648</v>
      </c>
      <c r="G429" s="3">
        <v>46133</v>
      </c>
      <c r="H429" t="s">
        <v>13</v>
      </c>
      <c r="I429">
        <v>8</v>
      </c>
    </row>
    <row r="430" spans="1:9" x14ac:dyDescent="0.2">
      <c r="A430" t="s">
        <v>551</v>
      </c>
      <c r="B430" t="s">
        <v>9</v>
      </c>
      <c r="C430" s="2">
        <v>46133.631182789351</v>
      </c>
      <c r="D430">
        <v>6093</v>
      </c>
      <c r="F430" s="2">
        <v>46133.339516122687</v>
      </c>
      <c r="G430" s="3">
        <v>46133</v>
      </c>
      <c r="H430" t="s">
        <v>13</v>
      </c>
      <c r="I430">
        <v>8</v>
      </c>
    </row>
    <row r="431" spans="1:9" x14ac:dyDescent="0.2">
      <c r="A431" t="s">
        <v>552</v>
      </c>
      <c r="B431" t="s">
        <v>9</v>
      </c>
      <c r="C431" s="2">
        <v>46133.634605601852</v>
      </c>
      <c r="D431">
        <v>10</v>
      </c>
      <c r="F431" s="2">
        <v>46133.342938935188</v>
      </c>
      <c r="G431" s="3">
        <v>46133</v>
      </c>
      <c r="H431" t="s">
        <v>13</v>
      </c>
      <c r="I431">
        <v>8</v>
      </c>
    </row>
    <row r="432" spans="1:9" x14ac:dyDescent="0.2">
      <c r="A432" t="s">
        <v>553</v>
      </c>
      <c r="B432" t="s">
        <v>9</v>
      </c>
      <c r="C432" s="2">
        <v>46133.642547928241</v>
      </c>
      <c r="D432">
        <v>64</v>
      </c>
      <c r="E432" s="7" t="s">
        <v>340</v>
      </c>
      <c r="F432" s="2">
        <v>46133.350881261576</v>
      </c>
      <c r="G432" s="3">
        <v>46133</v>
      </c>
      <c r="H432" t="s">
        <v>13</v>
      </c>
      <c r="I432">
        <v>8</v>
      </c>
    </row>
    <row r="433" spans="1:9" x14ac:dyDescent="0.2">
      <c r="A433" t="s">
        <v>554</v>
      </c>
      <c r="B433" t="s">
        <v>9</v>
      </c>
      <c r="C433" s="2">
        <v>46133.652078495368</v>
      </c>
      <c r="D433">
        <v>3</v>
      </c>
      <c r="F433" s="2">
        <v>46133.360411828704</v>
      </c>
      <c r="G433" s="3">
        <v>46133</v>
      </c>
      <c r="H433" t="s">
        <v>13</v>
      </c>
      <c r="I433">
        <v>8</v>
      </c>
    </row>
    <row r="434" spans="1:9" x14ac:dyDescent="0.2">
      <c r="A434" t="s">
        <v>555</v>
      </c>
      <c r="B434" t="s">
        <v>9</v>
      </c>
      <c r="C434" s="2">
        <v>46133.655845844907</v>
      </c>
      <c r="D434">
        <v>3</v>
      </c>
      <c r="F434" s="2">
        <v>46133.364179178243</v>
      </c>
      <c r="G434" s="3">
        <v>46133</v>
      </c>
      <c r="H434" t="s">
        <v>13</v>
      </c>
      <c r="I434">
        <v>8</v>
      </c>
    </row>
    <row r="435" spans="1:9" x14ac:dyDescent="0.2">
      <c r="A435" t="s">
        <v>556</v>
      </c>
      <c r="B435" t="s">
        <v>9</v>
      </c>
      <c r="C435" s="2">
        <v>46133.69585960648</v>
      </c>
      <c r="D435">
        <v>3</v>
      </c>
      <c r="F435" s="2">
        <v>46133.404192939815</v>
      </c>
      <c r="G435" s="3">
        <v>46133</v>
      </c>
      <c r="H435" t="s">
        <v>13</v>
      </c>
      <c r="I435">
        <v>9</v>
      </c>
    </row>
    <row r="436" spans="1:9" x14ac:dyDescent="0.2">
      <c r="A436" t="s">
        <v>557</v>
      </c>
      <c r="B436" t="s">
        <v>9</v>
      </c>
      <c r="C436" s="2">
        <v>46133.735677083336</v>
      </c>
      <c r="D436">
        <v>202</v>
      </c>
      <c r="F436" s="2">
        <v>46133.444010416664</v>
      </c>
      <c r="G436" s="3">
        <v>46133</v>
      </c>
      <c r="H436" t="s">
        <v>13</v>
      </c>
      <c r="I436">
        <v>10</v>
      </c>
    </row>
    <row r="437" spans="1:9" x14ac:dyDescent="0.2">
      <c r="A437" t="s">
        <v>558</v>
      </c>
      <c r="B437" t="s">
        <v>9</v>
      </c>
      <c r="C437" s="2">
        <v>46133.90354172454</v>
      </c>
      <c r="D437">
        <v>3</v>
      </c>
      <c r="F437" s="2">
        <v>46133.611875057868</v>
      </c>
      <c r="G437" s="3">
        <v>46133</v>
      </c>
      <c r="H437" t="s">
        <v>13</v>
      </c>
      <c r="I437">
        <v>14</v>
      </c>
    </row>
    <row r="438" spans="1:9" x14ac:dyDescent="0.2">
      <c r="A438" t="s">
        <v>559</v>
      </c>
      <c r="B438" t="s">
        <v>9</v>
      </c>
      <c r="C438" s="2">
        <v>46133.920798067127</v>
      </c>
      <c r="D438">
        <v>268</v>
      </c>
      <c r="F438" s="2">
        <v>46133.629131400463</v>
      </c>
      <c r="G438" s="3">
        <v>46133</v>
      </c>
      <c r="H438" t="s">
        <v>13</v>
      </c>
      <c r="I438">
        <v>15</v>
      </c>
    </row>
    <row r="439" spans="1:9" x14ac:dyDescent="0.2">
      <c r="A439" t="s">
        <v>560</v>
      </c>
      <c r="B439" t="s">
        <v>9</v>
      </c>
      <c r="C439" s="2">
        <v>46134.258694374999</v>
      </c>
      <c r="D439">
        <v>3</v>
      </c>
      <c r="F439" s="2">
        <v>46133.967027708335</v>
      </c>
      <c r="G439" s="3">
        <v>46133</v>
      </c>
      <c r="H439" t="s">
        <v>13</v>
      </c>
      <c r="I439">
        <v>23</v>
      </c>
    </row>
    <row r="440" spans="1:9" x14ac:dyDescent="0.2">
      <c r="A440" t="s">
        <v>561</v>
      </c>
      <c r="B440" t="s">
        <v>9</v>
      </c>
      <c r="C440" s="2">
        <v>46134.274001076388</v>
      </c>
      <c r="D440">
        <v>268</v>
      </c>
      <c r="F440" s="2">
        <v>46133.982334409724</v>
      </c>
      <c r="G440" s="3">
        <v>46133</v>
      </c>
      <c r="H440" t="s">
        <v>13</v>
      </c>
      <c r="I440">
        <v>23</v>
      </c>
    </row>
    <row r="441" spans="1:9" x14ac:dyDescent="0.2">
      <c r="A441" t="s">
        <v>562</v>
      </c>
      <c r="B441" t="s">
        <v>9</v>
      </c>
      <c r="C441" s="2">
        <v>46134.292031458332</v>
      </c>
      <c r="D441">
        <v>3</v>
      </c>
      <c r="F441" s="2">
        <v>46134.000364791667</v>
      </c>
      <c r="G441" s="3">
        <v>46134</v>
      </c>
      <c r="H441" t="s">
        <v>17</v>
      </c>
      <c r="I441">
        <v>0</v>
      </c>
    </row>
    <row r="442" spans="1:9" x14ac:dyDescent="0.2">
      <c r="A442" t="s">
        <v>563</v>
      </c>
      <c r="B442" t="s">
        <v>9</v>
      </c>
      <c r="C442" s="2">
        <v>46134.296790810185</v>
      </c>
      <c r="D442">
        <v>3</v>
      </c>
      <c r="F442" s="2">
        <v>46134.005124143521</v>
      </c>
      <c r="G442" s="3">
        <v>46134</v>
      </c>
      <c r="H442" t="s">
        <v>17</v>
      </c>
      <c r="I442">
        <v>0</v>
      </c>
    </row>
    <row r="443" spans="1:9" x14ac:dyDescent="0.2">
      <c r="A443" t="s">
        <v>564</v>
      </c>
      <c r="B443" t="s">
        <v>9</v>
      </c>
      <c r="C443" s="2">
        <v>46134.328207233797</v>
      </c>
      <c r="D443">
        <v>1</v>
      </c>
      <c r="E443" s="7" t="s">
        <v>366</v>
      </c>
      <c r="F443" s="2">
        <v>46134.036540567133</v>
      </c>
      <c r="G443" s="3">
        <v>46134</v>
      </c>
      <c r="H443" t="s">
        <v>17</v>
      </c>
      <c r="I443">
        <v>0</v>
      </c>
    </row>
    <row r="444" spans="1:9" x14ac:dyDescent="0.2">
      <c r="A444" t="s">
        <v>565</v>
      </c>
      <c r="B444" t="s">
        <v>9</v>
      </c>
      <c r="C444" s="2">
        <v>46134.33044140046</v>
      </c>
      <c r="D444">
        <v>1</v>
      </c>
      <c r="E444" s="7" t="s">
        <v>494</v>
      </c>
      <c r="F444" s="2">
        <v>46134.038774733795</v>
      </c>
      <c r="G444" s="3">
        <v>46134</v>
      </c>
      <c r="H444" t="s">
        <v>17</v>
      </c>
      <c r="I444">
        <v>0</v>
      </c>
    </row>
    <row r="445" spans="1:9" x14ac:dyDescent="0.2">
      <c r="A445" t="s">
        <v>566</v>
      </c>
      <c r="B445" t="s">
        <v>9</v>
      </c>
      <c r="C445" s="2">
        <v>46134.332404710651</v>
      </c>
      <c r="D445">
        <v>268</v>
      </c>
      <c r="F445" s="2">
        <v>46134.040738043979</v>
      </c>
      <c r="G445" s="3">
        <v>46134</v>
      </c>
      <c r="H445" t="s">
        <v>17</v>
      </c>
      <c r="I445">
        <v>0</v>
      </c>
    </row>
    <row r="446" spans="1:9" x14ac:dyDescent="0.2">
      <c r="A446" t="s">
        <v>567</v>
      </c>
      <c r="B446" t="s">
        <v>9</v>
      </c>
      <c r="C446" s="2">
        <v>46134.334408078706</v>
      </c>
      <c r="D446">
        <v>1</v>
      </c>
      <c r="E446" s="7" t="s">
        <v>494</v>
      </c>
      <c r="F446" s="2">
        <v>46134.042741412035</v>
      </c>
      <c r="G446" s="3">
        <v>46134</v>
      </c>
      <c r="H446" t="s">
        <v>17</v>
      </c>
      <c r="I446">
        <v>1</v>
      </c>
    </row>
    <row r="447" spans="1:9" x14ac:dyDescent="0.2">
      <c r="A447" t="s">
        <v>568</v>
      </c>
      <c r="B447" t="s">
        <v>9</v>
      </c>
      <c r="C447" s="2">
        <v>46134.335092349538</v>
      </c>
      <c r="D447">
        <v>268</v>
      </c>
      <c r="F447" s="2">
        <v>46134.043425682874</v>
      </c>
      <c r="G447" s="3">
        <v>46134</v>
      </c>
      <c r="H447" t="s">
        <v>17</v>
      </c>
      <c r="I447">
        <v>1</v>
      </c>
    </row>
    <row r="448" spans="1:9" x14ac:dyDescent="0.2">
      <c r="A448" t="s">
        <v>569</v>
      </c>
      <c r="B448" t="s">
        <v>9</v>
      </c>
      <c r="C448" s="2">
        <v>46134.353537303243</v>
      </c>
      <c r="D448">
        <v>202</v>
      </c>
      <c r="F448" s="2">
        <v>46134.061870636571</v>
      </c>
      <c r="G448" s="3">
        <v>46134</v>
      </c>
      <c r="H448" t="s">
        <v>17</v>
      </c>
      <c r="I448">
        <v>1</v>
      </c>
    </row>
    <row r="449" spans="1:9" x14ac:dyDescent="0.2">
      <c r="A449" t="s">
        <v>570</v>
      </c>
      <c r="B449" t="s">
        <v>9</v>
      </c>
      <c r="C449" s="2">
        <v>46134.354562141205</v>
      </c>
      <c r="D449">
        <v>3</v>
      </c>
      <c r="F449" s="2">
        <v>46134.062895474533</v>
      </c>
      <c r="G449" s="3">
        <v>46134</v>
      </c>
      <c r="H449" t="s">
        <v>17</v>
      </c>
      <c r="I449">
        <v>1</v>
      </c>
    </row>
    <row r="450" spans="1:9" x14ac:dyDescent="0.2">
      <c r="A450" t="s">
        <v>571</v>
      </c>
      <c r="B450" t="s">
        <v>9</v>
      </c>
      <c r="C450" s="2">
        <v>46134.369408148152</v>
      </c>
      <c r="D450">
        <v>3</v>
      </c>
      <c r="F450" s="2">
        <v>46134.07774148148</v>
      </c>
      <c r="G450" s="3">
        <v>46134</v>
      </c>
      <c r="H450" t="s">
        <v>17</v>
      </c>
      <c r="I450">
        <v>1</v>
      </c>
    </row>
    <row r="451" spans="1:9" x14ac:dyDescent="0.2">
      <c r="A451" t="s">
        <v>572</v>
      </c>
      <c r="B451" t="s">
        <v>9</v>
      </c>
      <c r="C451" s="2">
        <v>46134.369823113426</v>
      </c>
      <c r="D451">
        <v>3</v>
      </c>
      <c r="E451" s="7" t="s">
        <v>549</v>
      </c>
      <c r="F451" s="2">
        <v>46134.078156446762</v>
      </c>
      <c r="G451" s="3">
        <v>46134</v>
      </c>
      <c r="H451" t="s">
        <v>17</v>
      </c>
      <c r="I451">
        <v>1</v>
      </c>
    </row>
    <row r="452" spans="1:9" x14ac:dyDescent="0.2">
      <c r="A452" t="s">
        <v>573</v>
      </c>
      <c r="B452" t="s">
        <v>9</v>
      </c>
      <c r="C452" s="2">
        <v>46134.37549564815</v>
      </c>
      <c r="D452">
        <v>3</v>
      </c>
      <c r="E452" s="7" t="s">
        <v>549</v>
      </c>
      <c r="F452" s="2">
        <v>46134.083828981478</v>
      </c>
      <c r="G452" s="3">
        <v>46134</v>
      </c>
      <c r="H452" t="s">
        <v>17</v>
      </c>
      <c r="I452">
        <v>2</v>
      </c>
    </row>
    <row r="453" spans="1:9" x14ac:dyDescent="0.2">
      <c r="A453" t="s">
        <v>574</v>
      </c>
      <c r="B453" t="s">
        <v>9</v>
      </c>
      <c r="C453" s="2">
        <v>46134.378939548609</v>
      </c>
      <c r="D453">
        <v>268</v>
      </c>
      <c r="F453" s="2">
        <v>46134.087272881945</v>
      </c>
      <c r="G453" s="3">
        <v>46134</v>
      </c>
      <c r="H453" t="s">
        <v>17</v>
      </c>
      <c r="I453">
        <v>2</v>
      </c>
    </row>
    <row r="454" spans="1:9" x14ac:dyDescent="0.2">
      <c r="A454" t="s">
        <v>575</v>
      </c>
      <c r="B454" t="s">
        <v>9</v>
      </c>
      <c r="C454" s="2">
        <v>46134.382276851851</v>
      </c>
      <c r="D454">
        <v>3</v>
      </c>
      <c r="F454" s="2">
        <v>46134.090610185187</v>
      </c>
      <c r="G454" s="3">
        <v>46134</v>
      </c>
      <c r="H454" t="s">
        <v>17</v>
      </c>
      <c r="I454">
        <v>2</v>
      </c>
    </row>
    <row r="455" spans="1:9" x14ac:dyDescent="0.2">
      <c r="A455" t="s">
        <v>576</v>
      </c>
      <c r="B455" t="s">
        <v>9</v>
      </c>
      <c r="C455" s="2">
        <v>46134.396226412035</v>
      </c>
      <c r="D455">
        <v>3</v>
      </c>
      <c r="F455" s="2">
        <v>46134.10455974537</v>
      </c>
      <c r="G455" s="3">
        <v>46134</v>
      </c>
      <c r="H455" t="s">
        <v>17</v>
      </c>
      <c r="I455">
        <v>2</v>
      </c>
    </row>
    <row r="456" spans="1:9" x14ac:dyDescent="0.2">
      <c r="A456" t="s">
        <v>577</v>
      </c>
      <c r="B456" t="s">
        <v>9</v>
      </c>
      <c r="C456" s="2">
        <v>46134.416021712961</v>
      </c>
      <c r="D456">
        <v>202</v>
      </c>
      <c r="F456" s="2">
        <v>46134.124355046297</v>
      </c>
      <c r="G456" s="3">
        <v>46134</v>
      </c>
      <c r="H456" t="s">
        <v>17</v>
      </c>
      <c r="I456">
        <v>2</v>
      </c>
    </row>
    <row r="457" spans="1:9" x14ac:dyDescent="0.2">
      <c r="A457" t="s">
        <v>578</v>
      </c>
      <c r="B457" t="s">
        <v>9</v>
      </c>
      <c r="C457" s="2">
        <v>46134.422919942132</v>
      </c>
      <c r="D457">
        <v>3</v>
      </c>
      <c r="F457" s="2">
        <v>46134.13125327546</v>
      </c>
      <c r="G457" s="3">
        <v>46134</v>
      </c>
      <c r="H457" t="s">
        <v>17</v>
      </c>
      <c r="I457">
        <v>3</v>
      </c>
    </row>
    <row r="458" spans="1:9" x14ac:dyDescent="0.2">
      <c r="A458" t="s">
        <v>579</v>
      </c>
      <c r="B458" t="s">
        <v>9</v>
      </c>
      <c r="C458" s="2">
        <v>46134.424117418981</v>
      </c>
      <c r="D458">
        <v>3</v>
      </c>
      <c r="F458" s="2">
        <v>46134.132450752317</v>
      </c>
      <c r="G458" s="3">
        <v>46134</v>
      </c>
      <c r="H458" t="s">
        <v>17</v>
      </c>
      <c r="I458">
        <v>3</v>
      </c>
    </row>
    <row r="459" spans="1:9" x14ac:dyDescent="0.2">
      <c r="A459" t="s">
        <v>580</v>
      </c>
      <c r="B459" t="s">
        <v>9</v>
      </c>
      <c r="C459" s="2">
        <v>46134.441081273151</v>
      </c>
      <c r="D459">
        <v>3</v>
      </c>
      <c r="F459" s="2">
        <v>46134.14941460648</v>
      </c>
      <c r="G459" s="3">
        <v>46134</v>
      </c>
      <c r="H459" t="s">
        <v>17</v>
      </c>
      <c r="I459">
        <v>3</v>
      </c>
    </row>
    <row r="460" spans="1:9" x14ac:dyDescent="0.2">
      <c r="A460" t="s">
        <v>581</v>
      </c>
      <c r="B460" t="s">
        <v>9</v>
      </c>
      <c r="C460" s="2">
        <v>46134.490493645833</v>
      </c>
      <c r="D460">
        <v>201</v>
      </c>
      <c r="F460" s="2">
        <v>46134.198826979169</v>
      </c>
      <c r="G460" s="3">
        <v>46134</v>
      </c>
      <c r="H460" t="s">
        <v>17</v>
      </c>
      <c r="I460">
        <v>4</v>
      </c>
    </row>
    <row r="461" spans="1:9" x14ac:dyDescent="0.2">
      <c r="A461" t="s">
        <v>582</v>
      </c>
      <c r="B461" t="s">
        <v>9</v>
      </c>
      <c r="C461" s="2">
        <v>46134.506164108796</v>
      </c>
      <c r="D461">
        <v>3</v>
      </c>
      <c r="F461" s="2">
        <v>46134.214497442132</v>
      </c>
      <c r="G461" s="3">
        <v>46134</v>
      </c>
      <c r="H461" t="s">
        <v>17</v>
      </c>
      <c r="I461">
        <v>5</v>
      </c>
    </row>
    <row r="462" spans="1:9" x14ac:dyDescent="0.2">
      <c r="A462" t="s">
        <v>583</v>
      </c>
      <c r="B462" t="s">
        <v>9</v>
      </c>
      <c r="C462" s="2">
        <v>46134.517042939813</v>
      </c>
      <c r="D462">
        <v>3</v>
      </c>
      <c r="F462" s="2">
        <v>46134.225376273149</v>
      </c>
      <c r="G462" s="3">
        <v>46134</v>
      </c>
      <c r="H462" t="s">
        <v>17</v>
      </c>
      <c r="I462">
        <v>5</v>
      </c>
    </row>
    <row r="463" spans="1:9" x14ac:dyDescent="0.2">
      <c r="A463" t="s">
        <v>584</v>
      </c>
      <c r="B463" t="s">
        <v>9</v>
      </c>
      <c r="C463" s="2">
        <v>46134.526018425924</v>
      </c>
      <c r="D463">
        <v>3</v>
      </c>
      <c r="E463" s="7" t="s">
        <v>136</v>
      </c>
      <c r="F463" s="2">
        <v>46134.23435175926</v>
      </c>
      <c r="G463" s="3">
        <v>46134</v>
      </c>
      <c r="H463" t="s">
        <v>17</v>
      </c>
      <c r="I463">
        <v>5</v>
      </c>
    </row>
    <row r="464" spans="1:9" x14ac:dyDescent="0.2">
      <c r="A464" t="s">
        <v>585</v>
      </c>
      <c r="B464" t="s">
        <v>9</v>
      </c>
      <c r="C464" s="2">
        <v>46134.545041909725</v>
      </c>
      <c r="D464">
        <v>3</v>
      </c>
      <c r="F464" s="2">
        <v>46134.253375243054</v>
      </c>
      <c r="G464" s="3">
        <v>46134</v>
      </c>
      <c r="H464" t="s">
        <v>17</v>
      </c>
      <c r="I464">
        <v>6</v>
      </c>
    </row>
    <row r="465" spans="1:9" x14ac:dyDescent="0.2">
      <c r="A465" t="s">
        <v>586</v>
      </c>
      <c r="B465" t="s">
        <v>9</v>
      </c>
      <c r="C465" s="2">
        <v>46134.547465069445</v>
      </c>
      <c r="D465">
        <v>3</v>
      </c>
      <c r="F465" s="2">
        <v>46134.255798402781</v>
      </c>
      <c r="G465" s="3">
        <v>46134</v>
      </c>
      <c r="H465" t="s">
        <v>17</v>
      </c>
      <c r="I465">
        <v>6</v>
      </c>
    </row>
    <row r="466" spans="1:9" x14ac:dyDescent="0.2">
      <c r="A466" t="s">
        <v>587</v>
      </c>
      <c r="B466" t="s">
        <v>9</v>
      </c>
      <c r="C466" s="2">
        <v>46134.547660763892</v>
      </c>
      <c r="D466">
        <v>267</v>
      </c>
      <c r="F466" s="2">
        <v>46134.255994097221</v>
      </c>
      <c r="G466" s="3">
        <v>46134</v>
      </c>
      <c r="H466" t="s">
        <v>17</v>
      </c>
      <c r="I466">
        <v>6</v>
      </c>
    </row>
    <row r="467" spans="1:9" x14ac:dyDescent="0.2">
      <c r="A467" t="s">
        <v>588</v>
      </c>
      <c r="B467" t="s">
        <v>9</v>
      </c>
      <c r="C467" s="2">
        <v>46134.572767175923</v>
      </c>
      <c r="D467">
        <v>16</v>
      </c>
      <c r="F467" s="2">
        <v>46134.281100509259</v>
      </c>
      <c r="G467" s="3">
        <v>46134</v>
      </c>
      <c r="H467" t="s">
        <v>17</v>
      </c>
      <c r="I467">
        <v>6</v>
      </c>
    </row>
    <row r="468" spans="1:9" x14ac:dyDescent="0.2">
      <c r="A468" t="s">
        <v>589</v>
      </c>
      <c r="B468" t="s">
        <v>9</v>
      </c>
      <c r="C468" s="2">
        <v>46134.615237349535</v>
      </c>
      <c r="D468">
        <v>267</v>
      </c>
      <c r="E468" s="7" t="s">
        <v>114</v>
      </c>
      <c r="F468" s="2">
        <v>46134.323570682871</v>
      </c>
      <c r="G468" s="3">
        <v>46134</v>
      </c>
      <c r="H468" t="s">
        <v>17</v>
      </c>
      <c r="I468">
        <v>7</v>
      </c>
    </row>
    <row r="469" spans="1:9" x14ac:dyDescent="0.2">
      <c r="A469" t="s">
        <v>590</v>
      </c>
      <c r="B469" t="s">
        <v>9</v>
      </c>
      <c r="C469" s="2">
        <v>46134.621190370373</v>
      </c>
      <c r="D469">
        <v>3</v>
      </c>
      <c r="F469" s="2">
        <v>46134.329523703702</v>
      </c>
      <c r="G469" s="3">
        <v>46134</v>
      </c>
      <c r="H469" t="s">
        <v>17</v>
      </c>
      <c r="I469">
        <v>7</v>
      </c>
    </row>
    <row r="470" spans="1:9" x14ac:dyDescent="0.2">
      <c r="A470" t="s">
        <v>591</v>
      </c>
      <c r="B470" t="s">
        <v>9</v>
      </c>
      <c r="C470" s="2">
        <v>46134.630711180558</v>
      </c>
      <c r="D470">
        <v>3</v>
      </c>
      <c r="F470" s="2">
        <v>46134.339044513887</v>
      </c>
      <c r="G470" s="3">
        <v>46134</v>
      </c>
      <c r="H470" t="s">
        <v>17</v>
      </c>
      <c r="I470">
        <v>8</v>
      </c>
    </row>
    <row r="471" spans="1:9" x14ac:dyDescent="0.2">
      <c r="A471" t="s">
        <v>592</v>
      </c>
      <c r="B471" t="s">
        <v>9</v>
      </c>
      <c r="C471" s="2">
        <v>46134.632638854164</v>
      </c>
      <c r="D471">
        <v>12</v>
      </c>
      <c r="F471" s="2">
        <v>46134.3409721875</v>
      </c>
      <c r="G471" s="3">
        <v>46134</v>
      </c>
      <c r="H471" t="s">
        <v>17</v>
      </c>
      <c r="I471">
        <v>8</v>
      </c>
    </row>
    <row r="472" spans="1:9" x14ac:dyDescent="0.2">
      <c r="A472" t="s">
        <v>593</v>
      </c>
      <c r="B472" t="s">
        <v>9</v>
      </c>
      <c r="C472" s="2">
        <v>46134.633844444441</v>
      </c>
      <c r="D472">
        <v>3</v>
      </c>
      <c r="F472" s="2">
        <v>46134.342177777777</v>
      </c>
      <c r="G472" s="3">
        <v>46134</v>
      </c>
      <c r="H472" t="s">
        <v>17</v>
      </c>
      <c r="I472">
        <v>8</v>
      </c>
    </row>
    <row r="473" spans="1:9" x14ac:dyDescent="0.2">
      <c r="A473" t="s">
        <v>594</v>
      </c>
      <c r="B473" t="s">
        <v>9</v>
      </c>
      <c r="C473" s="2">
        <v>46134.635065150462</v>
      </c>
      <c r="D473">
        <v>1</v>
      </c>
      <c r="F473" s="2">
        <v>46134.343398483798</v>
      </c>
      <c r="G473" s="3">
        <v>46134</v>
      </c>
      <c r="H473" t="s">
        <v>17</v>
      </c>
      <c r="I473">
        <v>8</v>
      </c>
    </row>
    <row r="474" spans="1:9" x14ac:dyDescent="0.2">
      <c r="A474" t="s">
        <v>595</v>
      </c>
      <c r="B474" t="s">
        <v>9</v>
      </c>
      <c r="C474" s="2">
        <v>46134.641116446757</v>
      </c>
      <c r="D474">
        <v>3</v>
      </c>
      <c r="E474" s="7" t="s">
        <v>596</v>
      </c>
      <c r="F474" s="2">
        <v>46134.349449780093</v>
      </c>
      <c r="G474" s="3">
        <v>46134</v>
      </c>
      <c r="H474" t="s">
        <v>17</v>
      </c>
      <c r="I474">
        <v>8</v>
      </c>
    </row>
    <row r="475" spans="1:9" x14ac:dyDescent="0.2">
      <c r="A475" t="s">
        <v>597</v>
      </c>
      <c r="B475" t="s">
        <v>9</v>
      </c>
      <c r="C475" s="2">
        <v>46134.642965347222</v>
      </c>
      <c r="D475">
        <v>3</v>
      </c>
      <c r="F475" s="2">
        <v>46134.351298680558</v>
      </c>
      <c r="G475" s="3">
        <v>46134</v>
      </c>
      <c r="H475" t="s">
        <v>17</v>
      </c>
      <c r="I475">
        <v>8</v>
      </c>
    </row>
    <row r="476" spans="1:9" x14ac:dyDescent="0.2">
      <c r="A476" t="s">
        <v>598</v>
      </c>
      <c r="B476" t="s">
        <v>9</v>
      </c>
      <c r="C476" s="2">
        <v>46134.645685138887</v>
      </c>
      <c r="D476">
        <v>9</v>
      </c>
      <c r="F476" s="2">
        <v>46134.354018472222</v>
      </c>
      <c r="G476" s="3">
        <v>46134</v>
      </c>
      <c r="H476" t="s">
        <v>17</v>
      </c>
      <c r="I476">
        <v>8</v>
      </c>
    </row>
    <row r="477" spans="1:9" x14ac:dyDescent="0.2">
      <c r="A477" t="s">
        <v>599</v>
      </c>
      <c r="B477" t="s">
        <v>9</v>
      </c>
      <c r="C477" s="2">
        <v>46134.647085289354</v>
      </c>
      <c r="D477">
        <v>3</v>
      </c>
      <c r="F477" s="2">
        <v>46134.355418622683</v>
      </c>
      <c r="G477" s="3">
        <v>46134</v>
      </c>
      <c r="H477" t="s">
        <v>17</v>
      </c>
      <c r="I477">
        <v>8</v>
      </c>
    </row>
    <row r="478" spans="1:9" x14ac:dyDescent="0.2">
      <c r="A478" t="s">
        <v>600</v>
      </c>
      <c r="B478" t="s">
        <v>9</v>
      </c>
      <c r="C478" s="2">
        <v>46134.653694849534</v>
      </c>
      <c r="D478">
        <v>267</v>
      </c>
      <c r="F478" s="2">
        <v>46134.36202818287</v>
      </c>
      <c r="G478" s="3">
        <v>46134</v>
      </c>
      <c r="H478" t="s">
        <v>17</v>
      </c>
      <c r="I478">
        <v>8</v>
      </c>
    </row>
    <row r="479" spans="1:9" x14ac:dyDescent="0.2">
      <c r="A479" t="s">
        <v>601</v>
      </c>
      <c r="B479" t="s">
        <v>9</v>
      </c>
      <c r="C479" s="2">
        <v>46134.714280127315</v>
      </c>
      <c r="D479">
        <v>3</v>
      </c>
      <c r="F479" s="2">
        <v>46134.422613460651</v>
      </c>
      <c r="G479" s="3">
        <v>46134</v>
      </c>
      <c r="H479" t="s">
        <v>17</v>
      </c>
      <c r="I479">
        <v>10</v>
      </c>
    </row>
    <row r="480" spans="1:9" x14ac:dyDescent="0.2">
      <c r="A480" t="s">
        <v>602</v>
      </c>
      <c r="B480" t="s">
        <v>9</v>
      </c>
      <c r="C480" s="2">
        <v>46134.764998171297</v>
      </c>
      <c r="D480">
        <v>3</v>
      </c>
      <c r="E480" s="7" t="s">
        <v>136</v>
      </c>
      <c r="F480" s="2">
        <v>46134.473331504632</v>
      </c>
      <c r="G480" s="3">
        <v>46134</v>
      </c>
      <c r="H480" t="s">
        <v>17</v>
      </c>
      <c r="I480">
        <v>11</v>
      </c>
    </row>
    <row r="481" spans="1:9" x14ac:dyDescent="0.2">
      <c r="A481" t="s">
        <v>603</v>
      </c>
      <c r="B481" t="s">
        <v>9</v>
      </c>
      <c r="C481" s="2">
        <v>46134.766053263891</v>
      </c>
      <c r="D481">
        <v>16</v>
      </c>
      <c r="F481" s="2">
        <v>46134.47438659722</v>
      </c>
      <c r="G481" s="3">
        <v>46134</v>
      </c>
      <c r="H481" t="s">
        <v>17</v>
      </c>
      <c r="I481">
        <v>11</v>
      </c>
    </row>
    <row r="482" spans="1:9" x14ac:dyDescent="0.2">
      <c r="A482" t="s">
        <v>604</v>
      </c>
      <c r="B482" t="s">
        <v>9</v>
      </c>
      <c r="C482" s="2">
        <v>46134.778407905091</v>
      </c>
      <c r="D482">
        <v>3</v>
      </c>
      <c r="F482" s="2">
        <v>46134.486741238426</v>
      </c>
      <c r="G482" s="3">
        <v>46134</v>
      </c>
      <c r="H482" t="s">
        <v>17</v>
      </c>
      <c r="I482">
        <v>11</v>
      </c>
    </row>
    <row r="483" spans="1:9" x14ac:dyDescent="0.2">
      <c r="A483" t="s">
        <v>605</v>
      </c>
      <c r="B483" t="s">
        <v>9</v>
      </c>
      <c r="C483" s="2">
        <v>46134.801335185184</v>
      </c>
      <c r="D483">
        <v>16</v>
      </c>
      <c r="F483" s="2">
        <v>46134.50966851852</v>
      </c>
      <c r="G483" s="3">
        <v>46134</v>
      </c>
      <c r="H483" t="s">
        <v>17</v>
      </c>
      <c r="I483">
        <v>12</v>
      </c>
    </row>
    <row r="484" spans="1:9" x14ac:dyDescent="0.2">
      <c r="A484" t="s">
        <v>606</v>
      </c>
      <c r="B484" t="s">
        <v>9</v>
      </c>
      <c r="C484" s="2">
        <v>46134.833464004631</v>
      </c>
      <c r="D484">
        <v>10</v>
      </c>
      <c r="F484" s="2">
        <v>46134.541797337966</v>
      </c>
      <c r="G484" s="3">
        <v>46134</v>
      </c>
      <c r="H484" t="s">
        <v>17</v>
      </c>
      <c r="I484">
        <v>13</v>
      </c>
    </row>
    <row r="485" spans="1:9" x14ac:dyDescent="0.2">
      <c r="A485" t="s">
        <v>607</v>
      </c>
      <c r="B485" t="s">
        <v>9</v>
      </c>
      <c r="C485" s="2">
        <v>46134.841056134261</v>
      </c>
      <c r="D485">
        <v>3</v>
      </c>
      <c r="F485" s="2">
        <v>46134.549389467589</v>
      </c>
      <c r="G485" s="3">
        <v>46134</v>
      </c>
      <c r="H485" t="s">
        <v>17</v>
      </c>
      <c r="I485">
        <v>13</v>
      </c>
    </row>
    <row r="486" spans="1:9" x14ac:dyDescent="0.2">
      <c r="A486" t="s">
        <v>608</v>
      </c>
      <c r="B486" t="s">
        <v>9</v>
      </c>
      <c r="C486" s="2">
        <v>46134.87671196759</v>
      </c>
      <c r="D486">
        <v>10</v>
      </c>
      <c r="F486" s="2">
        <v>46134.585045300926</v>
      </c>
      <c r="G486" s="3">
        <v>46134</v>
      </c>
      <c r="H486" t="s">
        <v>17</v>
      </c>
      <c r="I486">
        <v>14</v>
      </c>
    </row>
    <row r="487" spans="1:9" x14ac:dyDescent="0.2">
      <c r="A487" t="s">
        <v>609</v>
      </c>
      <c r="B487" t="s">
        <v>9</v>
      </c>
      <c r="C487" s="2">
        <v>46134.892421458331</v>
      </c>
      <c r="D487">
        <v>3</v>
      </c>
      <c r="E487" s="7" t="s">
        <v>610</v>
      </c>
      <c r="F487" s="2">
        <v>46134.600754791667</v>
      </c>
      <c r="G487" s="3">
        <v>46134</v>
      </c>
      <c r="H487" t="s">
        <v>17</v>
      </c>
      <c r="I487">
        <v>14</v>
      </c>
    </row>
    <row r="488" spans="1:9" x14ac:dyDescent="0.2">
      <c r="A488" t="s">
        <v>611</v>
      </c>
      <c r="B488" t="s">
        <v>9</v>
      </c>
      <c r="C488" s="2">
        <v>46134.916833634263</v>
      </c>
      <c r="D488">
        <v>267</v>
      </c>
      <c r="F488" s="2">
        <v>46134.625166967591</v>
      </c>
      <c r="G488" s="3">
        <v>46134</v>
      </c>
      <c r="H488" t="s">
        <v>17</v>
      </c>
      <c r="I488">
        <v>15</v>
      </c>
    </row>
    <row r="489" spans="1:9" x14ac:dyDescent="0.2">
      <c r="A489" t="s">
        <v>612</v>
      </c>
      <c r="B489" t="s">
        <v>9</v>
      </c>
      <c r="C489" s="2">
        <v>46135.026762442132</v>
      </c>
      <c r="D489">
        <v>3</v>
      </c>
      <c r="F489" s="2">
        <v>46134.735095775461</v>
      </c>
      <c r="G489" s="3">
        <v>46134</v>
      </c>
      <c r="H489" t="s">
        <v>17</v>
      </c>
      <c r="I489">
        <v>17</v>
      </c>
    </row>
    <row r="490" spans="1:9" x14ac:dyDescent="0.2">
      <c r="A490" t="s">
        <v>613</v>
      </c>
      <c r="B490" t="s">
        <v>9</v>
      </c>
      <c r="C490" s="2">
        <v>46135.064310405091</v>
      </c>
      <c r="D490">
        <v>3</v>
      </c>
      <c r="F490" s="2">
        <v>46134.772643738426</v>
      </c>
      <c r="G490" s="3">
        <v>46134</v>
      </c>
      <c r="H490" t="s">
        <v>17</v>
      </c>
      <c r="I490">
        <v>18</v>
      </c>
    </row>
    <row r="491" spans="1:9" x14ac:dyDescent="0.2">
      <c r="A491" t="s">
        <v>614</v>
      </c>
      <c r="B491" t="s">
        <v>9</v>
      </c>
      <c r="C491" s="2">
        <v>46135.272542152779</v>
      </c>
      <c r="D491">
        <v>9</v>
      </c>
      <c r="F491" s="2">
        <v>46134.980875486108</v>
      </c>
      <c r="G491" s="3">
        <v>46134</v>
      </c>
      <c r="H491" t="s">
        <v>17</v>
      </c>
      <c r="I491">
        <v>23</v>
      </c>
    </row>
    <row r="492" spans="1:9" x14ac:dyDescent="0.2">
      <c r="A492" t="s">
        <v>615</v>
      </c>
      <c r="B492" t="s">
        <v>9</v>
      </c>
      <c r="C492" s="2">
        <v>46135.279247800929</v>
      </c>
      <c r="D492">
        <v>3</v>
      </c>
      <c r="F492" s="2">
        <v>46134.987581134257</v>
      </c>
      <c r="G492" s="3">
        <v>46134</v>
      </c>
      <c r="H492" t="s">
        <v>17</v>
      </c>
      <c r="I492">
        <v>23</v>
      </c>
    </row>
    <row r="493" spans="1:9" x14ac:dyDescent="0.2">
      <c r="A493" t="s">
        <v>616</v>
      </c>
      <c r="B493" t="s">
        <v>9</v>
      </c>
      <c r="C493" s="2">
        <v>46135.316648171298</v>
      </c>
      <c r="D493">
        <v>12</v>
      </c>
      <c r="F493" s="2">
        <v>46135.024981504626</v>
      </c>
      <c r="G493" s="3">
        <v>46135</v>
      </c>
      <c r="H493" t="s">
        <v>19</v>
      </c>
      <c r="I493">
        <v>0</v>
      </c>
    </row>
    <row r="494" spans="1:9" x14ac:dyDescent="0.2">
      <c r="A494" t="s">
        <v>617</v>
      </c>
      <c r="B494" t="s">
        <v>9</v>
      </c>
      <c r="C494" s="2">
        <v>46135.320461597221</v>
      </c>
      <c r="D494">
        <v>6093</v>
      </c>
      <c r="F494" s="2">
        <v>46135.028794930557</v>
      </c>
      <c r="G494" s="3">
        <v>46135</v>
      </c>
      <c r="H494" t="s">
        <v>19</v>
      </c>
      <c r="I494">
        <v>0</v>
      </c>
    </row>
    <row r="495" spans="1:9" x14ac:dyDescent="0.2">
      <c r="A495" t="s">
        <v>618</v>
      </c>
      <c r="B495" t="s">
        <v>9</v>
      </c>
      <c r="C495" s="2">
        <v>46135.32588452546</v>
      </c>
      <c r="D495">
        <v>3</v>
      </c>
      <c r="F495" s="2">
        <v>46135.034217858796</v>
      </c>
      <c r="G495" s="3">
        <v>46135</v>
      </c>
      <c r="H495" t="s">
        <v>19</v>
      </c>
      <c r="I495">
        <v>0</v>
      </c>
    </row>
    <row r="496" spans="1:9" x14ac:dyDescent="0.2">
      <c r="A496" t="s">
        <v>619</v>
      </c>
      <c r="B496" t="s">
        <v>9</v>
      </c>
      <c r="C496" s="2">
        <v>46135.338742893517</v>
      </c>
      <c r="D496">
        <v>3</v>
      </c>
      <c r="F496" s="2">
        <v>46135.047076226852</v>
      </c>
      <c r="G496" s="3">
        <v>46135</v>
      </c>
      <c r="H496" t="s">
        <v>19</v>
      </c>
      <c r="I496">
        <v>1</v>
      </c>
    </row>
    <row r="497" spans="1:9" x14ac:dyDescent="0.2">
      <c r="A497" t="s">
        <v>620</v>
      </c>
      <c r="B497" t="s">
        <v>9</v>
      </c>
      <c r="C497" s="2">
        <v>46135.353860625</v>
      </c>
      <c r="D497">
        <v>3</v>
      </c>
      <c r="E497" s="7" t="s">
        <v>621</v>
      </c>
      <c r="F497" s="2">
        <v>46135.062193958336</v>
      </c>
      <c r="G497" s="3">
        <v>46135</v>
      </c>
      <c r="H497" t="s">
        <v>19</v>
      </c>
      <c r="I497">
        <v>1</v>
      </c>
    </row>
    <row r="498" spans="1:9" x14ac:dyDescent="0.2">
      <c r="A498" t="s">
        <v>622</v>
      </c>
      <c r="B498" t="s">
        <v>9</v>
      </c>
      <c r="C498" s="2">
        <v>46135.378356435183</v>
      </c>
      <c r="D498">
        <v>267</v>
      </c>
      <c r="F498" s="2">
        <v>46135.086689768519</v>
      </c>
      <c r="G498" s="3">
        <v>46135</v>
      </c>
      <c r="H498" t="s">
        <v>19</v>
      </c>
      <c r="I498">
        <v>2</v>
      </c>
    </row>
    <row r="499" spans="1:9" x14ac:dyDescent="0.2">
      <c r="A499" t="s">
        <v>623</v>
      </c>
      <c r="B499" t="s">
        <v>9</v>
      </c>
      <c r="C499" s="2">
        <v>46135.43446921296</v>
      </c>
      <c r="D499">
        <v>9</v>
      </c>
      <c r="F499" s="2">
        <v>46135.142802546296</v>
      </c>
      <c r="G499" s="3">
        <v>46135</v>
      </c>
      <c r="H499" t="s">
        <v>19</v>
      </c>
      <c r="I499">
        <v>3</v>
      </c>
    </row>
    <row r="500" spans="1:9" x14ac:dyDescent="0.2">
      <c r="A500" t="s">
        <v>624</v>
      </c>
      <c r="B500" t="s">
        <v>9</v>
      </c>
      <c r="C500" s="2">
        <v>46135.444850497683</v>
      </c>
      <c r="D500">
        <v>3</v>
      </c>
      <c r="E500" s="7" t="s">
        <v>621</v>
      </c>
      <c r="F500" s="2">
        <v>46135.153183831018</v>
      </c>
      <c r="G500" s="3">
        <v>46135</v>
      </c>
      <c r="H500" t="s">
        <v>19</v>
      </c>
      <c r="I500">
        <v>3</v>
      </c>
    </row>
    <row r="501" spans="1:9" x14ac:dyDescent="0.2">
      <c r="A501" t="s">
        <v>625</v>
      </c>
      <c r="B501" t="s">
        <v>9</v>
      </c>
      <c r="C501" s="2">
        <v>46135.494072395835</v>
      </c>
      <c r="D501">
        <v>3</v>
      </c>
      <c r="F501" s="2">
        <v>46135.202405729164</v>
      </c>
      <c r="G501" s="3">
        <v>46135</v>
      </c>
      <c r="H501" t="s">
        <v>19</v>
      </c>
      <c r="I501">
        <v>4</v>
      </c>
    </row>
    <row r="502" spans="1:9" x14ac:dyDescent="0.2">
      <c r="A502" t="s">
        <v>626</v>
      </c>
      <c r="B502" t="s">
        <v>9</v>
      </c>
      <c r="C502" s="2">
        <v>46135.496612210649</v>
      </c>
      <c r="D502">
        <v>3</v>
      </c>
      <c r="F502" s="2">
        <v>46135.204945543985</v>
      </c>
      <c r="G502" s="3">
        <v>46135</v>
      </c>
      <c r="H502" t="s">
        <v>19</v>
      </c>
      <c r="I502">
        <v>4</v>
      </c>
    </row>
    <row r="503" spans="1:9" x14ac:dyDescent="0.2">
      <c r="A503" t="s">
        <v>627</v>
      </c>
      <c r="B503" t="s">
        <v>9</v>
      </c>
      <c r="C503" s="2">
        <v>46135.499540416669</v>
      </c>
      <c r="D503">
        <v>12</v>
      </c>
      <c r="F503" s="2">
        <v>46135.207873749998</v>
      </c>
      <c r="G503" s="3">
        <v>46135</v>
      </c>
      <c r="H503" t="s">
        <v>19</v>
      </c>
      <c r="I503">
        <v>4</v>
      </c>
    </row>
    <row r="504" spans="1:9" x14ac:dyDescent="0.2">
      <c r="A504" t="s">
        <v>628</v>
      </c>
      <c r="B504" t="s">
        <v>9</v>
      </c>
      <c r="C504" s="2">
        <v>46135.502178229166</v>
      </c>
      <c r="D504">
        <v>267</v>
      </c>
      <c r="F504" s="2">
        <v>46135.210511562502</v>
      </c>
      <c r="G504" s="3">
        <v>46135</v>
      </c>
      <c r="H504" t="s">
        <v>19</v>
      </c>
      <c r="I504">
        <v>5</v>
      </c>
    </row>
    <row r="505" spans="1:9" x14ac:dyDescent="0.2">
      <c r="A505" t="s">
        <v>629</v>
      </c>
      <c r="B505" t="s">
        <v>9</v>
      </c>
      <c r="C505" s="2">
        <v>46135.543842118059</v>
      </c>
      <c r="D505">
        <v>3</v>
      </c>
      <c r="F505" s="2">
        <v>46135.252175451387</v>
      </c>
      <c r="G505" s="3">
        <v>46135</v>
      </c>
      <c r="H505" t="s">
        <v>19</v>
      </c>
      <c r="I505">
        <v>6</v>
      </c>
    </row>
    <row r="506" spans="1:9" x14ac:dyDescent="0.2">
      <c r="A506" t="s">
        <v>630</v>
      </c>
      <c r="B506" t="s">
        <v>9</v>
      </c>
      <c r="C506" s="2">
        <v>46135.563523206016</v>
      </c>
      <c r="D506">
        <v>12</v>
      </c>
      <c r="F506" s="2">
        <v>46135.271856539352</v>
      </c>
      <c r="G506" s="3">
        <v>46135</v>
      </c>
      <c r="H506" t="s">
        <v>19</v>
      </c>
      <c r="I506">
        <v>6</v>
      </c>
    </row>
    <row r="507" spans="1:9" x14ac:dyDescent="0.2">
      <c r="A507" t="s">
        <v>631</v>
      </c>
      <c r="B507" t="s">
        <v>9</v>
      </c>
      <c r="C507" s="2">
        <v>46135.565424282409</v>
      </c>
      <c r="D507">
        <v>9</v>
      </c>
      <c r="F507" s="2">
        <v>46135.273757615738</v>
      </c>
      <c r="G507" s="3">
        <v>46135</v>
      </c>
      <c r="H507" t="s">
        <v>19</v>
      </c>
      <c r="I507">
        <v>6</v>
      </c>
    </row>
    <row r="508" spans="1:9" x14ac:dyDescent="0.2">
      <c r="A508" t="s">
        <v>632</v>
      </c>
      <c r="B508" t="s">
        <v>9</v>
      </c>
      <c r="C508" s="2">
        <v>46135.583876481483</v>
      </c>
      <c r="D508">
        <v>201</v>
      </c>
      <c r="E508" s="7" t="s">
        <v>633</v>
      </c>
      <c r="F508" s="2">
        <v>46135.292209814812</v>
      </c>
      <c r="G508" s="3">
        <v>46135</v>
      </c>
      <c r="H508" t="s">
        <v>19</v>
      </c>
      <c r="I508">
        <v>7</v>
      </c>
    </row>
    <row r="509" spans="1:9" x14ac:dyDescent="0.2">
      <c r="A509" t="s">
        <v>634</v>
      </c>
      <c r="B509" t="s">
        <v>9</v>
      </c>
      <c r="C509" s="2">
        <v>46135.586353310187</v>
      </c>
      <c r="D509">
        <v>267</v>
      </c>
      <c r="F509" s="2">
        <v>46135.294686643516</v>
      </c>
      <c r="G509" s="3">
        <v>46135</v>
      </c>
      <c r="H509" t="s">
        <v>19</v>
      </c>
      <c r="I509">
        <v>7</v>
      </c>
    </row>
    <row r="510" spans="1:9" x14ac:dyDescent="0.2">
      <c r="A510" t="s">
        <v>635</v>
      </c>
      <c r="B510" t="s">
        <v>9</v>
      </c>
      <c r="C510" s="2">
        <v>46135.594368229169</v>
      </c>
      <c r="D510">
        <v>9</v>
      </c>
      <c r="F510" s="2">
        <v>46135.302701562498</v>
      </c>
      <c r="G510" s="3">
        <v>46135</v>
      </c>
      <c r="H510" t="s">
        <v>19</v>
      </c>
      <c r="I510">
        <v>7</v>
      </c>
    </row>
    <row r="511" spans="1:9" x14ac:dyDescent="0.2">
      <c r="A511" t="s">
        <v>636</v>
      </c>
      <c r="B511" t="s">
        <v>9</v>
      </c>
      <c r="C511" s="2">
        <v>46135.598585520835</v>
      </c>
      <c r="D511">
        <v>3</v>
      </c>
      <c r="F511" s="2">
        <v>46135.306918854163</v>
      </c>
      <c r="G511" s="3">
        <v>46135</v>
      </c>
      <c r="H511" t="s">
        <v>19</v>
      </c>
      <c r="I511">
        <v>7</v>
      </c>
    </row>
    <row r="512" spans="1:9" x14ac:dyDescent="0.2">
      <c r="A512" t="s">
        <v>637</v>
      </c>
      <c r="B512" t="s">
        <v>9</v>
      </c>
      <c r="C512" s="2">
        <v>46135.632790740739</v>
      </c>
      <c r="D512">
        <v>3</v>
      </c>
      <c r="E512" s="7" t="s">
        <v>621</v>
      </c>
      <c r="F512" s="2">
        <v>46135.341124074075</v>
      </c>
      <c r="G512" s="3">
        <v>46135</v>
      </c>
      <c r="H512" t="s">
        <v>19</v>
      </c>
      <c r="I512">
        <v>8</v>
      </c>
    </row>
    <row r="513" spans="1:9" x14ac:dyDescent="0.2">
      <c r="A513" t="s">
        <v>638</v>
      </c>
      <c r="B513" t="s">
        <v>9</v>
      </c>
      <c r="C513" s="2">
        <v>46135.634024814812</v>
      </c>
      <c r="D513">
        <v>12</v>
      </c>
      <c r="F513" s="2">
        <v>46135.342358148147</v>
      </c>
      <c r="G513" s="3">
        <v>46135</v>
      </c>
      <c r="H513" t="s">
        <v>19</v>
      </c>
      <c r="I513">
        <v>8</v>
      </c>
    </row>
    <row r="514" spans="1:9" x14ac:dyDescent="0.2">
      <c r="A514" t="s">
        <v>639</v>
      </c>
      <c r="B514" t="s">
        <v>9</v>
      </c>
      <c r="C514" s="2">
        <v>46135.643098449073</v>
      </c>
      <c r="D514">
        <v>3</v>
      </c>
      <c r="F514" s="2">
        <v>46135.351431782408</v>
      </c>
      <c r="G514" s="3">
        <v>46135</v>
      </c>
      <c r="H514" t="s">
        <v>19</v>
      </c>
      <c r="I514">
        <v>8</v>
      </c>
    </row>
    <row r="515" spans="1:9" x14ac:dyDescent="0.2">
      <c r="A515" t="s">
        <v>640</v>
      </c>
      <c r="B515" t="s">
        <v>9</v>
      </c>
      <c r="C515" s="2">
        <v>46135.658513009257</v>
      </c>
      <c r="D515">
        <v>3</v>
      </c>
      <c r="E515" s="7" t="s">
        <v>633</v>
      </c>
      <c r="F515" s="2">
        <v>46135.366846342593</v>
      </c>
      <c r="G515" s="3">
        <v>46135</v>
      </c>
      <c r="H515" t="s">
        <v>19</v>
      </c>
      <c r="I515">
        <v>8</v>
      </c>
    </row>
    <row r="516" spans="1:9" x14ac:dyDescent="0.2">
      <c r="A516" t="s">
        <v>641</v>
      </c>
      <c r="B516" t="s">
        <v>9</v>
      </c>
      <c r="C516" s="2">
        <v>46135.667419328704</v>
      </c>
      <c r="D516">
        <v>3</v>
      </c>
      <c r="F516" s="2">
        <v>46135.375752662039</v>
      </c>
      <c r="G516" s="3">
        <v>46135</v>
      </c>
      <c r="H516" t="s">
        <v>19</v>
      </c>
      <c r="I516">
        <v>9</v>
      </c>
    </row>
    <row r="517" spans="1:9" x14ac:dyDescent="0.2">
      <c r="A517" t="s">
        <v>642</v>
      </c>
      <c r="B517" t="s">
        <v>9</v>
      </c>
      <c r="C517" s="2">
        <v>46135.678944872685</v>
      </c>
      <c r="D517">
        <v>3</v>
      </c>
      <c r="F517" s="2">
        <v>46135.387278206021</v>
      </c>
      <c r="G517" s="3">
        <v>46135</v>
      </c>
      <c r="H517" t="s">
        <v>19</v>
      </c>
      <c r="I517">
        <v>9</v>
      </c>
    </row>
    <row r="518" spans="1:9" x14ac:dyDescent="0.2">
      <c r="A518" t="s">
        <v>643</v>
      </c>
      <c r="B518" t="s">
        <v>9</v>
      </c>
      <c r="C518" s="2">
        <v>46135.755985347219</v>
      </c>
      <c r="D518">
        <v>3</v>
      </c>
      <c r="F518" s="2">
        <v>46135.464318680555</v>
      </c>
      <c r="G518" s="3">
        <v>46135</v>
      </c>
      <c r="H518" t="s">
        <v>19</v>
      </c>
      <c r="I518">
        <v>11</v>
      </c>
    </row>
    <row r="519" spans="1:9" x14ac:dyDescent="0.2">
      <c r="A519" t="s">
        <v>644</v>
      </c>
      <c r="B519" t="s">
        <v>9</v>
      </c>
      <c r="C519" s="2">
        <v>46135.772301261575</v>
      </c>
      <c r="D519">
        <v>3</v>
      </c>
      <c r="F519" s="2">
        <v>46135.480634594911</v>
      </c>
      <c r="G519" s="3">
        <v>46135</v>
      </c>
      <c r="H519" t="s">
        <v>19</v>
      </c>
      <c r="I519">
        <v>11</v>
      </c>
    </row>
    <row r="520" spans="1:9" x14ac:dyDescent="0.2">
      <c r="A520" t="s">
        <v>645</v>
      </c>
      <c r="B520" t="s">
        <v>9</v>
      </c>
      <c r="C520" s="2">
        <v>46135.791312673609</v>
      </c>
      <c r="D520">
        <v>3</v>
      </c>
      <c r="F520" s="2">
        <v>46135.499646006945</v>
      </c>
      <c r="G520" s="3">
        <v>46135</v>
      </c>
      <c r="H520" t="s">
        <v>19</v>
      </c>
      <c r="I520">
        <v>11</v>
      </c>
    </row>
    <row r="521" spans="1:9" x14ac:dyDescent="0.2">
      <c r="A521" t="s">
        <v>646</v>
      </c>
      <c r="B521" t="s">
        <v>9</v>
      </c>
      <c r="C521" s="2">
        <v>46135.806239999998</v>
      </c>
      <c r="D521">
        <v>3</v>
      </c>
      <c r="F521" s="2">
        <v>46135.514573333334</v>
      </c>
      <c r="G521" s="3">
        <v>46135</v>
      </c>
      <c r="H521" t="s">
        <v>19</v>
      </c>
      <c r="I521">
        <v>12</v>
      </c>
    </row>
    <row r="522" spans="1:9" x14ac:dyDescent="0.2">
      <c r="A522" t="s">
        <v>647</v>
      </c>
      <c r="B522" t="s">
        <v>9</v>
      </c>
      <c r="C522" s="2">
        <v>46135.819359398149</v>
      </c>
      <c r="D522">
        <v>3</v>
      </c>
      <c r="E522" s="7" t="s">
        <v>136</v>
      </c>
      <c r="F522" s="2">
        <v>46135.527692731484</v>
      </c>
      <c r="G522" s="3">
        <v>46135</v>
      </c>
      <c r="H522" t="s">
        <v>19</v>
      </c>
      <c r="I522">
        <v>12</v>
      </c>
    </row>
    <row r="523" spans="1:9" x14ac:dyDescent="0.2">
      <c r="A523" t="s">
        <v>648</v>
      </c>
      <c r="B523" t="s">
        <v>9</v>
      </c>
      <c r="C523" s="2">
        <v>46135.843833275459</v>
      </c>
      <c r="D523">
        <v>267</v>
      </c>
      <c r="F523" s="2">
        <v>46135.552166608795</v>
      </c>
      <c r="G523" s="3">
        <v>46135</v>
      </c>
      <c r="H523" t="s">
        <v>19</v>
      </c>
      <c r="I523">
        <v>13</v>
      </c>
    </row>
    <row r="524" spans="1:9" x14ac:dyDescent="0.2">
      <c r="A524" t="s">
        <v>649</v>
      </c>
      <c r="B524" t="s">
        <v>9</v>
      </c>
      <c r="C524" s="2">
        <v>46135.852149999999</v>
      </c>
      <c r="D524">
        <v>3</v>
      </c>
      <c r="E524" s="7" t="s">
        <v>136</v>
      </c>
      <c r="F524" s="2">
        <v>46135.560483333335</v>
      </c>
      <c r="G524" s="3">
        <v>46135</v>
      </c>
      <c r="H524" t="s">
        <v>19</v>
      </c>
      <c r="I524">
        <v>13</v>
      </c>
    </row>
    <row r="525" spans="1:9" x14ac:dyDescent="0.2">
      <c r="A525" t="s">
        <v>650</v>
      </c>
      <c r="B525" t="s">
        <v>9</v>
      </c>
      <c r="C525" s="2">
        <v>46135.859776006946</v>
      </c>
      <c r="D525">
        <v>267</v>
      </c>
      <c r="F525" s="2">
        <v>46135.568109340275</v>
      </c>
      <c r="G525" s="3">
        <v>46135</v>
      </c>
      <c r="H525" t="s">
        <v>19</v>
      </c>
      <c r="I525">
        <v>13</v>
      </c>
    </row>
    <row r="526" spans="1:9" x14ac:dyDescent="0.2">
      <c r="A526" t="s">
        <v>651</v>
      </c>
      <c r="B526" t="s">
        <v>9</v>
      </c>
      <c r="C526" s="2">
        <v>46135.889997129627</v>
      </c>
      <c r="D526">
        <v>267</v>
      </c>
      <c r="F526" s="2">
        <v>46135.598330462963</v>
      </c>
      <c r="G526" s="3">
        <v>46135</v>
      </c>
      <c r="H526" t="s">
        <v>19</v>
      </c>
      <c r="I526">
        <v>14</v>
      </c>
    </row>
    <row r="527" spans="1:9" x14ac:dyDescent="0.2">
      <c r="A527" t="s">
        <v>652</v>
      </c>
      <c r="B527" t="s">
        <v>9</v>
      </c>
      <c r="C527" s="2">
        <v>46136.28613479167</v>
      </c>
      <c r="D527">
        <v>3</v>
      </c>
      <c r="F527" s="2">
        <v>46135.994468124998</v>
      </c>
      <c r="G527" s="3">
        <v>46135</v>
      </c>
      <c r="H527" t="s">
        <v>19</v>
      </c>
      <c r="I527">
        <v>23</v>
      </c>
    </row>
    <row r="528" spans="1:9" x14ac:dyDescent="0.2">
      <c r="A528" t="s">
        <v>653</v>
      </c>
      <c r="B528" t="s">
        <v>9</v>
      </c>
      <c r="C528" s="2">
        <v>46136.315463240739</v>
      </c>
      <c r="D528">
        <v>3</v>
      </c>
      <c r="F528" s="2">
        <v>46136.023796574074</v>
      </c>
      <c r="G528" s="3">
        <v>46136</v>
      </c>
      <c r="H528" t="s">
        <v>20</v>
      </c>
      <c r="I528">
        <v>0</v>
      </c>
    </row>
    <row r="529" spans="1:9" x14ac:dyDescent="0.2">
      <c r="A529" t="s">
        <v>654</v>
      </c>
      <c r="B529" t="s">
        <v>9</v>
      </c>
      <c r="C529" s="2">
        <v>46136.37853011574</v>
      </c>
      <c r="D529">
        <v>3</v>
      </c>
      <c r="F529" s="2">
        <v>46136.086863449076</v>
      </c>
      <c r="G529" s="3">
        <v>46136</v>
      </c>
      <c r="H529" t="s">
        <v>20</v>
      </c>
      <c r="I529">
        <v>2</v>
      </c>
    </row>
    <row r="530" spans="1:9" x14ac:dyDescent="0.2">
      <c r="A530" t="s">
        <v>655</v>
      </c>
      <c r="B530" t="s">
        <v>9</v>
      </c>
      <c r="C530" s="2">
        <v>46136.400431620372</v>
      </c>
      <c r="D530">
        <v>3</v>
      </c>
      <c r="F530" s="2">
        <v>46136.1087649537</v>
      </c>
      <c r="G530" s="3">
        <v>46136</v>
      </c>
      <c r="H530" t="s">
        <v>20</v>
      </c>
      <c r="I530">
        <v>2</v>
      </c>
    </row>
    <row r="531" spans="1:9" x14ac:dyDescent="0.2">
      <c r="A531" t="s">
        <v>656</v>
      </c>
      <c r="B531" t="s">
        <v>9</v>
      </c>
      <c r="C531" s="2">
        <v>46136.465713761572</v>
      </c>
      <c r="D531">
        <v>3</v>
      </c>
      <c r="F531" s="2">
        <v>46136.174047094908</v>
      </c>
      <c r="G531" s="3">
        <v>46136</v>
      </c>
      <c r="H531" t="s">
        <v>20</v>
      </c>
      <c r="I531">
        <v>4</v>
      </c>
    </row>
    <row r="532" spans="1:9" x14ac:dyDescent="0.2">
      <c r="A532" t="s">
        <v>657</v>
      </c>
      <c r="B532" t="s">
        <v>9</v>
      </c>
      <c r="C532" s="2">
        <v>46136.492796388891</v>
      </c>
      <c r="D532">
        <v>3</v>
      </c>
      <c r="F532" s="2">
        <v>46136.20112972222</v>
      </c>
      <c r="G532" s="3">
        <v>46136</v>
      </c>
      <c r="H532" t="s">
        <v>20</v>
      </c>
      <c r="I532">
        <v>4</v>
      </c>
    </row>
    <row r="533" spans="1:9" x14ac:dyDescent="0.2">
      <c r="A533" t="s">
        <v>658</v>
      </c>
      <c r="B533" t="s">
        <v>9</v>
      </c>
      <c r="C533" s="2">
        <v>46136.531096064813</v>
      </c>
      <c r="D533">
        <v>267</v>
      </c>
      <c r="E533" s="7" t="s">
        <v>659</v>
      </c>
      <c r="F533" s="2">
        <v>46136.239429398149</v>
      </c>
      <c r="G533" s="3">
        <v>46136</v>
      </c>
      <c r="H533" t="s">
        <v>20</v>
      </c>
      <c r="I533">
        <v>5</v>
      </c>
    </row>
    <row r="534" spans="1:9" x14ac:dyDescent="0.2">
      <c r="A534" t="s">
        <v>660</v>
      </c>
      <c r="B534" t="s">
        <v>9</v>
      </c>
      <c r="C534" s="2">
        <v>46136.551884409724</v>
      </c>
      <c r="D534">
        <v>3</v>
      </c>
      <c r="F534" s="2">
        <v>46136.260217743053</v>
      </c>
      <c r="G534" s="3">
        <v>46136</v>
      </c>
      <c r="H534" t="s">
        <v>20</v>
      </c>
      <c r="I534">
        <v>6</v>
      </c>
    </row>
    <row r="535" spans="1:9" x14ac:dyDescent="0.2">
      <c r="A535" t="s">
        <v>661</v>
      </c>
      <c r="B535" t="s">
        <v>9</v>
      </c>
      <c r="C535" s="2">
        <v>46136.577677141206</v>
      </c>
      <c r="D535">
        <v>3</v>
      </c>
      <c r="F535" s="2">
        <v>46136.286010474534</v>
      </c>
      <c r="G535" s="3">
        <v>46136</v>
      </c>
      <c r="H535" t="s">
        <v>20</v>
      </c>
      <c r="I535">
        <v>6</v>
      </c>
    </row>
    <row r="536" spans="1:9" x14ac:dyDescent="0.2">
      <c r="A536" t="s">
        <v>662</v>
      </c>
      <c r="B536" t="s">
        <v>9</v>
      </c>
      <c r="C536" s="2">
        <v>46136.581506655093</v>
      </c>
      <c r="D536">
        <v>3</v>
      </c>
      <c r="E536" s="7" t="s">
        <v>136</v>
      </c>
      <c r="F536" s="2">
        <v>46136.289839988429</v>
      </c>
      <c r="G536" s="3">
        <v>46136</v>
      </c>
      <c r="H536" t="s">
        <v>20</v>
      </c>
      <c r="I536">
        <v>6</v>
      </c>
    </row>
    <row r="537" spans="1:9" x14ac:dyDescent="0.2">
      <c r="A537" t="s">
        <v>663</v>
      </c>
      <c r="B537" t="s">
        <v>9</v>
      </c>
      <c r="C537" s="2">
        <v>46136.593229837963</v>
      </c>
      <c r="D537">
        <v>3</v>
      </c>
      <c r="F537" s="2">
        <v>46136.301563171299</v>
      </c>
      <c r="G537" s="3">
        <v>46136</v>
      </c>
      <c r="H537" t="s">
        <v>20</v>
      </c>
      <c r="I537">
        <v>7</v>
      </c>
    </row>
    <row r="538" spans="1:9" x14ac:dyDescent="0.2">
      <c r="A538" t="s">
        <v>664</v>
      </c>
      <c r="B538" t="s">
        <v>9</v>
      </c>
      <c r="C538" s="2">
        <v>46136.594184374997</v>
      </c>
      <c r="D538">
        <v>3</v>
      </c>
      <c r="E538" s="7" t="s">
        <v>136</v>
      </c>
      <c r="F538" s="2">
        <v>46136.302517708333</v>
      </c>
      <c r="G538" s="3">
        <v>46136</v>
      </c>
      <c r="H538" t="s">
        <v>20</v>
      </c>
      <c r="I538">
        <v>7</v>
      </c>
    </row>
    <row r="539" spans="1:9" x14ac:dyDescent="0.2">
      <c r="A539" t="s">
        <v>665</v>
      </c>
      <c r="B539" t="s">
        <v>9</v>
      </c>
      <c r="C539" s="2">
        <v>46136.596942800927</v>
      </c>
      <c r="D539">
        <v>3</v>
      </c>
      <c r="F539" s="2">
        <v>46136.305276134262</v>
      </c>
      <c r="G539" s="3">
        <v>46136</v>
      </c>
      <c r="H539" t="s">
        <v>20</v>
      </c>
      <c r="I539">
        <v>7</v>
      </c>
    </row>
    <row r="540" spans="1:9" x14ac:dyDescent="0.2">
      <c r="A540" t="s">
        <v>666</v>
      </c>
      <c r="B540" t="s">
        <v>9</v>
      </c>
      <c r="C540" s="2">
        <v>46136.60585753472</v>
      </c>
      <c r="D540">
        <v>3</v>
      </c>
      <c r="F540" s="2">
        <v>46136.314190868055</v>
      </c>
      <c r="G540" s="3">
        <v>46136</v>
      </c>
      <c r="H540" t="s">
        <v>20</v>
      </c>
      <c r="I540">
        <v>7</v>
      </c>
    </row>
    <row r="541" spans="1:9" x14ac:dyDescent="0.2">
      <c r="A541" t="s">
        <v>667</v>
      </c>
      <c r="B541" t="s">
        <v>9</v>
      </c>
      <c r="C541" s="2">
        <v>46136.632422199073</v>
      </c>
      <c r="D541">
        <v>3</v>
      </c>
      <c r="F541" s="2">
        <v>46136.340755532408</v>
      </c>
      <c r="G541" s="3">
        <v>46136</v>
      </c>
      <c r="H541" t="s">
        <v>20</v>
      </c>
      <c r="I541">
        <v>8</v>
      </c>
    </row>
    <row r="542" spans="1:9" x14ac:dyDescent="0.2">
      <c r="A542" t="s">
        <v>668</v>
      </c>
      <c r="B542" t="s">
        <v>9</v>
      </c>
      <c r="C542" s="2">
        <v>46136.639630590274</v>
      </c>
      <c r="D542">
        <v>3</v>
      </c>
      <c r="F542" s="2">
        <v>46136.34796392361</v>
      </c>
      <c r="G542" s="3">
        <v>46136</v>
      </c>
      <c r="H542" t="s">
        <v>20</v>
      </c>
      <c r="I542">
        <v>8</v>
      </c>
    </row>
    <row r="543" spans="1:9" x14ac:dyDescent="0.2">
      <c r="A543" t="s">
        <v>669</v>
      </c>
      <c r="B543" t="s">
        <v>9</v>
      </c>
      <c r="C543" s="2">
        <v>46136.763955694441</v>
      </c>
      <c r="D543">
        <v>267</v>
      </c>
      <c r="F543" s="2">
        <v>46136.472289027777</v>
      </c>
      <c r="G543" s="3">
        <v>46136</v>
      </c>
      <c r="H543" t="s">
        <v>20</v>
      </c>
      <c r="I543">
        <v>11</v>
      </c>
    </row>
    <row r="544" spans="1:9" x14ac:dyDescent="0.2">
      <c r="A544" t="s">
        <v>670</v>
      </c>
      <c r="B544" t="s">
        <v>9</v>
      </c>
      <c r="C544" s="2">
        <v>46136.793394918983</v>
      </c>
      <c r="D544">
        <v>3</v>
      </c>
      <c r="F544" s="2">
        <v>46136.501728252311</v>
      </c>
      <c r="G544" s="3">
        <v>46136</v>
      </c>
      <c r="H544" t="s">
        <v>20</v>
      </c>
      <c r="I544">
        <v>12</v>
      </c>
    </row>
    <row r="545" spans="1:9" x14ac:dyDescent="0.2">
      <c r="A545" t="s">
        <v>671</v>
      </c>
      <c r="B545" t="s">
        <v>9</v>
      </c>
      <c r="C545" s="2">
        <v>46136.806790428243</v>
      </c>
      <c r="D545">
        <v>3</v>
      </c>
      <c r="F545" s="2">
        <v>46136.515123761572</v>
      </c>
      <c r="G545" s="3">
        <v>46136</v>
      </c>
      <c r="H545" t="s">
        <v>20</v>
      </c>
      <c r="I545">
        <v>12</v>
      </c>
    </row>
    <row r="546" spans="1:9" x14ac:dyDescent="0.2">
      <c r="A546" t="s">
        <v>672</v>
      </c>
      <c r="B546" t="s">
        <v>9</v>
      </c>
      <c r="C546" s="2">
        <v>46136.914754641206</v>
      </c>
      <c r="D546">
        <v>3</v>
      </c>
      <c r="F546" s="2">
        <v>46136.623087974534</v>
      </c>
      <c r="G546" s="3">
        <v>46136</v>
      </c>
      <c r="H546" t="s">
        <v>20</v>
      </c>
      <c r="I546">
        <v>14</v>
      </c>
    </row>
    <row r="547" spans="1:9" x14ac:dyDescent="0.2">
      <c r="A547" t="s">
        <v>673</v>
      </c>
      <c r="B547" t="s">
        <v>9</v>
      </c>
      <c r="C547" s="2">
        <v>46136.932579375003</v>
      </c>
      <c r="D547">
        <v>3</v>
      </c>
      <c r="F547" s="2">
        <v>46136.640912708332</v>
      </c>
      <c r="G547" s="3">
        <v>46136</v>
      </c>
      <c r="H547" t="s">
        <v>20</v>
      </c>
      <c r="I547">
        <v>15</v>
      </c>
    </row>
    <row r="548" spans="1:9" x14ac:dyDescent="0.2">
      <c r="A548" t="s">
        <v>674</v>
      </c>
      <c r="B548" t="s">
        <v>9</v>
      </c>
      <c r="C548" s="2">
        <v>46136.959696458332</v>
      </c>
      <c r="D548">
        <v>3</v>
      </c>
      <c r="E548" s="7" t="s">
        <v>633</v>
      </c>
      <c r="F548" s="2">
        <v>46136.668029791668</v>
      </c>
      <c r="G548" s="3">
        <v>46136</v>
      </c>
      <c r="H548" t="s">
        <v>20</v>
      </c>
      <c r="I548">
        <v>16</v>
      </c>
    </row>
    <row r="549" spans="1:9" x14ac:dyDescent="0.2">
      <c r="A549" t="s">
        <v>675</v>
      </c>
      <c r="B549" t="s">
        <v>9</v>
      </c>
      <c r="C549" s="2">
        <v>46136.980421736109</v>
      </c>
      <c r="D549">
        <v>201</v>
      </c>
      <c r="F549" s="2">
        <v>46136.688755069445</v>
      </c>
      <c r="G549" s="3">
        <v>46136</v>
      </c>
      <c r="H549" t="s">
        <v>20</v>
      </c>
      <c r="I549">
        <v>16</v>
      </c>
    </row>
    <row r="550" spans="1:9" x14ac:dyDescent="0.2">
      <c r="A550" t="s">
        <v>676</v>
      </c>
      <c r="B550" t="s">
        <v>9</v>
      </c>
      <c r="C550" s="2">
        <v>46137.344762245368</v>
      </c>
      <c r="D550">
        <v>3</v>
      </c>
      <c r="E550" s="7" t="s">
        <v>136</v>
      </c>
      <c r="F550" s="2">
        <v>46137.053095578704</v>
      </c>
      <c r="G550" s="3">
        <v>46137</v>
      </c>
      <c r="H550" t="s">
        <v>21</v>
      </c>
      <c r="I550">
        <v>1</v>
      </c>
    </row>
    <row r="551" spans="1:9" x14ac:dyDescent="0.2">
      <c r="A551" t="s">
        <v>677</v>
      </c>
      <c r="B551" t="s">
        <v>9</v>
      </c>
      <c r="C551" s="2">
        <v>46137.377036516205</v>
      </c>
      <c r="D551">
        <v>3</v>
      </c>
      <c r="F551" s="2">
        <v>46137.085369849534</v>
      </c>
      <c r="G551" s="3">
        <v>46137</v>
      </c>
      <c r="H551" t="s">
        <v>21</v>
      </c>
      <c r="I551">
        <v>2</v>
      </c>
    </row>
    <row r="552" spans="1:9" x14ac:dyDescent="0.2">
      <c r="A552" t="s">
        <v>678</v>
      </c>
      <c r="B552" t="s">
        <v>9</v>
      </c>
      <c r="C552" s="2">
        <v>46137.570166238424</v>
      </c>
      <c r="D552">
        <v>3</v>
      </c>
      <c r="E552" s="7" t="s">
        <v>679</v>
      </c>
      <c r="F552" s="2">
        <v>46137.278499571759</v>
      </c>
      <c r="G552" s="3">
        <v>46137</v>
      </c>
      <c r="H552" t="s">
        <v>21</v>
      </c>
      <c r="I552">
        <v>6</v>
      </c>
    </row>
    <row r="553" spans="1:9" x14ac:dyDescent="0.2">
      <c r="A553" t="s">
        <v>680</v>
      </c>
      <c r="B553" t="s">
        <v>9</v>
      </c>
      <c r="C553" s="2">
        <v>46137.584390428237</v>
      </c>
      <c r="D553">
        <v>3</v>
      </c>
      <c r="F553" s="2">
        <v>46137.292723761573</v>
      </c>
      <c r="G553" s="3">
        <v>46137</v>
      </c>
      <c r="H553" t="s">
        <v>21</v>
      </c>
      <c r="I553">
        <v>7</v>
      </c>
    </row>
    <row r="554" spans="1:9" x14ac:dyDescent="0.2">
      <c r="A554" t="s">
        <v>681</v>
      </c>
      <c r="B554" t="s">
        <v>9</v>
      </c>
      <c r="C554" s="2">
        <v>46137.629582268521</v>
      </c>
      <c r="D554">
        <v>3</v>
      </c>
      <c r="F554" s="2">
        <v>46137.337915601849</v>
      </c>
      <c r="G554" s="3">
        <v>46137</v>
      </c>
      <c r="H554" t="s">
        <v>21</v>
      </c>
      <c r="I554">
        <v>8</v>
      </c>
    </row>
    <row r="555" spans="1:9" x14ac:dyDescent="0.2">
      <c r="A555" t="s">
        <v>682</v>
      </c>
      <c r="B555" t="s">
        <v>9</v>
      </c>
      <c r="C555" s="2">
        <v>46137.652891076388</v>
      </c>
      <c r="D555">
        <v>1</v>
      </c>
      <c r="F555" s="2">
        <v>46137.361224409724</v>
      </c>
      <c r="G555" s="3">
        <v>46137</v>
      </c>
      <c r="H555" t="s">
        <v>21</v>
      </c>
      <c r="I555">
        <v>8</v>
      </c>
    </row>
    <row r="556" spans="1:9" x14ac:dyDescent="0.2">
      <c r="A556" t="s">
        <v>683</v>
      </c>
      <c r="B556" t="s">
        <v>9</v>
      </c>
      <c r="C556" s="2">
        <v>46137.667045613423</v>
      </c>
      <c r="D556">
        <v>1</v>
      </c>
      <c r="F556" s="2">
        <v>46137.375378946759</v>
      </c>
      <c r="G556" s="3">
        <v>46137</v>
      </c>
      <c r="H556" t="s">
        <v>21</v>
      </c>
      <c r="I556">
        <v>9</v>
      </c>
    </row>
    <row r="557" spans="1:9" x14ac:dyDescent="0.2">
      <c r="A557" t="s">
        <v>684</v>
      </c>
      <c r="B557" t="s">
        <v>9</v>
      </c>
      <c r="C557" s="2">
        <v>46137.667275949076</v>
      </c>
      <c r="D557">
        <v>267</v>
      </c>
      <c r="F557" s="2">
        <v>46137.375609282404</v>
      </c>
      <c r="G557" s="3">
        <v>46137</v>
      </c>
      <c r="H557" t="s">
        <v>21</v>
      </c>
      <c r="I557">
        <v>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CE5DE-FF4E-CF4E-849E-8BD2C137649C}">
  <dimension ref="A1:M81"/>
  <sheetViews>
    <sheetView tabSelected="1" workbookViewId="0">
      <selection activeCell="M2" sqref="M2"/>
    </sheetView>
  </sheetViews>
  <sheetFormatPr baseColWidth="10" defaultRowHeight="15" x14ac:dyDescent="0.2"/>
  <cols>
    <col min="1" max="1" width="15.33203125" bestFit="1" customWidth="1"/>
    <col min="2" max="2" width="13.1640625" bestFit="1" customWidth="1"/>
    <col min="3" max="3" width="12" bestFit="1" customWidth="1"/>
    <col min="4" max="4" width="11.5" bestFit="1" customWidth="1"/>
    <col min="5" max="5" width="19.1640625" bestFit="1" customWidth="1"/>
    <col min="6" max="6" width="19.33203125" bestFit="1" customWidth="1"/>
    <col min="7" max="7" width="14.83203125" bestFit="1" customWidth="1"/>
    <col min="8" max="8" width="15.33203125" bestFit="1" customWidth="1"/>
    <col min="9" max="9" width="17.33203125" bestFit="1" customWidth="1"/>
    <col min="10" max="10" width="16.6640625" bestFit="1" customWidth="1"/>
    <col min="13" max="13" width="19.1640625" bestFit="1" customWidth="1"/>
  </cols>
  <sheetData>
    <row r="1" spans="1:13" x14ac:dyDescent="0.2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M1" s="8" t="s">
        <v>97</v>
      </c>
    </row>
    <row r="2" spans="1:13" x14ac:dyDescent="0.2">
      <c r="A2" s="2"/>
      <c r="E2" s="3"/>
      <c r="F2" s="3"/>
      <c r="J2" t="s">
        <v>95</v>
      </c>
      <c r="M2">
        <f>SUM(I:I)</f>
        <v>0</v>
      </c>
    </row>
    <row r="3" spans="1:13" x14ac:dyDescent="0.2">
      <c r="A3" s="2"/>
      <c r="E3" s="3"/>
      <c r="F3" s="3"/>
      <c r="J3" t="s">
        <v>95</v>
      </c>
    </row>
    <row r="4" spans="1:13" x14ac:dyDescent="0.2">
      <c r="A4" s="2"/>
      <c r="E4" s="3"/>
      <c r="F4" s="3"/>
      <c r="J4" t="s">
        <v>95</v>
      </c>
    </row>
    <row r="5" spans="1:13" x14ac:dyDescent="0.2">
      <c r="A5" s="2"/>
      <c r="E5" s="3"/>
      <c r="F5" s="3"/>
      <c r="J5" t="s">
        <v>95</v>
      </c>
    </row>
    <row r="6" spans="1:13" x14ac:dyDescent="0.2">
      <c r="A6" s="2"/>
      <c r="E6" s="3"/>
      <c r="F6" s="3"/>
      <c r="J6" t="s">
        <v>95</v>
      </c>
    </row>
    <row r="7" spans="1:13" x14ac:dyDescent="0.2">
      <c r="A7" s="2"/>
      <c r="E7" s="3"/>
      <c r="F7" s="3"/>
      <c r="J7" t="s">
        <v>95</v>
      </c>
    </row>
    <row r="8" spans="1:13" x14ac:dyDescent="0.2">
      <c r="A8" s="2"/>
      <c r="E8" s="3"/>
      <c r="F8" s="3"/>
      <c r="J8" t="s">
        <v>95</v>
      </c>
    </row>
    <row r="9" spans="1:13" x14ac:dyDescent="0.2">
      <c r="A9" s="2"/>
      <c r="E9" s="3"/>
      <c r="F9" s="3"/>
      <c r="J9" t="s">
        <v>95</v>
      </c>
    </row>
    <row r="10" spans="1:13" x14ac:dyDescent="0.2">
      <c r="A10" s="2"/>
      <c r="E10" s="3"/>
      <c r="F10" s="3"/>
      <c r="J10" t="s">
        <v>95</v>
      </c>
    </row>
    <row r="11" spans="1:13" x14ac:dyDescent="0.2">
      <c r="A11" s="2"/>
      <c r="E11" s="3"/>
      <c r="F11" s="3"/>
      <c r="J11" t="s">
        <v>95</v>
      </c>
    </row>
    <row r="12" spans="1:13" x14ac:dyDescent="0.2">
      <c r="A12" s="2"/>
      <c r="E12" s="3"/>
      <c r="F12" s="3"/>
      <c r="J12" t="s">
        <v>95</v>
      </c>
    </row>
    <row r="13" spans="1:13" x14ac:dyDescent="0.2">
      <c r="A13" s="2"/>
      <c r="E13" s="3"/>
      <c r="F13" s="3"/>
      <c r="J13" t="s">
        <v>95</v>
      </c>
    </row>
    <row r="14" spans="1:13" x14ac:dyDescent="0.2">
      <c r="A14" s="2"/>
      <c r="E14" s="3"/>
      <c r="F14" s="3"/>
      <c r="J14" t="s">
        <v>95</v>
      </c>
    </row>
    <row r="15" spans="1:13" x14ac:dyDescent="0.2">
      <c r="A15" s="2"/>
      <c r="E15" s="3"/>
      <c r="F15" s="3"/>
      <c r="J15" t="s">
        <v>95</v>
      </c>
    </row>
    <row r="16" spans="1:13" x14ac:dyDescent="0.2">
      <c r="A16" s="2"/>
      <c r="E16" s="3"/>
      <c r="F16" s="3"/>
      <c r="J16" t="s">
        <v>95</v>
      </c>
    </row>
    <row r="17" spans="1:10" x14ac:dyDescent="0.2">
      <c r="A17" s="2"/>
      <c r="E17" s="3"/>
      <c r="F17" s="3"/>
      <c r="J17" t="s">
        <v>95</v>
      </c>
    </row>
    <row r="18" spans="1:10" x14ac:dyDescent="0.2">
      <c r="A18" s="2"/>
      <c r="E18" s="3"/>
      <c r="F18" s="3"/>
      <c r="J18" t="s">
        <v>95</v>
      </c>
    </row>
    <row r="19" spans="1:10" x14ac:dyDescent="0.2">
      <c r="A19" s="2"/>
      <c r="E19" s="3"/>
      <c r="F19" s="3"/>
      <c r="J19" t="s">
        <v>95</v>
      </c>
    </row>
    <row r="20" spans="1:10" x14ac:dyDescent="0.2">
      <c r="A20" s="2"/>
      <c r="E20" s="3"/>
      <c r="F20" s="3"/>
      <c r="J20" t="s">
        <v>95</v>
      </c>
    </row>
    <row r="21" spans="1:10" x14ac:dyDescent="0.2">
      <c r="A21" s="2"/>
      <c r="E21" s="3"/>
      <c r="F21" s="3"/>
      <c r="J21" t="s">
        <v>95</v>
      </c>
    </row>
    <row r="22" spans="1:10" x14ac:dyDescent="0.2">
      <c r="A22" s="2"/>
      <c r="E22" s="3"/>
      <c r="F22" s="3"/>
      <c r="J22" t="s">
        <v>95</v>
      </c>
    </row>
    <row r="23" spans="1:10" x14ac:dyDescent="0.2">
      <c r="A23" s="2"/>
      <c r="E23" s="3"/>
      <c r="F23" s="3"/>
      <c r="J23" t="s">
        <v>95</v>
      </c>
    </row>
    <row r="24" spans="1:10" x14ac:dyDescent="0.2">
      <c r="A24" s="2"/>
      <c r="E24" s="3"/>
      <c r="F24" s="3"/>
      <c r="J24" t="s">
        <v>95</v>
      </c>
    </row>
    <row r="25" spans="1:10" x14ac:dyDescent="0.2">
      <c r="A25" s="2"/>
      <c r="E25" s="3"/>
      <c r="F25" s="3"/>
      <c r="J25" t="s">
        <v>95</v>
      </c>
    </row>
    <row r="26" spans="1:10" x14ac:dyDescent="0.2">
      <c r="A26" s="2"/>
      <c r="E26" s="3"/>
      <c r="F26" s="3"/>
      <c r="J26" t="s">
        <v>95</v>
      </c>
    </row>
    <row r="27" spans="1:10" x14ac:dyDescent="0.2">
      <c r="A27" s="2"/>
      <c r="E27" s="3"/>
      <c r="F27" s="3"/>
      <c r="J27" t="s">
        <v>95</v>
      </c>
    </row>
    <row r="28" spans="1:10" x14ac:dyDescent="0.2">
      <c r="A28" s="2"/>
      <c r="E28" s="3"/>
      <c r="F28" s="3"/>
      <c r="J28" t="s">
        <v>95</v>
      </c>
    </row>
    <row r="29" spans="1:10" x14ac:dyDescent="0.2">
      <c r="A29" s="2"/>
      <c r="E29" s="3"/>
      <c r="F29" s="3"/>
      <c r="J29" t="s">
        <v>95</v>
      </c>
    </row>
    <row r="30" spans="1:10" x14ac:dyDescent="0.2">
      <c r="A30" s="2"/>
      <c r="E30" s="3"/>
      <c r="F30" s="3"/>
      <c r="J30" t="s">
        <v>95</v>
      </c>
    </row>
    <row r="31" spans="1:10" x14ac:dyDescent="0.2">
      <c r="A31" s="2"/>
      <c r="E31" s="3"/>
      <c r="F31" s="3"/>
      <c r="J31" t="s">
        <v>95</v>
      </c>
    </row>
    <row r="32" spans="1:10" x14ac:dyDescent="0.2">
      <c r="A32" s="2"/>
      <c r="E32" s="3"/>
      <c r="F32" s="3"/>
      <c r="J32" t="s">
        <v>95</v>
      </c>
    </row>
    <row r="33" spans="1:10" x14ac:dyDescent="0.2">
      <c r="A33" s="2"/>
      <c r="E33" s="3"/>
      <c r="F33" s="3"/>
      <c r="J33" t="s">
        <v>95</v>
      </c>
    </row>
    <row r="34" spans="1:10" x14ac:dyDescent="0.2">
      <c r="A34" s="2"/>
      <c r="E34" s="3"/>
      <c r="F34" s="3"/>
      <c r="J34" t="s">
        <v>95</v>
      </c>
    </row>
    <row r="35" spans="1:10" x14ac:dyDescent="0.2">
      <c r="A35" s="2"/>
      <c r="E35" s="3"/>
      <c r="F35" s="3"/>
      <c r="J35" t="s">
        <v>95</v>
      </c>
    </row>
    <row r="36" spans="1:10" x14ac:dyDescent="0.2">
      <c r="A36" s="2"/>
      <c r="E36" s="3"/>
      <c r="F36" s="3"/>
      <c r="J36" t="s">
        <v>95</v>
      </c>
    </row>
    <row r="37" spans="1:10" x14ac:dyDescent="0.2">
      <c r="A37" s="2"/>
      <c r="E37" s="3"/>
      <c r="F37" s="3"/>
      <c r="J37" t="s">
        <v>95</v>
      </c>
    </row>
    <row r="38" spans="1:10" x14ac:dyDescent="0.2">
      <c r="A38" s="2"/>
      <c r="E38" s="3"/>
      <c r="F38" s="3"/>
      <c r="J38" t="s">
        <v>95</v>
      </c>
    </row>
    <row r="39" spans="1:10" x14ac:dyDescent="0.2">
      <c r="A39" s="2"/>
      <c r="E39" s="3"/>
      <c r="F39" s="3"/>
      <c r="J39" t="s">
        <v>95</v>
      </c>
    </row>
    <row r="40" spans="1:10" x14ac:dyDescent="0.2">
      <c r="A40" s="2"/>
      <c r="E40" s="3"/>
      <c r="F40" s="3"/>
      <c r="J40" t="s">
        <v>95</v>
      </c>
    </row>
    <row r="41" spans="1:10" x14ac:dyDescent="0.2">
      <c r="A41" s="2"/>
      <c r="E41" s="3"/>
      <c r="F41" s="3"/>
      <c r="J41" t="s">
        <v>95</v>
      </c>
    </row>
    <row r="42" spans="1:10" x14ac:dyDescent="0.2">
      <c r="A42" s="2"/>
      <c r="E42" s="3"/>
      <c r="F42" s="3"/>
      <c r="J42" t="s">
        <v>95</v>
      </c>
    </row>
    <row r="43" spans="1:10" x14ac:dyDescent="0.2">
      <c r="A43" s="2"/>
      <c r="E43" s="3"/>
      <c r="F43" s="3"/>
      <c r="J43" t="s">
        <v>95</v>
      </c>
    </row>
    <row r="44" spans="1:10" x14ac:dyDescent="0.2">
      <c r="A44" s="2"/>
      <c r="E44" s="3"/>
      <c r="F44" s="3"/>
      <c r="J44" t="s">
        <v>95</v>
      </c>
    </row>
    <row r="45" spans="1:10" x14ac:dyDescent="0.2">
      <c r="A45" s="2"/>
      <c r="E45" s="3"/>
      <c r="F45" s="3"/>
      <c r="J45" t="s">
        <v>95</v>
      </c>
    </row>
    <row r="46" spans="1:10" x14ac:dyDescent="0.2">
      <c r="A46" s="2"/>
      <c r="E46" s="3"/>
      <c r="F46" s="3"/>
      <c r="J46" t="s">
        <v>95</v>
      </c>
    </row>
    <row r="47" spans="1:10" x14ac:dyDescent="0.2">
      <c r="A47" s="2"/>
      <c r="E47" s="3"/>
      <c r="F47" s="3"/>
      <c r="J47" t="s">
        <v>95</v>
      </c>
    </row>
    <row r="48" spans="1:10" x14ac:dyDescent="0.2">
      <c r="A48" s="2"/>
      <c r="E48" s="3"/>
      <c r="F48" s="3"/>
      <c r="J48" t="s">
        <v>95</v>
      </c>
    </row>
    <row r="49" spans="1:10" x14ac:dyDescent="0.2">
      <c r="A49" s="2"/>
      <c r="E49" s="3"/>
      <c r="F49" s="3"/>
      <c r="J49" t="s">
        <v>95</v>
      </c>
    </row>
    <row r="50" spans="1:10" x14ac:dyDescent="0.2">
      <c r="A50" s="2"/>
      <c r="E50" s="3"/>
      <c r="F50" s="3"/>
      <c r="J50" t="s">
        <v>95</v>
      </c>
    </row>
    <row r="51" spans="1:10" x14ac:dyDescent="0.2">
      <c r="A51" s="2"/>
      <c r="E51" s="3"/>
      <c r="F51" s="3"/>
      <c r="J51" t="s">
        <v>95</v>
      </c>
    </row>
    <row r="52" spans="1:10" x14ac:dyDescent="0.2">
      <c r="A52" s="2"/>
      <c r="E52" s="3"/>
      <c r="F52" s="3"/>
      <c r="J52" t="s">
        <v>95</v>
      </c>
    </row>
    <row r="53" spans="1:10" x14ac:dyDescent="0.2">
      <c r="A53" s="2"/>
      <c r="E53" s="3"/>
      <c r="F53" s="3"/>
      <c r="J53" t="s">
        <v>95</v>
      </c>
    </row>
    <row r="54" spans="1:10" x14ac:dyDescent="0.2">
      <c r="A54" s="2"/>
      <c r="E54" s="3"/>
      <c r="F54" s="3"/>
      <c r="J54" t="s">
        <v>95</v>
      </c>
    </row>
    <row r="55" spans="1:10" x14ac:dyDescent="0.2">
      <c r="A55" s="2"/>
      <c r="E55" s="3"/>
      <c r="F55" s="3"/>
      <c r="J55" t="s">
        <v>95</v>
      </c>
    </row>
    <row r="56" spans="1:10" x14ac:dyDescent="0.2">
      <c r="A56" s="2"/>
      <c r="E56" s="3"/>
      <c r="F56" s="3"/>
      <c r="J56" t="s">
        <v>95</v>
      </c>
    </row>
    <row r="57" spans="1:10" x14ac:dyDescent="0.2">
      <c r="A57" s="2"/>
      <c r="E57" s="3"/>
      <c r="F57" s="3"/>
      <c r="J57" t="s">
        <v>95</v>
      </c>
    </row>
    <row r="58" spans="1:10" x14ac:dyDescent="0.2">
      <c r="A58" s="2"/>
      <c r="E58" s="3"/>
      <c r="F58" s="3"/>
      <c r="J58" t="s">
        <v>95</v>
      </c>
    </row>
    <row r="59" spans="1:10" x14ac:dyDescent="0.2">
      <c r="A59" s="2"/>
      <c r="E59" s="3"/>
      <c r="F59" s="3"/>
      <c r="J59" t="s">
        <v>95</v>
      </c>
    </row>
    <row r="60" spans="1:10" x14ac:dyDescent="0.2">
      <c r="A60" s="2"/>
      <c r="E60" s="3"/>
      <c r="F60" s="3"/>
      <c r="J60" t="s">
        <v>95</v>
      </c>
    </row>
    <row r="61" spans="1:10" x14ac:dyDescent="0.2">
      <c r="A61" s="2"/>
      <c r="E61" s="3"/>
      <c r="F61" s="3"/>
      <c r="J61" t="s">
        <v>95</v>
      </c>
    </row>
    <row r="62" spans="1:10" x14ac:dyDescent="0.2">
      <c r="A62" s="2"/>
      <c r="E62" s="3"/>
      <c r="F62" s="3"/>
      <c r="J62" t="s">
        <v>95</v>
      </c>
    </row>
    <row r="63" spans="1:10" x14ac:dyDescent="0.2">
      <c r="A63" s="2"/>
      <c r="E63" s="3"/>
      <c r="F63" s="3"/>
      <c r="J63" t="s">
        <v>95</v>
      </c>
    </row>
    <row r="64" spans="1:10" x14ac:dyDescent="0.2">
      <c r="A64" s="2"/>
      <c r="E64" s="3"/>
      <c r="F64" s="3"/>
      <c r="J64" t="s">
        <v>95</v>
      </c>
    </row>
    <row r="65" spans="1:10" x14ac:dyDescent="0.2">
      <c r="A65" s="2"/>
      <c r="E65" s="3"/>
      <c r="F65" s="3"/>
      <c r="J65" t="s">
        <v>95</v>
      </c>
    </row>
    <row r="66" spans="1:10" x14ac:dyDescent="0.2">
      <c r="A66" s="2"/>
      <c r="E66" s="3"/>
      <c r="F66" s="3"/>
      <c r="J66" t="s">
        <v>95</v>
      </c>
    </row>
    <row r="67" spans="1:10" x14ac:dyDescent="0.2">
      <c r="A67" s="2"/>
      <c r="E67" s="3"/>
      <c r="F67" s="3"/>
      <c r="J67" t="s">
        <v>95</v>
      </c>
    </row>
    <row r="68" spans="1:10" x14ac:dyDescent="0.2">
      <c r="A68" s="2"/>
      <c r="E68" s="3"/>
      <c r="F68" s="3"/>
      <c r="J68" t="s">
        <v>95</v>
      </c>
    </row>
    <row r="69" spans="1:10" x14ac:dyDescent="0.2">
      <c r="A69" s="2"/>
      <c r="E69" s="3"/>
      <c r="F69" s="3"/>
      <c r="J69" t="s">
        <v>95</v>
      </c>
    </row>
    <row r="70" spans="1:10" x14ac:dyDescent="0.2">
      <c r="A70" s="2"/>
      <c r="E70" s="3"/>
      <c r="F70" s="3"/>
      <c r="J70" t="s">
        <v>95</v>
      </c>
    </row>
    <row r="71" spans="1:10" x14ac:dyDescent="0.2">
      <c r="A71" s="2"/>
      <c r="E71" s="3"/>
      <c r="F71" s="3"/>
      <c r="J71" t="s">
        <v>95</v>
      </c>
    </row>
    <row r="72" spans="1:10" x14ac:dyDescent="0.2">
      <c r="A72" s="2"/>
      <c r="E72" s="3"/>
      <c r="F72" s="3"/>
      <c r="J72" t="s">
        <v>95</v>
      </c>
    </row>
    <row r="73" spans="1:10" x14ac:dyDescent="0.2">
      <c r="A73" s="2"/>
      <c r="E73" s="3"/>
      <c r="F73" s="3"/>
      <c r="J73" t="s">
        <v>95</v>
      </c>
    </row>
    <row r="74" spans="1:10" x14ac:dyDescent="0.2">
      <c r="A74" s="2"/>
      <c r="E74" s="3"/>
      <c r="F74" s="3"/>
      <c r="J74" t="s">
        <v>95</v>
      </c>
    </row>
    <row r="75" spans="1:10" x14ac:dyDescent="0.2">
      <c r="A75" s="2"/>
      <c r="E75" s="3"/>
      <c r="F75" s="3"/>
      <c r="J75" t="s">
        <v>95</v>
      </c>
    </row>
    <row r="76" spans="1:10" x14ac:dyDescent="0.2">
      <c r="A76" s="2"/>
      <c r="E76" s="3"/>
      <c r="F76" s="3"/>
      <c r="J76" t="s">
        <v>95</v>
      </c>
    </row>
    <row r="77" spans="1:10" x14ac:dyDescent="0.2">
      <c r="A77" s="2"/>
      <c r="E77" s="3"/>
      <c r="F77" s="3"/>
      <c r="J77" t="s">
        <v>95</v>
      </c>
    </row>
    <row r="78" spans="1:10" x14ac:dyDescent="0.2">
      <c r="A78" s="2"/>
      <c r="E78" s="3"/>
      <c r="F78" s="3"/>
      <c r="J78" t="s">
        <v>95</v>
      </c>
    </row>
    <row r="79" spans="1:10" x14ac:dyDescent="0.2">
      <c r="A79" s="2"/>
      <c r="E79" s="3"/>
      <c r="F79" s="3"/>
      <c r="J79" t="s">
        <v>95</v>
      </c>
    </row>
    <row r="80" spans="1:10" x14ac:dyDescent="0.2">
      <c r="A80" s="2"/>
      <c r="E80" s="3"/>
      <c r="F80" s="3"/>
      <c r="J80" t="s">
        <v>95</v>
      </c>
    </row>
    <row r="81" spans="1:10" x14ac:dyDescent="0.2">
      <c r="A81" s="2"/>
      <c r="E81" s="3"/>
      <c r="F81" s="3"/>
      <c r="J81" t="s">
        <v>95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453C51-B0A9-BE41-B861-F1C47C9E3D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Late Night Analysis</vt:lpstr>
      <vt:lpstr>Reason Graph</vt:lpstr>
      <vt:lpstr>Searches by Hour</vt:lpstr>
      <vt:lpstr>Network Analysis</vt:lpstr>
      <vt:lpstr>Search Audit</vt:lpstr>
      <vt:lpstr>flock_run_log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Hammock</cp:lastModifiedBy>
  <dcterms:created xsi:type="dcterms:W3CDTF">2026-03-10T13:42:35Z</dcterms:created>
  <dcterms:modified xsi:type="dcterms:W3CDTF">2026-04-26T16:54:44Z</dcterms:modified>
</cp:coreProperties>
</file>