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rance Rate Analysis" sheetId="2" state="visible" r:id="rId4"/>
    <sheet name="Notes &amp; Methodolog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<sst xmlns="http://schemas.openxmlformats.org/spreadsheetml/2006/main" count="89" uniqueCount="66">
  <si>
    <t xml:space="preserve">YUBA COUNTY SHERIFF — CRIME CLEARANCE RATE ANALYSIS</t>
  </si>
  <si>
    <t xml:space="preserve">Source: California DOJ OpenJustice — Crimes &amp; Clearances dataset  |  Flock Safety cameras installed: November 2022</t>
  </si>
  <si>
    <t xml:space="preserve">Category</t>
  </si>
  <si>
    <t xml:space="preserve">Crime Type</t>
  </si>
  <si>
    <t xml:space="preserve">2022
★ Flock installed</t>
  </si>
  <si>
    <t xml:space="preserve">Violent Crimes — REPORTED</t>
  </si>
  <si>
    <t xml:space="preserve">Homicide</t>
  </si>
  <si>
    <t xml:space="preserve">Rape</t>
  </si>
  <si>
    <t xml:space="preserve">Robbery</t>
  </si>
  <si>
    <t xml:space="preserve">Aggravated Assault</t>
  </si>
  <si>
    <t xml:space="preserve">TOTAL Violent Reported</t>
  </si>
  <si>
    <t xml:space="preserve">Violent Crimes — CLEARED</t>
  </si>
  <si>
    <t xml:space="preserve">TOTAL Violent Cleared</t>
  </si>
  <si>
    <t xml:space="preserve">Property Crimes — REPORTED</t>
  </si>
  <si>
    <t xml:space="preserve">Burglary</t>
  </si>
  <si>
    <t xml:space="preserve">Motor Vehicle Theft</t>
  </si>
  <si>
    <t xml:space="preserve">Larceny-Theft</t>
  </si>
  <si>
    <t xml:space="preserve">TOTAL Property Reported</t>
  </si>
  <si>
    <t xml:space="preserve">Property Crimes — CLEARED</t>
  </si>
  <si>
    <t xml:space="preserve">TOTAL Property Cleared</t>
  </si>
  <si>
    <t xml:space="preserve">HOW TO POPULATE THIS SHEET</t>
  </si>
  <si>
    <t xml:space="preserve">1. Go to: https://openjustice.doj.ca.gov  →  Crimes &amp; Clearances  →  Download Data</t>
  </si>
  <si>
    <t xml:space="preserve">2. Filter for agency = 'Yuba County Sheriff's Department' and years 2019–2024.</t>
  </si>
  <si>
    <t xml:space="preserve">3. Enter REPORTED counts in the blue 'REPORTED' rows; CLEARED counts in the 'CLEARED' rows.</t>
  </si>
  <si>
    <t xml:space="preserve">4. Total rows (light blue) calculate automatically. The 'Analysis' sheet updates instantly.</t>
  </si>
  <si>
    <t xml:space="preserve">5. Blue cell text = your inputs. Black cell text = formula-calculated values. Do not overwrite black cells.</t>
  </si>
  <si>
    <t xml:space="preserve">6. Source note for each year: 'California DOJ OpenJustice — Crimes &amp; Clearances, [Year]'</t>
  </si>
  <si>
    <t xml:space="preserve">CLEARANCE RATE ANALYSIS — YUBA COUNTY SHERIFF vs. CALIFORNIA STATEWIDE</t>
  </si>
  <si>
    <t xml:space="preserve">Clearance Rate = Offenses Cleared ÷ Offenses Reported  |  ★ marks Flock installation year (Nov 2022)</t>
  </si>
  <si>
    <t xml:space="preserve">Metric</t>
  </si>
  <si>
    <t xml:space="preserve">2022
★ Flock</t>
  </si>
  <si>
    <t xml:space="preserve">Pre-Flock Avg
(2019–2021)</t>
  </si>
  <si>
    <t xml:space="preserve">Post-Flock Avg
(2023–2024)</t>
  </si>
  <si>
    <t xml:space="preserve">Violent Crime Clearance Rate</t>
  </si>
  <si>
    <t xml:space="preserve">Total Violent</t>
  </si>
  <si>
    <t xml:space="preserve">Property Crime Clearance Rate</t>
  </si>
  <si>
    <t xml:space="preserve">Total Property</t>
  </si>
  <si>
    <t xml:space="preserve">Change: Post-Flock vs Pre-Flock (percentage points)</t>
  </si>
  <si>
    <t xml:space="preserve">CALIFORNIA STATEWIDE COMPARISON (enter from DOJ Crime in California annual reports)</t>
  </si>
  <si>
    <t xml:space="preserve">CA Statewide</t>
  </si>
  <si>
    <t xml:space="preserve">LEGEND</t>
  </si>
  <si>
    <t xml:space="preserve">  </t>
  </si>
  <si>
    <t xml:space="preserve">Formula-calculated total or rate</t>
  </si>
  <si>
    <t xml:space="preserve">2022 — Flock installation year (Nov 2022)</t>
  </si>
  <si>
    <t xml:space="preserve">Pre-Flock average (2019–2021)</t>
  </si>
  <si>
    <t xml:space="preserve">Post-Flock average (2023–2024)</t>
  </si>
  <si>
    <t xml:space="preserve">Blue text = enter your data here (from DOJ download)</t>
  </si>
  <si>
    <t xml:space="preserve">NOTES, METHODOLOGY &amp; CAVEATS</t>
  </si>
  <si>
    <t xml:space="preserve">Data Source</t>
  </si>
  <si>
    <t xml:space="preserve">California DOJ OpenJustice — Crimes &amp; Clearances dataset.
URL: https://openjustice.doj.ca.gov/exploration/crime-statistics/crime-statistics/crimes-clearances
Download the full CSV and filter for 'Yuba County Sheriff's Department'.</t>
  </si>
  <si>
    <t xml:space="preserve">Clearance Rate Definition</t>
  </si>
  <si>
    <t xml:space="preserve">Clearance Rate = Number of offenses cleared ÷ Number of offenses reported.
A crime is 'cleared' when law enforcement (a) arrests and charges a suspect, or (b) closes the case by exceptional means (death of offender, victim declines prosecution, etc.).
This is the FBI Uniform Crime Reporting (UCR) standard definition.</t>
  </si>
  <si>
    <t xml:space="preserve">Flock Installation Date</t>
  </si>
  <si>
    <t xml:space="preserve">Flock Safety LPR cameras were installed in Yuba County in November 2022.
The 2022 annual figure is therefore a partial-year effect at best; treat 2023 and 2024 as the first full post-Flock years.</t>
  </si>
  <si>
    <t xml:space="preserve">Why Motor Vehicle Theft Matters</t>
  </si>
  <si>
    <t xml:space="preserve">Flock's core use case is license plate recognition, making motor vehicle theft the crime type most directly amenable to ALPR assistance. A meaningful Flock effect should show most clearly in MVT clearance rates, if anywhere.</t>
  </si>
  <si>
    <t xml:space="preserve">Statewide Context (Critical)</t>
  </si>
  <si>
    <t xml:space="preserve">California clearance rates have declined broadly since 1990 across most crime types (Source: CJJC, 2023 — 'CA Law Enforcement Spending More, Solving Fewer Crimes').
Any Yuba County trend must be compared against the statewide trend to isolate a potential Flock effect from background conditions. A flat or declining Yuba rate is not automatically attributable to Flock (or its absence) without this comparison.</t>
  </si>
  <si>
    <t xml:space="preserve">Confounding Factors</t>
  </si>
  <si>
    <t xml:space="preserve">Multiple variables affect clearance rates independently of ALPR cameras:
• Staffing levels and detective capacity
• Reporting policy changes
• Pandemic-era disruptions (2020–2021 baseline)
• Measure K new hires (26 new positions) — added capacity that itself could affect clearance rates
• Changes in crime mix and crime volume
Present findings as 'consistent with / inconsistent with a Flock effect', not causal claims.</t>
  </si>
  <si>
    <t xml:space="preserve">Benn Jordan Reference</t>
  </si>
  <si>
    <t xml:space="preserve">Jordan's video ('We Hacked Flock Safety Cameras in under 30 Seconds') documents that Flock's efficacy claims are often unsubstantiated or based on internal reporting — e.g., a claimed 33% crime reduction in Vacaville used data predating camera installation.
The DOJ clearance rate data is an independent, standardized, agency-reported check on such claims.</t>
  </si>
  <si>
    <t xml:space="preserve">YCSO Facebook Post (March 2025)</t>
  </si>
  <si>
    <t xml:space="preserve">The YCSO post cites a homicide arrest as evidence of Flock effectiveness but provides no aggregate crime statistics. This template enables you to respond with DOJ-sourced aggregate data showing whether clearance rates have actually changed since November 2022.</t>
  </si>
  <si>
    <t xml:space="preserve">Presentation Use</t>
  </si>
  <si>
    <t xml:space="preserve">For the June 2026 public presentation, lead with the visual chart (see 'Clearance Rate Analysis' sheet). Frame the analysis as: 'We asked the question the Sheriff's post did not answer — has Flock actually improved crime clearance rates?'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</si>
</sst>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\+0.0%;\-0.0%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2D3D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2E5B8A"/>
        <bgColor rgb="FF666699"/>
      </patternFill>
    </fill>
    <fill>
      <patternFill patternType="solid">
        <fgColor rgb="FFF0A500"/>
        <bgColor rgb="FFFFCC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D5F5E3"/>
      </patternFill>
    </fill>
    <fill>
      <patternFill patternType="solid">
        <fgColor rgb="FFFFF3CD"/>
        <bgColor rgb="FFF2F2F2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0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B8A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8" min="3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2</v>
      </c>
      <c r="B3" s="3" t="s">
        <v>3</v>
      </c>
      <c r="C3" s="3" t="n">
        <v>2019</v>
      </c>
      <c r="D3" s="3" t="n">
        <v>2020</v>
      </c>
      <c r="E3" s="3" t="n">
        <v>2021</v>
      </c>
      <c r="F3" s="4" t="s">
        <v>4</v>
      </c>
      <c r="G3" s="3" t="n">
        <v>2023</v>
      </c>
      <c r="H3" s="3" t="n">
        <v>2024</v>
      </c>
    </row>
    <row r="4" customFormat="false" ht="19.5" hidden="false" customHeight="true" outlineLevel="0" collapsed="false">
      <c r="A4" s="5" t="s">
        <v>5</v>
      </c>
      <c r="B4" s="5" t="s">
        <v>6</v>
      </c>
      <c r="C4" s="6"/>
      <c r="D4" s="6"/>
      <c r="E4" s="6"/>
      <c r="F4" s="6"/>
      <c r="G4" s="6"/>
      <c r="H4" s="6"/>
    </row>
    <row r="5" customFormat="false" ht="19.5" hidden="false" customHeight="true" outlineLevel="0" collapsed="false">
      <c r="A5" s="7"/>
      <c r="B5" s="7" t="s">
        <v>7</v>
      </c>
      <c r="C5" s="6"/>
      <c r="D5" s="6"/>
      <c r="E5" s="6"/>
      <c r="F5" s="6"/>
      <c r="G5" s="6"/>
      <c r="H5" s="6"/>
    </row>
    <row r="6" customFormat="false" ht="19.5" hidden="false" customHeight="true" outlineLevel="0" collapsed="false">
      <c r="A6" s="7"/>
      <c r="B6" s="7" t="s">
        <v>8</v>
      </c>
      <c r="C6" s="6"/>
      <c r="D6" s="6"/>
      <c r="E6" s="6"/>
      <c r="F6" s="6"/>
      <c r="G6" s="6"/>
      <c r="H6" s="6"/>
    </row>
    <row r="7" customFormat="false" ht="19.5" hidden="false" customHeight="true" outlineLevel="0" collapsed="false">
      <c r="A7" s="7"/>
      <c r="B7" s="7" t="s">
        <v>9</v>
      </c>
      <c r="C7" s="6"/>
      <c r="D7" s="6"/>
      <c r="E7" s="6"/>
      <c r="F7" s="6"/>
      <c r="G7" s="6"/>
      <c r="H7" s="6"/>
    </row>
    <row r="8" customFormat="false" ht="19.5" hidden="false" customHeight="true" outlineLevel="0" collapsed="false">
      <c r="A8" s="8"/>
      <c r="B8" s="8" t="s">
        <v>10</v>
      </c>
      <c r="C8" s="9" t="n">
        <f aca="false">SUM(C4:C7)</f>
        <v>0</v>
      </c>
      <c r="D8" s="9" t="n">
        <f aca="false">SUM(D4:D7)</f>
        <v>0</v>
      </c>
      <c r="E8" s="9" t="n">
        <f aca="false">SUM(E4:E7)</f>
        <v>0</v>
      </c>
      <c r="F8" s="9" t="n">
        <f aca="false">SUM(F4:F7)</f>
        <v>0</v>
      </c>
      <c r="G8" s="9" t="n">
        <f aca="false">SUM(G4:G7)</f>
        <v>0</v>
      </c>
      <c r="H8" s="9" t="n">
        <f aca="false">SUM(H4:H7)</f>
        <v>0</v>
      </c>
    </row>
    <row r="9" customFormat="false" ht="19.5" hidden="false" customHeight="true" outlineLevel="0" collapsed="false">
      <c r="A9" s="5" t="s">
        <v>11</v>
      </c>
      <c r="B9" s="5" t="s">
        <v>6</v>
      </c>
      <c r="C9" s="6"/>
      <c r="D9" s="6"/>
      <c r="E9" s="6"/>
      <c r="F9" s="6"/>
      <c r="G9" s="6"/>
      <c r="H9" s="6"/>
    </row>
    <row r="10" customFormat="false" ht="19.5" hidden="false" customHeight="true" outlineLevel="0" collapsed="false">
      <c r="A10" s="7"/>
      <c r="B10" s="7" t="s">
        <v>7</v>
      </c>
      <c r="C10" s="6"/>
      <c r="D10" s="6"/>
      <c r="E10" s="6"/>
      <c r="F10" s="6"/>
      <c r="G10" s="6"/>
      <c r="H10" s="6"/>
    </row>
    <row r="11" customFormat="false" ht="19.5" hidden="false" customHeight="true" outlineLevel="0" collapsed="false">
      <c r="A11" s="7"/>
      <c r="B11" s="7" t="s">
        <v>8</v>
      </c>
      <c r="C11" s="6"/>
      <c r="D11" s="6"/>
      <c r="E11" s="6"/>
      <c r="F11" s="6"/>
      <c r="G11" s="6"/>
      <c r="H11" s="6"/>
    </row>
    <row r="12" customFormat="false" ht="19.5" hidden="false" customHeight="true" outlineLevel="0" collapsed="false">
      <c r="A12" s="7"/>
      <c r="B12" s="7" t="s">
        <v>9</v>
      </c>
      <c r="C12" s="6"/>
      <c r="D12" s="6"/>
      <c r="E12" s="6"/>
      <c r="F12" s="6"/>
      <c r="G12" s="6"/>
      <c r="H12" s="6"/>
    </row>
    <row r="13" customFormat="false" ht="19.5" hidden="false" customHeight="true" outlineLevel="0" collapsed="false">
      <c r="A13" s="8"/>
      <c r="B13" s="8" t="s">
        <v>12</v>
      </c>
      <c r="C13" s="9" t="n">
        <f aca="false">SUM(C9:C12)</f>
        <v>0</v>
      </c>
      <c r="D13" s="9" t="n">
        <f aca="false">SUM(D9:D12)</f>
        <v>0</v>
      </c>
      <c r="E13" s="9" t="n">
        <f aca="false">SUM(E9:E12)</f>
        <v>0</v>
      </c>
      <c r="F13" s="9" t="n">
        <f aca="false">SUM(F9:F12)</f>
        <v>0</v>
      </c>
      <c r="G13" s="9" t="n">
        <f aca="false">SUM(G9:G12)</f>
        <v>0</v>
      </c>
      <c r="H13" s="9" t="n">
        <f aca="false">SUM(H9:H12)</f>
        <v>0</v>
      </c>
    </row>
    <row r="14" customFormat="false" ht="19.5" hidden="false" customHeight="true" outlineLevel="0" collapsed="false">
      <c r="A14" s="5" t="s">
        <v>13</v>
      </c>
      <c r="B14" s="5" t="s">
        <v>14</v>
      </c>
      <c r="C14" s="6"/>
      <c r="D14" s="6"/>
      <c r="E14" s="6"/>
      <c r="F14" s="6"/>
      <c r="G14" s="6"/>
      <c r="H14" s="6"/>
    </row>
    <row r="15" customFormat="false" ht="19.5" hidden="false" customHeight="true" outlineLevel="0" collapsed="false">
      <c r="A15" s="7"/>
      <c r="B15" s="7" t="s">
        <v>15</v>
      </c>
      <c r="C15" s="6"/>
      <c r="D15" s="6"/>
      <c r="E15" s="6"/>
      <c r="F15" s="6"/>
      <c r="G15" s="6"/>
      <c r="H15" s="6"/>
    </row>
    <row r="16" customFormat="false" ht="19.5" hidden="false" customHeight="true" outlineLevel="0" collapsed="false">
      <c r="A16" s="7"/>
      <c r="B16" s="7" t="s">
        <v>16</v>
      </c>
      <c r="C16" s="6"/>
      <c r="D16" s="6"/>
      <c r="E16" s="6"/>
      <c r="F16" s="6"/>
      <c r="G16" s="6"/>
      <c r="H16" s="6"/>
    </row>
    <row r="17" customFormat="false" ht="19.5" hidden="false" customHeight="true" outlineLevel="0" collapsed="false">
      <c r="A17" s="8"/>
      <c r="B17" s="8" t="s">
        <v>17</v>
      </c>
      <c r="C17" s="9" t="n">
        <f aca="false">SUM(C13:C16)</f>
        <v>0</v>
      </c>
      <c r="D17" s="9" t="n">
        <f aca="false">SUM(D13:D16)</f>
        <v>0</v>
      </c>
      <c r="E17" s="9" t="n">
        <f aca="false">SUM(E13:E16)</f>
        <v>0</v>
      </c>
      <c r="F17" s="9" t="n">
        <f aca="false">SUM(F13:F16)</f>
        <v>0</v>
      </c>
      <c r="G17" s="9" t="n">
        <f aca="false">SUM(G13:G16)</f>
        <v>0</v>
      </c>
      <c r="H17" s="9" t="n">
        <f aca="false">SUM(H13:H16)</f>
        <v>0</v>
      </c>
    </row>
    <row r="18" customFormat="false" ht="19.5" hidden="false" customHeight="true" outlineLevel="0" collapsed="false">
      <c r="A18" s="5" t="s">
        <v>18</v>
      </c>
      <c r="B18" s="5" t="s">
        <v>14</v>
      </c>
      <c r="C18" s="6"/>
      <c r="D18" s="6"/>
      <c r="E18" s="6"/>
      <c r="F18" s="6"/>
      <c r="G18" s="6"/>
      <c r="H18" s="6"/>
    </row>
    <row r="19" customFormat="false" ht="19.5" hidden="false" customHeight="true" outlineLevel="0" collapsed="false">
      <c r="A19" s="7"/>
      <c r="B19" s="7" t="s">
        <v>15</v>
      </c>
      <c r="C19" s="6"/>
      <c r="D19" s="6"/>
      <c r="E19" s="6"/>
      <c r="F19" s="6"/>
      <c r="G19" s="6"/>
      <c r="H19" s="6"/>
    </row>
    <row r="20" customFormat="false" ht="19.5" hidden="false" customHeight="true" outlineLevel="0" collapsed="false">
      <c r="A20" s="7"/>
      <c r="B20" s="7" t="s">
        <v>16</v>
      </c>
      <c r="C20" s="6"/>
      <c r="D20" s="6"/>
      <c r="E20" s="6"/>
      <c r="F20" s="6"/>
      <c r="G20" s="6"/>
      <c r="H20" s="6"/>
    </row>
    <row r="21" customFormat="false" ht="19.5" hidden="false" customHeight="true" outlineLevel="0" collapsed="false">
      <c r="A21" s="8"/>
      <c r="B21" s="8" t="s">
        <v>19</v>
      </c>
      <c r="C21" s="9" t="n">
        <f aca="false">SUM(C17:C20)</f>
        <v>0</v>
      </c>
      <c r="D21" s="9" t="n">
        <f aca="false">SUM(D17:D20)</f>
        <v>0</v>
      </c>
      <c r="E21" s="9" t="n">
        <f aca="false">SUM(E17:E20)</f>
        <v>0</v>
      </c>
      <c r="F21" s="9" t="n">
        <f aca="false">SUM(F17:F20)</f>
        <v>0</v>
      </c>
      <c r="G21" s="9" t="n">
        <f aca="false">SUM(G17:G20)</f>
        <v>0</v>
      </c>
      <c r="H21" s="9" t="n">
        <f aca="false">SUM(H17:H20)</f>
        <v>0</v>
      </c>
    </row>
    <row r="23" customFormat="false" ht="21.75" hidden="false" customHeight="true" outlineLevel="0" collapsed="false">
      <c r="A23" s="10" t="s">
        <v>20</v>
      </c>
      <c r="B23" s="10"/>
      <c r="C23" s="10"/>
      <c r="D23" s="10"/>
      <c r="E23" s="10"/>
      <c r="F23" s="10"/>
      <c r="G23" s="10"/>
      <c r="H23" s="10"/>
    </row>
    <row r="24" customFormat="false" ht="15.75" hidden="false" customHeight="true" outlineLevel="0" collapsed="false">
      <c r="A24" s="11" t="s">
        <v>21</v>
      </c>
      <c r="B24" s="11"/>
      <c r="C24" s="11"/>
      <c r="D24" s="11"/>
      <c r="E24" s="11"/>
      <c r="F24" s="11"/>
      <c r="G24" s="11"/>
      <c r="H24" s="11"/>
    </row>
    <row r="25" customFormat="false" ht="15.75" hidden="false" customHeight="true" outlineLevel="0" collapsed="false">
      <c r="A25" s="11" t="s">
        <v>22</v>
      </c>
      <c r="B25" s="11"/>
      <c r="C25" s="11"/>
      <c r="D25" s="11"/>
      <c r="E25" s="11"/>
      <c r="F25" s="11"/>
      <c r="G25" s="11"/>
      <c r="H25" s="11"/>
    </row>
    <row r="26" customFormat="false" ht="15.75" hidden="false" customHeight="true" outlineLevel="0" collapsed="false">
      <c r="A26" s="11" t="s">
        <v>23</v>
      </c>
      <c r="B26" s="11"/>
      <c r="C26" s="11"/>
      <c r="D26" s="11"/>
      <c r="E26" s="11"/>
      <c r="F26" s="11"/>
      <c r="G26" s="11"/>
      <c r="H26" s="11"/>
    </row>
    <row r="27" customFormat="false" ht="15.75" hidden="false" customHeight="true" outlineLevel="0" collapsed="false">
      <c r="A27" s="11" t="s">
        <v>24</v>
      </c>
      <c r="B27" s="11"/>
      <c r="C27" s="11"/>
      <c r="D27" s="11"/>
      <c r="E27" s="11"/>
      <c r="F27" s="11"/>
      <c r="G27" s="11"/>
      <c r="H27" s="11"/>
    </row>
    <row r="28" customFormat="false" ht="15.75" hidden="false" customHeight="true" outlineLevel="0" collapsed="false">
      <c r="A28" s="11" t="s">
        <v>25</v>
      </c>
      <c r="B28" s="11"/>
      <c r="C28" s="11"/>
      <c r="D28" s="11"/>
      <c r="E28" s="11"/>
      <c r="F28" s="11"/>
      <c r="G28" s="11"/>
      <c r="H28" s="11"/>
    </row>
    <row r="29" customFormat="false" ht="15.75" hidden="false" customHeight="true" outlineLevel="0" collapsed="false">
      <c r="A29" s="11" t="s">
        <v>26</v>
      </c>
      <c r="B29" s="11"/>
      <c r="C29" s="11"/>
      <c r="D29" s="11"/>
      <c r="E29" s="11"/>
      <c r="F29" s="11"/>
      <c r="G29" s="11"/>
      <c r="H29" s="11"/>
    </row>
  </sheetData>
  <mergeCells count="9">
    <mergeCell ref="A1:H1"/>
    <mergeCell ref="A2:H2"/>
    <mergeCell ref="A23:H23"/>
    <mergeCell ref="A24:H24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10" min="3" style="0" width="14"/>
  </cols>
  <sheetData>
    <row r="1" customFormat="false" ht="30" hidden="false" customHeight="true" outlineLevel="0" collapsed="false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8" hidden="false" customHeight="true" outlineLevel="0" collapsed="false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3.5" hidden="false" customHeight="true" outlineLevel="0" collapsed="false">
      <c r="A3" s="3" t="s">
        <v>29</v>
      </c>
      <c r="B3" s="3" t="s">
        <v>3</v>
      </c>
      <c r="C3" s="3" t="n">
        <v>2019</v>
      </c>
      <c r="D3" s="3" t="n">
        <v>2020</v>
      </c>
      <c r="E3" s="3" t="n">
        <v>2021</v>
      </c>
      <c r="F3" s="3" t="n">
        <v>2022</v>
      </c>
      <c r="G3" s="4" t="s">
        <v>30</v>
      </c>
      <c r="H3" s="3" t="n">
        <v>2024</v>
      </c>
      <c r="I3" s="3" t="s">
        <v>31</v>
      </c>
      <c r="J3" s="3" t="s">
        <v>32</v>
      </c>
    </row>
    <row r="4" customFormat="false" ht="21.75" hidden="false" customHeight="true" outlineLevel="0" collapsed="false">
      <c r="A4" s="8" t="s">
        <v>33</v>
      </c>
      <c r="B4" s="8" t="s">
        <v>34</v>
      </c>
      <c r="C4" s="13" t="str">
        <f aca="false">IFERROR(IF('Raw Data'!C8=0,"",'Raw Data'!C13/'Raw Data'!C8),"")</f>
        <v/>
      </c>
      <c r="D4" s="13" t="str">
        <f aca="false">IFERROR(IF('Raw Data'!D8=0,"",'Raw Data'!D13/'Raw Data'!D8),"")</f>
        <v/>
      </c>
      <c r="E4" s="13" t="str">
        <f aca="false">IFERROR(IF('Raw Data'!E8=0,"",'Raw Data'!E13/'Raw Data'!E8),"")</f>
        <v/>
      </c>
      <c r="F4" s="14" t="str">
        <f aca="false">IFERROR(IF('Raw Data'!F8=0,"",'Raw Data'!F13/'Raw Data'!F8),"")</f>
        <v/>
      </c>
      <c r="G4" s="13" t="str">
        <f aca="false">IFERROR(IF('Raw Data'!G8=0,"",'Raw Data'!G13/'Raw Data'!G8),"")</f>
        <v/>
      </c>
      <c r="H4" s="13" t="str">
        <f aca="false">IFERROR(IF('Raw Data'!H8=0,"",'Raw Data'!H13/'Raw Data'!H8),"")</f>
        <v/>
      </c>
      <c r="I4" s="15" t="str">
        <f aca="false">IFERROR(AVERAGE(C4:E4),"")</f>
        <v/>
      </c>
      <c r="J4" s="16" t="str">
        <f aca="false">IFERROR(AVERAGE(G4:H4),"")</f>
        <v/>
      </c>
    </row>
    <row r="5" customFormat="false" ht="21.75" hidden="false" customHeight="true" outlineLevel="0" collapsed="false">
      <c r="A5" s="17"/>
      <c r="B5" s="17" t="s">
        <v>6</v>
      </c>
      <c r="C5" s="18" t="str">
        <f aca="false">IFERROR(IF('Raw Data'!C4=0,"",'Raw Data'!C9/'Raw Data'!C4),"")</f>
        <v/>
      </c>
      <c r="D5" s="18" t="str">
        <f aca="false">IFERROR(IF('Raw Data'!D4=0,"",'Raw Data'!D9/'Raw Data'!D4),"")</f>
        <v/>
      </c>
      <c r="E5" s="18" t="str">
        <f aca="false">IFERROR(IF('Raw Data'!E4=0,"",'Raw Data'!E9/'Raw Data'!E4),"")</f>
        <v/>
      </c>
      <c r="F5" s="19" t="str">
        <f aca="false">IFERROR(IF('Raw Data'!F4=0,"",'Raw Data'!F9/'Raw Data'!F4),"")</f>
        <v/>
      </c>
      <c r="G5" s="18" t="str">
        <f aca="false">IFERROR(IF('Raw Data'!G4=0,"",'Raw Data'!G9/'Raw Data'!G4),"")</f>
        <v/>
      </c>
      <c r="H5" s="18" t="str">
        <f aca="false">IFERROR(IF('Raw Data'!H4=0,"",'Raw Data'!H9/'Raw Data'!H4),"")</f>
        <v/>
      </c>
      <c r="I5" s="15" t="str">
        <f aca="false">IFERROR(AVERAGE(C5:E5),"")</f>
        <v/>
      </c>
      <c r="J5" s="16" t="str">
        <f aca="false">IFERROR(AVERAGE(G5:H5),"")</f>
        <v/>
      </c>
    </row>
    <row r="6" customFormat="false" ht="21.75" hidden="false" customHeight="true" outlineLevel="0" collapsed="false">
      <c r="A6" s="8" t="s">
        <v>35</v>
      </c>
      <c r="B6" s="8" t="s">
        <v>36</v>
      </c>
      <c r="C6" s="13" t="str">
        <f aca="false">IFERROR(IF('Raw Data'!C17=0,"",'Raw Data'!C21/'Raw Data'!C17),"")</f>
        <v/>
      </c>
      <c r="D6" s="13" t="str">
        <f aca="false">IFERROR(IF('Raw Data'!D17=0,"",'Raw Data'!D21/'Raw Data'!D17),"")</f>
        <v/>
      </c>
      <c r="E6" s="13" t="str">
        <f aca="false">IFERROR(IF('Raw Data'!E17=0,"",'Raw Data'!E21/'Raw Data'!E17),"")</f>
        <v/>
      </c>
      <c r="F6" s="14" t="str">
        <f aca="false">IFERROR(IF('Raw Data'!F17=0,"",'Raw Data'!F21/'Raw Data'!F17),"")</f>
        <v/>
      </c>
      <c r="G6" s="13" t="str">
        <f aca="false">IFERROR(IF('Raw Data'!G17=0,"",'Raw Data'!G21/'Raw Data'!G17),"")</f>
        <v/>
      </c>
      <c r="H6" s="13" t="str">
        <f aca="false">IFERROR(IF('Raw Data'!H17=0,"",'Raw Data'!H21/'Raw Data'!H17),"")</f>
        <v/>
      </c>
      <c r="I6" s="15" t="str">
        <f aca="false">IFERROR(AVERAGE(C6:E6),"")</f>
        <v/>
      </c>
      <c r="J6" s="16" t="str">
        <f aca="false">IFERROR(AVERAGE(G6:H6),"")</f>
        <v/>
      </c>
    </row>
    <row r="7" customFormat="false" ht="21.75" hidden="false" customHeight="true" outlineLevel="0" collapsed="false">
      <c r="A7" s="17"/>
      <c r="B7" s="17" t="s">
        <v>15</v>
      </c>
      <c r="C7" s="18" t="str">
        <f aca="false">IFERROR(IF('Raw Data'!C15=0,"",'Raw Data'!C19/'Raw Data'!C15),"")</f>
        <v/>
      </c>
      <c r="D7" s="18" t="str">
        <f aca="false">IFERROR(IF('Raw Data'!D15=0,"",'Raw Data'!D19/'Raw Data'!D15),"")</f>
        <v/>
      </c>
      <c r="E7" s="18" t="str">
        <f aca="false">IFERROR(IF('Raw Data'!E15=0,"",'Raw Data'!E19/'Raw Data'!E15),"")</f>
        <v/>
      </c>
      <c r="F7" s="19" t="str">
        <f aca="false">IFERROR(IF('Raw Data'!F15=0,"",'Raw Data'!F19/'Raw Data'!F15),"")</f>
        <v/>
      </c>
      <c r="G7" s="18" t="str">
        <f aca="false">IFERROR(IF('Raw Data'!G15=0,"",'Raw Data'!G19/'Raw Data'!G15),"")</f>
        <v/>
      </c>
      <c r="H7" s="18" t="str">
        <f aca="false">IFERROR(IF('Raw Data'!H15=0,"",'Raw Data'!H19/'Raw Data'!H15),"")</f>
        <v/>
      </c>
      <c r="I7" s="15" t="str">
        <f aca="false">IFERROR(AVERAGE(C7:E7),"")</f>
        <v/>
      </c>
      <c r="J7" s="16" t="str">
        <f aca="false">IFERROR(AVERAGE(G7:H7),"")</f>
        <v/>
      </c>
    </row>
    <row r="8" customFormat="false" ht="6" hidden="false" customHeight="true" outlineLevel="0" collapsed="false"/>
    <row r="9" customFormat="false" ht="15" hidden="false" customHeight="false" outlineLevel="0" collapsed="false">
      <c r="A9" s="20" t="s">
        <v>37</v>
      </c>
      <c r="B9" s="20"/>
    </row>
    <row r="10" customFormat="false" ht="21.75" hidden="false" customHeight="true" outlineLevel="0" collapsed="false">
      <c r="A10" s="21" t="s">
        <v>33</v>
      </c>
      <c r="B10" s="17" t="s">
        <v>34</v>
      </c>
      <c r="C10" s="22" t="str">
        <f aca="false">IFERROR(J4-I4,"")</f>
        <v/>
      </c>
      <c r="D10" s="22"/>
      <c r="E10" s="22"/>
      <c r="F10" s="22"/>
      <c r="G10" s="22"/>
      <c r="H10" s="22"/>
      <c r="I10" s="22"/>
      <c r="J10" s="22"/>
    </row>
    <row r="11" customFormat="false" ht="21.75" hidden="false" customHeight="true" outlineLevel="0" collapsed="false">
      <c r="A11" s="21"/>
      <c r="B11" s="17" t="s">
        <v>6</v>
      </c>
      <c r="C11" s="22" t="str">
        <f aca="false">IFERROR(J5-I5,"")</f>
        <v/>
      </c>
      <c r="D11" s="22"/>
      <c r="E11" s="22"/>
      <c r="F11" s="22"/>
      <c r="G11" s="22"/>
      <c r="H11" s="22"/>
      <c r="I11" s="22"/>
      <c r="J11" s="22"/>
    </row>
    <row r="12" customFormat="false" ht="21.75" hidden="false" customHeight="true" outlineLevel="0" collapsed="false">
      <c r="A12" s="21" t="s">
        <v>35</v>
      </c>
      <c r="B12" s="17" t="s">
        <v>36</v>
      </c>
      <c r="C12" s="22" t="str">
        <f aca="false">IFERROR(J6-I6,"")</f>
        <v/>
      </c>
      <c r="D12" s="22"/>
      <c r="E12" s="22"/>
      <c r="F12" s="22"/>
      <c r="G12" s="22"/>
      <c r="H12" s="22"/>
      <c r="I12" s="22"/>
      <c r="J12" s="22"/>
    </row>
    <row r="13" customFormat="false" ht="21.75" hidden="false" customHeight="true" outlineLevel="0" collapsed="false">
      <c r="A13" s="21"/>
      <c r="B13" s="17" t="s">
        <v>15</v>
      </c>
      <c r="C13" s="22" t="str">
        <f aca="false">IFERROR(J7-I7,"")</f>
        <v/>
      </c>
      <c r="D13" s="22"/>
      <c r="E13" s="22"/>
      <c r="F13" s="22"/>
      <c r="G13" s="22"/>
      <c r="H13" s="22"/>
      <c r="I13" s="22"/>
      <c r="J13" s="22"/>
    </row>
    <row r="16" customFormat="false" ht="21.75" hidden="false" customHeight="true" outlineLevel="0" collapsed="false">
      <c r="A16" s="23" t="s">
        <v>38</v>
      </c>
      <c r="B16" s="23"/>
      <c r="C16" s="23"/>
      <c r="D16" s="23"/>
      <c r="E16" s="23"/>
      <c r="F16" s="23"/>
      <c r="G16" s="23"/>
      <c r="H16" s="23"/>
      <c r="I16" s="23"/>
      <c r="J16" s="23"/>
    </row>
    <row r="17" customFormat="false" ht="21.75" hidden="false" customHeight="true" outlineLevel="0" collapsed="false">
      <c r="A17" s="7" t="s">
        <v>39</v>
      </c>
      <c r="B17" s="7" t="s">
        <v>33</v>
      </c>
      <c r="C17" s="24"/>
      <c r="D17" s="24"/>
      <c r="E17" s="24"/>
      <c r="F17" s="24"/>
      <c r="G17" s="25"/>
      <c r="H17" s="24"/>
      <c r="I17" s="24"/>
      <c r="J17" s="24"/>
    </row>
    <row r="18" customFormat="false" ht="21.75" hidden="false" customHeight="true" outlineLevel="0" collapsed="false">
      <c r="A18" s="7" t="s">
        <v>39</v>
      </c>
      <c r="B18" s="7" t="s">
        <v>35</v>
      </c>
      <c r="C18" s="24"/>
      <c r="D18" s="24"/>
      <c r="E18" s="24"/>
      <c r="F18" s="24"/>
      <c r="G18" s="25"/>
      <c r="H18" s="24"/>
      <c r="I18" s="24"/>
      <c r="J18" s="24"/>
    </row>
    <row r="21" customFormat="false" ht="19.5" hidden="false" customHeight="true" outlineLevel="0" collapsed="false">
      <c r="A21" s="26" t="s">
        <v>40</v>
      </c>
      <c r="B21" s="26"/>
      <c r="C21" s="26"/>
      <c r="D21" s="26"/>
      <c r="E21" s="26"/>
      <c r="F21" s="26"/>
      <c r="G21" s="26"/>
      <c r="H21" s="26"/>
      <c r="I21" s="26"/>
      <c r="J21" s="26"/>
    </row>
    <row r="22" customFormat="false" ht="15.75" hidden="false" customHeight="true" outlineLevel="0" collapsed="false">
      <c r="A22" s="27" t="s">
        <v>41</v>
      </c>
      <c r="B22" s="28" t="s">
        <v>42</v>
      </c>
      <c r="C22" s="28"/>
      <c r="D22" s="28"/>
      <c r="E22" s="28"/>
      <c r="F22" s="28"/>
      <c r="G22" s="28"/>
      <c r="H22" s="28"/>
      <c r="I22" s="28"/>
      <c r="J22" s="28"/>
    </row>
    <row r="23" customFormat="false" ht="15.75" hidden="false" customHeight="true" outlineLevel="0" collapsed="false">
      <c r="A23" s="29" t="s">
        <v>41</v>
      </c>
      <c r="B23" s="28" t="s">
        <v>43</v>
      </c>
      <c r="C23" s="28"/>
      <c r="D23" s="28"/>
      <c r="E23" s="28"/>
      <c r="F23" s="28"/>
      <c r="G23" s="28"/>
      <c r="H23" s="28"/>
      <c r="I23" s="28"/>
      <c r="J23" s="28"/>
    </row>
    <row r="24" customFormat="false" ht="15.75" hidden="false" customHeight="true" outlineLevel="0" collapsed="false">
      <c r="A24" s="30" t="s">
        <v>41</v>
      </c>
      <c r="B24" s="28" t="s">
        <v>44</v>
      </c>
      <c r="C24" s="28"/>
      <c r="D24" s="28"/>
      <c r="E24" s="28"/>
      <c r="F24" s="28"/>
      <c r="G24" s="28"/>
      <c r="H24" s="28"/>
      <c r="I24" s="28"/>
      <c r="J24" s="28"/>
    </row>
    <row r="25" customFormat="false" ht="15.75" hidden="false" customHeight="true" outlineLevel="0" collapsed="false">
      <c r="A25" s="31" t="s">
        <v>41</v>
      </c>
      <c r="B25" s="28" t="s">
        <v>45</v>
      </c>
      <c r="C25" s="28"/>
      <c r="D25" s="28"/>
      <c r="E25" s="28"/>
      <c r="F25" s="28"/>
      <c r="G25" s="28"/>
      <c r="H25" s="28"/>
      <c r="I25" s="28"/>
      <c r="J25" s="28"/>
    </row>
    <row r="26" customFormat="false" ht="15.75" hidden="false" customHeight="true" outlineLevel="0" collapsed="false">
      <c r="A26" s="32" t="s">
        <v>41</v>
      </c>
      <c r="B26" s="28" t="s">
        <v>46</v>
      </c>
      <c r="C26" s="28"/>
      <c r="D26" s="28"/>
      <c r="E26" s="28"/>
      <c r="F26" s="28"/>
      <c r="G26" s="28"/>
      <c r="H26" s="28"/>
      <c r="I26" s="28"/>
      <c r="J26" s="28"/>
    </row>
  </sheetData>
  <mergeCells count="14">
    <mergeCell ref="A1:J1"/>
    <mergeCell ref="A2:J2"/>
    <mergeCell ref="A9:B9"/>
    <mergeCell ref="C10:J10"/>
    <mergeCell ref="C11:J11"/>
    <mergeCell ref="C12:J12"/>
    <mergeCell ref="C13:J13"/>
    <mergeCell ref="A16:J16"/>
    <mergeCell ref="A21:J21"/>
    <mergeCell ref="B22:J22"/>
    <mergeCell ref="B23:J23"/>
    <mergeCell ref="B24:J24"/>
    <mergeCell ref="B25:J25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2" t="s">
        <v>47</v>
      </c>
      <c r="B1" s="12"/>
    </row>
    <row r="2" customFormat="false" ht="19.5" hidden="false" customHeight="true" outlineLevel="0" collapsed="false">
      <c r="A2" s="33" t="s">
        <v>48</v>
      </c>
      <c r="B2" s="34"/>
    </row>
    <row r="3" customFormat="false" ht="51.75" hidden="false" customHeight="true" outlineLevel="0" collapsed="false">
      <c r="A3" s="35" t="s">
        <v>49</v>
      </c>
      <c r="B3" s="35"/>
    </row>
    <row r="4" customFormat="false" ht="19.5" hidden="false" customHeight="true" outlineLevel="0" collapsed="false">
      <c r="A4" s="33" t="s">
        <v>50</v>
      </c>
      <c r="B4" s="34"/>
    </row>
    <row r="5" customFormat="false" ht="51.75" hidden="false" customHeight="true" outlineLevel="0" collapsed="false">
      <c r="A5" s="35" t="s">
        <v>51</v>
      </c>
      <c r="B5" s="35"/>
    </row>
    <row r="6" customFormat="false" ht="19.5" hidden="false" customHeight="true" outlineLevel="0" collapsed="false">
      <c r="A6" s="33" t="s">
        <v>52</v>
      </c>
      <c r="B6" s="34"/>
    </row>
    <row r="7" customFormat="false" ht="36" hidden="false" customHeight="true" outlineLevel="0" collapsed="false">
      <c r="A7" s="35" t="s">
        <v>53</v>
      </c>
      <c r="B7" s="35"/>
    </row>
    <row r="8" customFormat="false" ht="19.5" hidden="false" customHeight="true" outlineLevel="0" collapsed="false">
      <c r="A8" s="33" t="s">
        <v>54</v>
      </c>
      <c r="B8" s="34"/>
    </row>
    <row r="9" customFormat="false" ht="19.5" hidden="false" customHeight="true" outlineLevel="0" collapsed="false">
      <c r="A9" s="35" t="s">
        <v>55</v>
      </c>
      <c r="B9" s="35"/>
    </row>
    <row r="10" customFormat="false" ht="19.5" hidden="false" customHeight="true" outlineLevel="0" collapsed="false">
      <c r="A10" s="33" t="s">
        <v>56</v>
      </c>
      <c r="B10" s="34"/>
    </row>
    <row r="11" customFormat="false" ht="36" hidden="false" customHeight="true" outlineLevel="0" collapsed="false">
      <c r="A11" s="35" t="s">
        <v>57</v>
      </c>
      <c r="B11" s="35"/>
    </row>
    <row r="12" customFormat="false" ht="19.5" hidden="false" customHeight="true" outlineLevel="0" collapsed="false">
      <c r="A12" s="33" t="s">
        <v>58</v>
      </c>
      <c r="B12" s="34"/>
    </row>
    <row r="13" customFormat="false" ht="115.5" hidden="false" customHeight="true" outlineLevel="0" collapsed="false">
      <c r="A13" s="35" t="s">
        <v>59</v>
      </c>
      <c r="B13" s="35"/>
    </row>
    <row r="14" customFormat="false" ht="19.5" hidden="false" customHeight="true" outlineLevel="0" collapsed="false">
      <c r="A14" s="33" t="s">
        <v>60</v>
      </c>
      <c r="B14" s="34"/>
    </row>
    <row r="15" customFormat="false" ht="36" hidden="false" customHeight="true" outlineLevel="0" collapsed="false">
      <c r="A15" s="35" t="s">
        <v>61</v>
      </c>
      <c r="B15" s="35"/>
    </row>
    <row r="16" customFormat="false" ht="19.5" hidden="false" customHeight="true" outlineLevel="0" collapsed="false">
      <c r="A16" s="33" t="s">
        <v>62</v>
      </c>
      <c r="B16" s="34"/>
    </row>
    <row r="17" customFormat="false" ht="19.5" hidden="false" customHeight="true" outlineLevel="0" collapsed="false">
      <c r="A17" s="35" t="s">
        <v>63</v>
      </c>
      <c r="B17" s="35"/>
    </row>
    <row r="18" customFormat="false" ht="19.5" hidden="false" customHeight="true" outlineLevel="0" collapsed="false">
      <c r="A18" s="33" t="s">
        <v>64</v>
      </c>
      <c r="B18" s="34"/>
    </row>
    <row r="19" customFormat="false" ht="19.5" hidden="false" customHeight="true" outlineLevel="0" collapsed="false">
      <c r="A19" s="35" t="s">
        <v>65</v>
      </c>
      <c r="B19" s="35"/>
    </row>
  </sheetData>
  <mergeCells count="10">
    <mergeCell ref="A1:B1"/>
    <mergeCell ref="A3:B3"/>
    <mergeCell ref="A5:B5"/>
    <mergeCell ref="A7:B7"/>
    <mergeCell ref="A9:B9"/>
    <mergeCell ref="A11:B11"/>
    <mergeCell ref="A13:B13"/>
    <mergeCell ref="A15:B15"/>
    <mergeCell ref="A17:B17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2026-03-15T00:42:10Z</dcterms:created>
  <dc:creator>openpyxl</dc:creator>
  <dc:description/>
  <dc:language>en-US</dc:language>
  <cp:lastModifiedBy/>
  <dcterms:modified xsi:type="dcterms:W3CDTF">2026-03-15T00:42:10Z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