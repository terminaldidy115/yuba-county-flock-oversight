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07EBE94E-C525-0A42-BAD4-A02C166325D0}" xr6:coauthVersionLast="47" xr6:coauthVersionMax="47" xr10:uidLastSave="{00000000-0000-0000-0000-000000000000}"/>
  <bookViews>
    <workbookView xWindow="59660" yWindow="1520" windowWidth="36980" windowHeight="26240" activeTab="5" xr2:uid="{00000000-000D-0000-FFFF-FFFF00000000}"/>
  </bookViews>
  <sheets>
    <sheet name="Dashboard" sheetId="12" r:id="rId1"/>
    <sheet name="Reason Graph" sheetId="8" r:id="rId2"/>
    <sheet name="Late Night Analysis" sheetId="9" r:id="rId3"/>
    <sheet name="Searches by Hour" sheetId="3" r:id="rId4"/>
    <sheet name="Network Analysis" sheetId="10" r:id="rId5"/>
    <sheet name="Search Audit" sheetId="4" r:id="rId6"/>
    <sheet name="flock_run_log" sheetId="11" r:id="rId7"/>
  </sheets>
  <definedNames>
    <definedName name="_xlnm._FilterDatabase" localSheetId="2" hidden="1">'Late Night Analysis'!$A$1:$D$25</definedName>
    <definedName name="_xlnm._FilterDatabase" localSheetId="3" hidden="1">'Searches by Hour'!$A$1:$B$25</definedName>
    <definedName name="ExternalData_1" localSheetId="6" hidden="1">flock_run_log!$A$1:$J$3</definedName>
    <definedName name="ExternalData_1" localSheetId="5" hidden="1">'Search Audit'!$A$1:$I$1979</definedName>
    <definedName name="NativeTimeline_Date__Pacific">#N/A</definedName>
  </definedNames>
  <calcPr calcId="191029" iterateDelta="1E-4"/>
  <pivotCaches>
    <pivotCache cacheId="1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 a="1"/>
  <c r="B11" i="12" s="1"/>
  <c r="B13" i="12" s="1"/>
  <c r="B5" i="12"/>
  <c r="M2" i="11"/>
  <c r="B17" i="12" s="1"/>
  <c r="B3" i="12"/>
  <c r="C4" i="10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B10" i="9"/>
  <c r="B12" i="9"/>
  <c r="D12" i="9" s="1"/>
  <c r="B14" i="9"/>
  <c r="B16" i="9"/>
  <c r="B18" i="9"/>
  <c r="B20" i="9"/>
  <c r="B22" i="9"/>
  <c r="B24" i="9"/>
  <c r="B4" i="9"/>
  <c r="D4" i="9" s="1"/>
  <c r="B6" i="9"/>
  <c r="B9" i="9"/>
  <c r="D9" i="9" s="1"/>
  <c r="B3" i="9"/>
  <c r="B11" i="9"/>
  <c r="B13" i="9"/>
  <c r="D13" i="9" s="1"/>
  <c r="B15" i="9"/>
  <c r="D15" i="9" s="1"/>
  <c r="B17" i="9"/>
  <c r="B19" i="9"/>
  <c r="B21" i="9"/>
  <c r="B23" i="9"/>
  <c r="B25" i="9"/>
  <c r="B5" i="9"/>
  <c r="B7" i="9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25" i="9" l="1"/>
  <c r="B7" i="12"/>
  <c r="S1" i="9"/>
  <c r="S3" i="9"/>
  <c r="D17" i="9"/>
  <c r="D24" i="9"/>
  <c r="D7" i="9"/>
  <c r="D14" i="9"/>
  <c r="D2" i="9"/>
  <c r="D16" i="9"/>
  <c r="D22" i="9"/>
  <c r="D11" i="9"/>
  <c r="D18" i="9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S7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B9" i="12" l="1"/>
  <c r="B15" i="12" a="1"/>
  <c r="B15" i="12" s="1"/>
  <c r="S5" i="9"/>
  <c r="E35" i="10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<sst xmlns="http://schemas.openxmlformats.org/spreadsheetml/2006/main" count="7060" uniqueCount="2280">
  <si>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</si>
  <si>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</si>
  <si>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</si>
  <si>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</si>
  <si>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</si>
  <si>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</si>
  <si>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</si>
  <si>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</si>
  <si>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</si>
  <si>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</si>
  <si>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</si>
  <si>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</si>
  <si>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</si>
  <si>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</si>
  <si>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</si>
  <si>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</si>
  <si>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</si>
  <si>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</si>
  <si>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</si>
  <si>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</si>
  <si>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</si>
  <si>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</si>
  <si>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</si>
  <si>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</si>
  <si>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</si>
  <si>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</si>
  <si>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</si>
  <si>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</si>
  <si>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</si>
  <si>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</si>
  <si>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</si>
  <si>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</si>
  <si>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</si>
  <si>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</si>
  <si>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</si>
  <si>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</si>
  <si>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</si>
  <si>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</si>
  <si>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</si>
  <si>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</si>
  <si>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</si>
  <si>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</si>
  <si>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</si>
  <si>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</si>
  <si>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</si>
  <si>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</si>
  <si>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</si>
  <si>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</si>
  <si>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</si>
  <si>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</si>
  <si>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</si>
  <si>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</si>
  <si>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</si>
  <si>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</si>
  <si>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</si>
  <si>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</si>
  <si>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</si>
  <si>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</si>
  <si>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</si>
  <si>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</si>
  <si>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</si>
  <si>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</si>
  <si>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</si>
  <si>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</si>
  <si>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</si>
  <si>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</si>
  <si>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</si>
  <si>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</si>
  <si>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</si>
  <si>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</si>
  <si>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</si>
  <si>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</si>
  <si>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</si>
  <si>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</si>
  <si>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</si>
  <si>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</si>
  <si>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</si>
  <si>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</si>
  <si>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</si>
  <si>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</si>
  <si>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</si>
  <si>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</si>
  <si>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</si>
  <si>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</si>
  <si>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</si>
  <si>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</si>
  <si>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</si>
  <si>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</si>
  <si>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</si>
  <si>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</si>
  <si>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</si>
  <si>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</si>
  <si>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</si>
  <si>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</si>
  <si>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</si>
  <si>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</si>
  <si>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</si>
  <si>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</si>
  <si>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</si>
  <si>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</si>
  <si>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</si>
  <si>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</si>
  <si>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</si>
  <si>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</si>
  <si>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</si>
  <si>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</si>
  <si>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</si>
  <si>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</si>
  <si>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</si>
  <si>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</si>
  <si>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</si>
  <si>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</si>
  <si>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</si>
  <si>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</si>
  <si>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</si>
  <si>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</si>
  <si>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</si>
  <si>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</si>
  <si>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</si>
  <si>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</si>
  <si>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</si>
  <si>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</si>
  <si>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</si>
  <si>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</si>
  <si>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</si>
  <si>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</si>
  <si>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</si>
  <si>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</si>
  <si>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</si>
  <si>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</si>
  <si>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</si>
  <si>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</si>
  <si>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</si>
  <si>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</si>
  <si>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</si>
  <si>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</si>
  <si>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</si>
  <si>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</si>
  <si>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</si>
  <si>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</si>
  <si>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</si>
  <si>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</si>
  <si>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</si>
  <si>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</si>
  <si>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</si>
  <si>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</si>
  <si>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</si>
  <si>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</si>
  <si>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</si>
  <si>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</si>
  <si>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</si>
  <si>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</si>
  <si>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</si>
  <si>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</si>
  <si>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</si>
  <si>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</si>
  <si>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</si>
  <si>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</si>
  <si>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</si>
  <si>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</si>
  <si>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</si>
  <si>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</si>
  <si>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</si>
  <si>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</si>
  <si>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</si>
  <si>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</si>
  <si>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</si>
  <si>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</si>
  <si>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</si>
  <si>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</si>
  <si>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</si>
  <si>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</si>
  <si>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</si>
  <si>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</si>
  <si>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</si>
  <si>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</si>
  <si>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</si>
  <si>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</si>
  <si>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</si>
  <si>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</si>
  <si>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</si>
  <si>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</si>
  <si>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</si>
  <si>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</si>
  <si>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</si>
  <si>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</si>
  <si>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</si>
  <si>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</si>
  <si>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</si>
  <si>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</si>
  <si>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</si>
  <si>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</si>
  <si>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</si>
  <si>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</si>
  <si>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</si>
  <si>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</si>
  <si>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</si>
  <si>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</si>
  <si>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</si>
  <si>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</si>
  <si>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</si>
  <si>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</si>
  <si>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</si>
  <si>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</si>
  <si>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</si>
  <si>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</si>
  <si>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</si>
  <si>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</si>
  <si>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</si>
  <si>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</si>
  <si>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</si>
  <si>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</si>
  <si>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</si>
  <si>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</si>
  <si>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</si>
  <si>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</si>
  <si>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</si>
  <si>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</si>
  <si>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</si>
  <si>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</si>
  <si>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</si>
  <si>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</si>
  <si>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</si>
  <si>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</si>
  <si>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</si>
  <si>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</si>
  <si>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</si>
  <si>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</si>
  <si>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</si>
  <si>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</si>
  <si>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</si>
  <si>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</si>
  <si>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</si>
  <si>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</si>
  <si>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</si>
  <si>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</si>
  <si>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</si>
  <si>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</si>
  <si>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</si>
  <si>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</si>
  <si>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</si>
  <si>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</si>
  <si>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</si>
  <si>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</si>
  <si>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</si>
  <si>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</si>
  <si>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</si>
  <si>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</si>
  <si>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</si>
  <si>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</si>
  <si>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</si>
  <si>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</si>
  <si>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</si>
  <si>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</si>
  <si>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</si>
  <si>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</si>
  <si>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</si>
  <si>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</si>
  <si>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</si>
  <si>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</si>
  <si>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</si>
  <si>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</si>
  <si>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</si>
  <si>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</si>
  <si>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</si>
  <si>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</si>
  <si>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</si>
  <si>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</si>
  <si>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</si>
  <si>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</si>
  <si>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</si>
  <si>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</si>
  <si>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</si>
  <si>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</si>
  <si>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</si>
  <si>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</si>
  <si>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</si>
  <si>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</si>
  <si>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</si>
  <si>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</si>
  <si>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</si>
  <si>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</si>
  <si>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</si>
  <si>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</si>
  <si>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</si>
  <si>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</si>
  <si>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</si>
  <si>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</si>
  <si>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</si>
  <si>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</si>
  <si>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</si>
  <si>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</si>
  <si>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</si>
  <si>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</si>
  <si>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</si>
  <si>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</si>
  <si>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</si>
  <si>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</si>
  <si>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</si>
  <si>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</si>
  <si>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</si>
  <si>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</si>
  <si>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</si>
  <si>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</si>
  <si>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</si>
  <si>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</si>
  <si>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</si>
  <si>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</si>
  <si>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</si>
  <si>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</si>
  <si>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</si>
  <si>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</si>
  <si>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</si>
  <si>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</si>
  <si>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</si>
  <si>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</si>
  <si>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</si>
  <si>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</si>
  <si>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</si>
  <si>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</si>
  <si>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</si>
  <si>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</si>
  <si>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</si>
  <si>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</si>
  <si>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</si>
  <si>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</si>
  <si>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</si>
  <si>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</si>
  <si>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</si>
  <si>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</si>
  <si>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</si>
  <si>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</si>
  <si>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</si>
  <si>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</si>
  <si>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</si>
  <si>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</si>
  <si>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</si>
  <si>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</si>
  <si>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</si>
  <si>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</si>
  <si>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</si>
  <si>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</si>
  <si>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</si>
  <si>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</si>
  <si>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</si>
  <si>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</si>
  <si>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</si>
  <si>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</si>
  <si>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</si>
  <si>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</si>
  <si>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</si>
  <si>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</si>
  <si>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</si>
  <si>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</si>
  <si>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</si>
  <si>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</si>
  <si>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</si>
  <si>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</si>
  <si>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</si>
  <si>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</si>
  <si>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</si>
  <si>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</si>
  <si>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</si>
  <si>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</si>
  <si>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</si>
  <si>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</si>
  <si>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</si>
  <si>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</si>
  <si>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</si>
  <si>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</si>
  <si>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</si>
  <si>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</si>
  <si>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</si>
  <si>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</si>
  <si>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</si>
  <si>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</si>
  <si>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</si>
  <si>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</si>
  <si>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</si>
  <si>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</si>
  <si>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</si>
  <si>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</si>
  <si>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</si>
  <si>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</si>
  <si>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</si>
  <si>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</si>
  <si>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</si>
  <si>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</si>
  <si>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</si>
  <si>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</si>
  <si>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</si>
  <si>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</si>
  <si>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</si>
  <si>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</si>
  <si>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</si>
  <si>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</si>
  <si>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</si>
  <si>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</si>
  <si>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</si>
  <si>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</si>
  <si>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</si>
  <si>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</si>
  <si>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</si>
  <si>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</si>
  <si>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</si>
  <si>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</si>
  <si>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</si>
  <si>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</si>
  <si>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</si>
  <si>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</si>
  <si>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</si>
  <si>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</si>
  <si>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</si>
  <si>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</si>
  <si>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</si>
  <si>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</si>
  <si>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</si>
  <si>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</si>
  <si>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</si>
  <si>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</si>
  <si>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</si>
  <si>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</si>
  <si>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</si>
  <si>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</si>
  <si>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</si>
  <si>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</si>
  <si>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</si>
  <si>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</si>
  <si>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</si>
  <si>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</si>
  <si>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</si>
  <si>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</si>
  <si>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</si>
  <si>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</si>
  <si>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</si>
  <si>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</si>
  <si>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</si>
  <si>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</si>
  <si>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</si>
  <si>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</si>
  <si>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</si>
  <si>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</si>
  <si>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</si>
  <si>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</si>
  <si>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</si>
  <si>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</si>
  <si>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</si>
  <si>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</si>
  <si>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</si>
  <si>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</si>
  <si>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</si>
  <si>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</si>
  <si>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</si>
  <si>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</si>
  <si>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</si>
  <si>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</si>
  <si>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</si>
  <si>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</si>
  <si>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</si>
  <si>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</si>
  <si>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</si>
  <si>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</si>
  <si>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</si>
  <si>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</si>
  <si>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</si>
  <si>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</si>
  <si>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</si>
  <si>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</si>
  <si>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</si>
  <si>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</si>
  <si>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</si>
  <si>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</si>
  <si>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</si>
  <si>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</si>
  <si>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</si>
  <si>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</si>
  <si>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</si>
  <si>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</si>
  <si>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</si>
  <si>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</si>
  <si>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</si>
  <si>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</si>
  <si>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</si>
  <si>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</si>
  <si>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</si>
  <si>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</si>
  <si>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</si>
  <si>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</si>
  <si>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</si>
  <si>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</si>
  <si>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</si>
  <si>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</si>
  <si>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</si>
  <si>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</si>
  <si>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</si>
  <si>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</si>
  <si>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</si>
  <si>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</si>
  <si>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</si>
  <si>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</si>
  <si>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</si>
  <si>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</si>
  <si>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</si>
  <si>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</si>
  <si>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</si>
  <si>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</si>
  <si>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</si>
  <si>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</si>
  <si>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</si>
  <si>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</si>
  <si>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</si>
  <si>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</si>
  <si>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</si>
  <si>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</si>
  <si>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</si>
  <si>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</si>
  <si>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</si>
  <si>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</si>
  <si>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</si>
  <si>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</si>
  <si>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</si>
  <si>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</si>
  <si>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</si>
  <si>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</si>
  <si>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</si>
  <si>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</si>
  <si>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</si>
  <si>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</si>
  <si>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</si>
  <si>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</si>
  <si>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</si>
  <si>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</si>
  <si>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</si>
  <si>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</si>
  <si>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</si>
  <si>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</si>
  <si>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</si>
  <si>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</si>
  <si>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</si>
  <si>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</si>
  <si>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</si>
  <si>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</si>
  <si>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</si>
  <si>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</si>
  <si>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</si>
  <si>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</si>
  <si>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</si>
  <si>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</si>
  <si>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</si>
  <si>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</si>
  <si>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</si>
  <si>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</si>
  <si>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</si>
  <si>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</si>
  <si>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</si>
  <si>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</si>
  <si>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</si>
  <si>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</si>
  <si>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</si>
  <si>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</si>
  <si>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</si>
  <si>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</si>
  <si>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</si>
  <si>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</si>
  <si>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</si>
  <si>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</si>
  <si>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</si>
  <si>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</si>
  <si>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</si>
  <si>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</si>
  <si>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</si>
  <si>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</si>
  <si>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</si>
  <si>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</si>
  <si>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</si>
  <si>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</si>
  <si>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</si>
  <si>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</si>
  <si>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</si>
  <si>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</si>
  <si>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</si>
  <si>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</si>
  <si>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</si>
  <si>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</si>
  <si>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</si>
  <si>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</si>
  <si>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</si>
  <si>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</si>
  <si>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</si>
  <si>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</si>
  <si>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</si>
  <si>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</si>
  <si>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</si>
  <si>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</si>
  <si>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</si>
  <si>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</si>
  <si>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</si>
  <si>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</si>
  <si>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</si>
  <si>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</si>
  <si>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</si>
  <si>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</si>
  <si>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</si>
  <si>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</si>
  <si>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</si>
  <si>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</si>
  <si>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</si>
  <si>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</si>
  <si>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</si>
  <si>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</si>
  <si>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</si>
  <si>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</si>
  <si>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</si>
  <si>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</si>
  <si>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</si>
  <si>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</si>
  <si>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</si>
  <si>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</si>
  <si>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</si>
  <si>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</si>
  <si>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</si>
  <si>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</si>
  <si>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</si>
  <si>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</si>
  <si>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</si>
  <si>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</si>
  <si>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</si>
  <si>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</si>
  <si>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</si>
  <si>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</si>
  <si>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</si>
  <si>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</si>
  <si>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</si>
  <si>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</si>
  <si>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</si>
  <si>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</si>
  <si>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</si>
  <si>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</si>
  <si>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</si>
  <si>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</si>
  <si>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</si>
  <si>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</si>
  <si>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</si>
  <si>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</si>
  <si>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</si>
  <si>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</si>
  <si>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</si>
  <si>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</si>
  <si>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</si>
  <si>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</si>
  <si>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</si>
  <si>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</si>
  <si>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</si>
  <si>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</si>
  <si>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</si>
  <si>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</si>
  <si>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</si>
  <si>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</si>
  <si>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</si>
  <si>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</si>
  <si>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</si>
  <si>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</si>
  <si>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</si>
  <si>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</si>
  <si>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</si>
  <si>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</si>
  <si>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</si>
  <si>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</si>
  <si>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</si>
  <si>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</si>
  <si>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</si>
  <si>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</si>
  <si>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</si>
  <si>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</si>
  <si>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</si>
  <si>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</si>
  <si>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</si>
  <si>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</si>
  <si>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</si>
  <si>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</si>
  <si>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</si>
  <si>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</si>
  <si>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</si>
  <si>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</si>
  <si>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</si>
  <si>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</si>
  <si>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</si>
  <si>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</si>
  <si>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</si>
  <si>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</si>
  <si>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</si>
  <si>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</si>
  <si>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</si>
  <si>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</si>
  <si>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</si>
  <si>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</si>
  <si>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</si>
  <si>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</si>
  <si>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</si>
  <si>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</si>
  <si>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</si>
  <si>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</si>
  <si>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</si>
  <si>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</si>
  <si>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</si>
  <si>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</si>
  <si>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</si>
  <si>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</si>
  <si>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</si>
  <si>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</si>
  <si>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</si>
  <si>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</si>
  <si>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</si>
  <si>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</si>
  <si>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</si>
  <si>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</si>
  <si>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</si>
  <si>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</si>
  <si>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</si>
  <si>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</si>
  <si>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</si>
  <si>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</si>
  <si>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</si>
  <si>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</si>
  <si>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</si>
  <si>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</si>
  <si>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</si>
  <si>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</si>
  <si>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</si>
  <si>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</si>
  <si>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</si>
  <si>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</si>
  <si>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</si>
  <si>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</si>
  <si>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</si>
  <si>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</si>
  <si>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</si>
  <si>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</si>
  <si>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</si>
  <si>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</si>
  <si>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</si>
  <si>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</si>
  <si>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</si>
  <si>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</si>
  <si>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</si>
  <si>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</si>
  <si>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</si>
  <si>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</si>
  <si>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</si>
  <si>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</si>
  <si>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</si>
  <si>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</si>
  <si>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</si>
  <si>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</si>
  <si>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</si>
  <si>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</si>
  <si>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</si>
  <si>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</si>
  <si>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</si>
  <si>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</si>
  <si>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</si>
  <si>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</si>
  <si>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</si>
  <si>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</si>
  <si>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</si>
  <si>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</si>
  <si>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</si>
  <si>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</si>
  <si>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</si>
  <si>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</si>
  <si>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</si>
  <si>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</si>
  <si>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</si>
  <si>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</si>
  <si>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</si>
  <si>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</si>
  <si>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</si>
  <si>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</si>
  <si>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</si>
  <si>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</si>
  <si>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</si>
  <si>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</si>
  <si>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</si>
  <si>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</si>
  <si>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</si>
  <si>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</si>
  <si>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</si>
  <si>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</si>
  <si>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</si>
  <si>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</si>
  <si>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</si>
  <si>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</si>
  <si>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</si>
  <si>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</si>
  <si>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</si>
  <si>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</si>
  <si>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</si>
  <si>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</si>
  <si>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</si>
  <si>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</si>
  <si>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</si>
  <si>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</si>
  <si>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</si>
  <si>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</si>
  <si>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</si>
  <si>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</si>
  <si>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</si>
  <si>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</si>
  <si>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</si>
  <si>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</si>
  <si>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</si>
  <si>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</si>
  <si>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</si>
  <si>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</si>
  <si>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</si>
  <si>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</si>
  <si>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</si>
  <si>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</si>
  <si>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</si>
  <si>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</si>
  <si>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</si>
  <si>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</si>
  <si>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</si>
  <si>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</si>
  <si>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</si>
  <si>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</si>
  <si>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</si>
  <si>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</si>
  <si>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</si>
  <si>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</si>
  <si>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</si>
  <si>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</si>
  <si>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</si>
  <si>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</si>
  <si>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</si>
  <si>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</si>
  <si>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</si>
  <si>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</si>
  <si>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</si>
  <si>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</si>
  <si>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</si>
  <si>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</si>
  <si>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</si>
  <si>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</si>
  <si>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</si>
  <si>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</si>
  <si>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</si>
  <si>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</si>
  <si>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</si>
  <si>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</si>
  <si>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</si>
  <si>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</si>
  <si>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</si>
  <si>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</si>
  <si>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</si>
  <si>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</si>
  <si>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</si>
  <si>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</si>
  <si>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</si>
  <si>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</si>
  <si>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</si>
  <si>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</si>
  <si>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</si>
  <si>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</si>
  <si>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</si>
  <si>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</si>
  <si>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</si>
  <si>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</si>
  <si>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</si>
  <si>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</si>
  <si>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</si>
  <si>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</si>
  <si>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</si>
  <si>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</si>
  <si>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</si>
  <si>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</si>
  <si>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</si>
  <si>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</si>
  <si>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</si>
  <si>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</si>
  <si>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</si>
  <si>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</si>
  <si>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</si>
  <si>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</si>
  <si>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</si>
  <si>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</si>
  <si>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</si>
  <si>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</si>
  <si>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</si>
  <si>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</si>
  <si>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</si>
  <si>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</si>
  <si>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</si>
  <si>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</si>
  <si>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</si>
  <si>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</si>
  <si>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</si>
  <si>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</si>
  <si>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</si>
  <si>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</si>
  <si>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</si>
  <si>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</si>
  <si>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</si>
  <si>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</si>
  <si>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</si>
  <si>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</si>
  <si>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</si>
  <si>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</si>
  <si>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</si>
  <si>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</si>
  <si>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</si>
  <si>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</si>
  <si>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</si>
  <si>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</si>
  <si>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</si>
  <si>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</si>
  <si>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</si>
  <si>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</si>
  <si>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</si>
  <si>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</si>
  <si>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</si>
  <si>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</si>
  <si>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</si>
  <si>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</si>
  <si>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</si>
  <si>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</si>
  <si>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</si>
  <si>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</si>
  <si>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</si>
  <si>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</si>
  <si>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</si>
  <si>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</si>
  <si>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</si>
  <si>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</si>
  <si>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</si>
  <si>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</si>
  <si>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</si>
  <si>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</si>
  <si>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</si>
  <si>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</si>
  <si>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</si>
  <si>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</si>
  <si>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</si>
  <si>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</si>
  <si>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</si>
  <si>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</si>
  <si>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</si>
  <si>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</si>
  <si>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</si>
  <si>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</si>
  <si>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</si>
  <si>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</si>
  <si>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</si>
  <si>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</si>
  <si>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</si>
  <si>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</si>
  <si>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</si>
  <si>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</si>
  <si>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</si>
  <si>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</si>
  <si>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</si>
  <si>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</si>
  <si>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</si>
  <si>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</si>
  <si>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</si>
  <si>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</si>
  <si>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</si>
  <si>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</si>
  <si>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</si>
  <si>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</si>
  <si>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</si>
  <si>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</si>
  <si>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</si>
  <si>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</si>
  <si>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</si>
  <si>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</si>
  <si>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</si>
  <si>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</si>
  <si>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</si>
  <si>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</si>
  <si>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</si>
  <si>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</si>
  <si>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</si>
  <si>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</si>
  <si>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</si>
  <si>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</si>
  <si>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</si>
  <si>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</si>
  <si>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</si>
  <si>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</si>
  <si>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</si>
  <si>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</si>
  <si>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</si>
  <si>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</si>
  <si>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</si>
  <si>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</si>
  <si>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</si>
  <si>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</si>
  <si>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</si>
  <si>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</si>
  <si>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</si>
  <si>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</si>
  <si>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</si>
  <si>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</si>
  <si>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</si>
  <si>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</si>
  <si>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</si>
  <si>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</si>
  <si>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</si>
  <si>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</si>
  <si>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</si>
  <si>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</si>
  <si>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</si>
  <si>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</si>
  <si>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</si>
  <si>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</si>
  <si>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</si>
  <si>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</si>
  <si>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</si>
  <si>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</si>
  <si>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</si>
  <si>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</si>
  <si>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</si>
  <si>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</si>
  <si>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</si>
  <si>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</si>
  <si>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</si>
  <si>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</si>
  <si>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</si>
  <si>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</si>
  <si>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</si>
  <si>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</si>
  <si>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</si>
  <si>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</si>
  <si>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</si>
  <si>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</si>
  <si>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</si>
  <si>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</si>
  <si>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</si>
  <si>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</si>
  <si>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</si>
  <si>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</si>
  <si>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</si>
  <si>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</si>
  <si>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</si>
  <si>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</si>
  <si>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</si>
  <si>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</si>
  <si>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</si>
  <si>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</si>
  <si>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</si>
  <si>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</si>
  <si>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</si>
  <si>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</si>
  <si>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</si>
  <si>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</si>
  <si>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</si>
  <si>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</si>
  <si>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</si>
  <si>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</si>
  <si>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</si>
  <si>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</si>
  <si>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</si>
  <si>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</si>
  <si>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</si>
  <si>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</si>
  <si>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</si>
  <si>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</si>
  <si>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</si>
  <si>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</si>
  <si>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</si>
  <si>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</si>
  <si>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</si>
  <si>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</si>
  <si>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</si>
  <si>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</si>
  <si>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</si>
  <si>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</si>
  <si>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</si>
  <si>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</si>
  <si>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</si>
  <si>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</si>
  <si>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</si>
  <si>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</si>
  <si>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</si>
  <si>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</si>
  <si>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</si>
  <si>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</si>
  <si>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</si>
  <si>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</si>
  <si>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</si>
  <si>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</si>
  <si>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</si>
  <si>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</si>
  <si>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</si>
  <si>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</si>
  <si>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</si>
  <si>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</si>
  <si>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</si>
  <si>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</si>
  <si>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</si>
  <si>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</si>
  <si>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</si>
  <si>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</si>
  <si>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</si>
  <si>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</si>
  <si>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</si>
  <si>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</si>
  <si>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</si>
  <si>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</si>
  <si>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</si>
  <si>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</si>
  <si>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</si>
  <si>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</si>
  <si>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</si>
  <si>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</si>
  <si>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</si>
  <si>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</si>
  <si>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</si>
  <si>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</si>
  <si>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</si>
  <si>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</si>
  <si>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</si>
  <si>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</si>
  <si>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</si>
  <si>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</si>
  <si>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</si>
  <si>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</si>
  <si>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</si>
  <si>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</si>
  <si>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</si>
  <si>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</si>
  <si>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</si>
  <si>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</si>
  <si>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</si>
  <si>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</si>
  <si>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</si>
  <si>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</si>
  <si>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</si>
  <si>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</si>
  <si>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</si>
  <si>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</si>
  <si>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</si>
  <si>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</si>
  <si>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</si>
  <si>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</si>
  <si>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</si>
  <si>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</si>
  <si>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</si>
  <si>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</si>
  <si>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</si>
  <si>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</si>
  <si>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</si>
  <si>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</si>
  <si>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</si>
  <si>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</si>
  <si>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</si>
  <si>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</si>
  <si>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</si>
  <si>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</si>
  <si>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</si>
  <si>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</si>
  <si>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</si>
  <si>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</si>
  <si>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</si>
  <si>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</si>
  <si>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</si>
  <si>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</si>
  <si>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</si>
  <si>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</si>
  <si>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</si>
  <si>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</si>
  <si>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</si>
  <si>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</si>
  <si>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</si>
  <si>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</si>
  <si>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</si>
  <si>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</si>
  <si>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</si>
  <si>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</si>
  <si>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</si>
  <si>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</si>
  <si>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</si>
  <si>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</si>
  <si>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</si>
  <si>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</si>
  <si>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</si>
  <si>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</si>
  <si>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</si>
  <si>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</si>
  <si>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</si>
  <si>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/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</si>
  <si>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</si>
  <si>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</si>
  <si>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</si>
  <si>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</si>
  <si>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</si>
  <si>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</si>
  <si>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</si>
  <si>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</si>
  <si>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</si>
  <si>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</si>
  <si>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</si>
  <si>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</si>
  <si>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</si>
  <si>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</si>
  <si>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</si>
  <si>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</si>
  <si>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</si>
  <si>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</si>
  <si>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</si>
  <si>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</si>
  <si>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</si>
  <si>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</si>
  <si>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</si>
  <si>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</si>
  <si>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</si>
  <si>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</si>
  <si>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</si>
  <si>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</si>
  <si>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</si>
  <si>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</si>
  <si>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</si>
  <si>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</si>
  <si>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</si>
  <si>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</si>
  <si>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</si>
  <si>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</si>
  <si>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</si>
  <si>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</si>
  <si>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</si>
  <si>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</si>
  <si>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</si>
  <si>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</si>
  <si>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</si>
  <si>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</si>
  <si>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</si>
  <si>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</si>
  <si>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</si>
  <si>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</si>
  <si>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</si>
  <si>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</si>
  <si>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</si>
  <si>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</si>
  <si>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</si>
  <si>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</si>
  <si>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</si>
  <si>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</si>
  <si>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</si>
  <si>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</si>
  <si>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</si>
  <si>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</si>
  <si>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</si>
  <si>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</si>
  <si>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</si>
  <si>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</si>
  <si>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</si>
  <si>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</si>
  <si>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</si>
  <si>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</si>
  <si>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</si>
  <si>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</si>
  <si>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</si>
  <si>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</si>
  <si>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</si>
  <si>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</si>
  <si>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</si>
  <si>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</si>
  <si>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</si>
  <si>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</si>
  <si>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</si>
  <si>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</si>
  <si>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</si>
  <si>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</si>
  <si>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</si>
  <si>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</si>
  <si>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</si>
  <si>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</si>
  <si>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</si>
  <si>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</si>
  <si>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</si>
  <si>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</si>
  <si>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</si>
  <si>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</si>
  <si>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</si>
  <si>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</si>
  <si>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</si>
  <si>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</si>
  <si>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</si>
  <si>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</si>
  <si>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</si>
  <si>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</si>
  <si>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</si>
  <si>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</si>
  <si>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</si>
  <si>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</si>
  <si>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</si>
  <si>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</si>
  <si>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</si>
  <si>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</si>
  <si>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</si>
  <si>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</si>
  <si>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</si>
  <si>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</si>
  <si>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</si>
  <si>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</si>
  <si>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</si>
  <si>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</si>
  <si>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</si>
  <si>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</si>
  <si>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</si>
  <si>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</si>
  <si>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</si>
  <si>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</si>
  <si>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</si>
  <si>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</si>
  <si>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</si>
  <si>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</si>
  <si>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</si>
  <si>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</si>
  <si>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</si>
  <si>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</si>
  <si>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</si>
  <si>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</si>
  <si>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</si>
  <si>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</si>
  <si>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</si>
  <si>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</si>
  <si>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</si>
  <si>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</si>
  <si>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</si>
  <si>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</si>
  <si>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</si>
  <si>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</si>
  <si>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</si>
  <si>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</si>
  <si>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missing</t>
  </si>
  <si>
    <t>590d9fef-6e0f-4ad4-8a9c-d1b0b249e69a</t>
  </si>
  <si>
    <t>Suspect vehicle.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</si>
  <si>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</si>
  <si>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</si>
  <si>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</si>
  <si>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</si>
  <si>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</si>
  <si>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</si>
  <si>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</si>
  <si>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</si>
  <si>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</si>
  <si>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</si>
  <si>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20851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</si>
  <si>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</si>
  <si>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</si>
  <si>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</si>
  <si>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</si>
  <si>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</si>
  <si>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</si>
  <si>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</si>
  <si>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</si>
  <si>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</si>
  <si>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</si>
  <si>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</si>
  <si>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</si>
  <si>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</si>
  <si>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</si>
  <si>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</si>
  <si>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</si>
  <si>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</si>
  <si>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</si>
  <si>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</si>
  <si>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</si>
  <si>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</si>
  <si>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</si>
  <si>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</si>
  <si>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</si>
  <si>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</si>
  <si>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CRIMINAL INVEST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</si>
  <si>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</si>
  <si>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</si>
  <si>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</si>
  <si>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</si>
  <si>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</si>
  <si>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</si>
  <si>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</si>
  <si>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</si>
  <si>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</si>
  <si>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</si>
  <si>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</si>
  <si>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</si>
  <si>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</si>
  <si>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</si>
  <si>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273.6pc suspect</t>
  </si>
  <si>
    <t>f331f260-6561-4fcb-8aa5-5af40a343da0</t>
  </si>
  <si>
    <t>6fbccf72-68cb-4188-990e-38fd7718eb81</t>
  </si>
  <si>
    <t>7e940a0e-9a7d-4cb7-a1ea-2723bfc6bdf8</t>
  </si>
  <si>
    <t>189de33b-dc2f-428f-a0b5-22800b0e08a4</t>
  </si>
  <si>
    <t>FIRING AIRSOFT GUN AT SUBJS</t>
  </si>
  <si>
    <t>81099501-dda3-4220-9cc0-e6993496ded5</t>
  </si>
  <si>
    <t>f3056ae7-18f0-4270-b9bf-d9241d2f8b61</t>
  </si>
  <si>
    <t>918aa092-94be-4e20-bb4c-525572513f18</t>
  </si>
  <si>
    <t>SHOTS FIRED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</si>
  <si>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</si>
  <si>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</si>
  <si>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</si>
  <si>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</si>
  <si>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</si>
  <si>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</si>
  <si>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</si>
  <si>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</si>
  <si>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</si>
  <si>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</si>
  <si>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</si>
  <si>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</si>
  <si>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17 suspet</t>
  </si>
  <si>
    <t>354bc47e-4b8e-42b6-b392-d7a63834654f</t>
  </si>
  <si>
    <t>6489f70f-67b9-4435-bfba-2cfae4569c58</t>
  </si>
  <si>
    <t>ab3ddb1d-5645-423a-bab0-3a64ceb87757</t>
  </si>
  <si>
    <t>21a65076-204e-4006-b477-60f508e53706</t>
  </si>
  <si>
    <t>DVP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</si>
  <si>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</si>
  <si>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</si>
  <si>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</si>
  <si>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</si>
  <si>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</si>
  <si>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</si>
  <si>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</si>
  <si>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487 pc</t>
  </si>
  <si>
    <t>e223a9e4-e423-4370-8208-82b1270b067a</t>
  </si>
  <si>
    <t>a2f9fbe6-6679-419d-9744-1a092a82c943</t>
  </si>
  <si>
    <t>e654916f-12e8-45e5-aff7-2542b8864f30</t>
  </si>
  <si>
    <t>Total Backdated Entries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</si>
  <si>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</si>
  <si>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</si>
  <si>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</si>
  <si>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</si>
  <si>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</si>
  <si>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</si>
  <si>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</si>
  <si>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</si>
  <si>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</si>
  <si>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dui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</si>
  <si>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</si>
  <si>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</si>
  <si>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</si>
  <si>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</si>
  <si>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</si>
  <si>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</si>
  <si>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</si>
  <si>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</si>
  <si>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</si>
  <si>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</si>
  <si>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</si>
  <si>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</si>
  <si>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</si>
  <si>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</si>
  <si>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</si>
  <si>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</si>
  <si>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</si>
  <si>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</si>
  <si>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mi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</si>
  <si>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</si>
  <si>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</si>
  <si>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</si>
  <si>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</si>
  <si>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</si>
  <si>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</si>
  <si>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</si>
  <si>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</si>
  <si>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</si>
  <si>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</si>
  <si>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</si>
  <si>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</si>
  <si>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</si>
  <si>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</si>
  <si>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</si>
  <si>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</si>
  <si>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susp id</t>
  </si>
  <si>
    <t>68d2cacc-f239-46f1-a56e-db9a8dbb730c</t>
  </si>
  <si>
    <t>00444f4d-fc7f-48b1-a475-465df740a78f</t>
  </si>
  <si>
    <t>245 PC</t>
  </si>
  <si>
    <t>4a2ec8a8-9ed2-4521-b467-2c417c2efb7b</t>
  </si>
  <si>
    <t>2db05ec1-611e-4a28-aba8-ec70e58a092b</t>
  </si>
  <si>
    <t>fb1846a7-8085-4a62-ab9e-e6bfe8a5c8c0</t>
  </si>
  <si>
    <t>c42e3c92-7f7e-4e9c-8790-849cda6a8864</t>
  </si>
  <si>
    <t>108</t>
  </si>
  <si>
    <t>ec45cd01-f87e-4a7d-a1a4-77a8498846dc</t>
  </si>
  <si>
    <t>108511</t>
  </si>
  <si>
    <t>40a2bc78-400c-47a1-8bfe-b3637fe646e5</t>
  </si>
  <si>
    <t>7d4298b0-c5c8-43b3-84e6-579d2f2ea4d9</t>
  </si>
  <si>
    <t>57026275-e7c8-4c61-a610-09ec6110edd7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</si>
  <si>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</si>
  <si>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</si>
  <si>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</si>
  <si>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</si>
  <si>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</si>
  <si>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</si>
  <si>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</si>
  <si>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</si>
  <si>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</si>
  <si>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</si>
  <si>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</si>
  <si>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</si>
  <si>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</si>
  <si>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</si>
  <si>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</si>
  <si>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</si>
  <si>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</si>
  <si>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</si>
  <si>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</si>
  <si>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</si>
  <si>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533f268e-63c6-4adf-bb5f-c7785b8b789a</t>
  </si>
  <si>
    <t>88a6b3b9-69bf-44cc-805a-c9c79388bc5a</t>
  </si>
  <si>
    <t>12ca516f-c811-468c-8495-0af774d7605b</t>
  </si>
  <si>
    <t>3d71fcec-52f8-4983-9889-7b7d36355bd6</t>
  </si>
  <si>
    <t>BRANDISH THREATS</t>
  </si>
  <si>
    <t>2112bf05-79be-4946-acad-c40a29a22da7</t>
  </si>
  <si>
    <t>245</t>
  </si>
  <si>
    <t>e89d21fd-5307-44d6-abc1-d96a8e17bb06</t>
  </si>
  <si>
    <t>422 417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</si>
  <si>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</si>
  <si>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</si>
  <si>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</si>
  <si>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</si>
  <si>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</si>
  <si>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</si>
  <si>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</si>
  <si>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</si>
  <si>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</si>
  <si>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</si>
  <si>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</si>
  <si>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</si>
  <si>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</si>
  <si>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location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</si>
  <si>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</si>
  <si>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</si>
  <si>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</si>
  <si>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</si>
  <si>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</si>
  <si>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</si>
  <si>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</si>
  <si>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</si>
  <si>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</si>
  <si>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</si>
  <si>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</si>
  <si>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</si>
  <si>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</si>
  <si>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</si>
  <si>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</si>
  <si>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</si>
  <si>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</si>
  <si>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</si>
  <si>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5150 atl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</si>
  <si>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</si>
  <si>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</si>
  <si>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</si>
  <si>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</si>
  <si>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</si>
  <si>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</si>
  <si>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</si>
  <si>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</si>
  <si>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</si>
  <si>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</si>
  <si>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</si>
  <si>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</si>
  <si>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</si>
  <si>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</si>
  <si>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</si>
  <si>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</si>
  <si>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</si>
  <si>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</si>
  <si>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</si>
  <si>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</si>
  <si>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</si>
  <si>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</si>
  <si>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</si>
  <si>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</si>
  <si>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</si>
  <si>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</si>
  <si>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</si>
  <si>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</si>
  <si>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</si>
  <si>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</si>
  <si>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</si>
  <si>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</si>
  <si>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</si>
  <si>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</si>
  <si>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</si>
  <si>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</si>
  <si>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</si>
  <si>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</si>
  <si>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</si>
  <si>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</si>
  <si>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</si>
  <si>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</si>
  <si>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</si>
  <si>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</si>
  <si>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</si>
  <si>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</si>
  <si>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</si>
  <si>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</si>
  <si>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</si>
  <si>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</si>
  <si>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</si>
  <si>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</si>
  <si>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</si>
  <si>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</si>
  <si>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</si>
  <si>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</si>
  <si>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known veh prior association - lopez, jessica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</si>
  <si>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</si>
  <si>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</si>
  <si>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</si>
  <si>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</si>
  <si>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</si>
  <si>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</si>
  <si>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</si>
  <si>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</si>
  <si>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</si>
  <si>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</si>
  <si>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</si>
  <si>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</si>
  <si>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</si>
  <si>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</si>
  <si>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</si>
  <si>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</si>
  <si>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</si>
  <si>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Wanted suspect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</si>
  <si>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</si>
  <si>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</si>
  <si>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</si>
  <si>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</si>
  <si>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</si>
  <si>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</si>
  <si>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</si>
  <si>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</si>
  <si>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</si>
  <si>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</si>
  <si>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</si>
  <si>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</si>
  <si>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</si>
  <si>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</si>
  <si>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</si>
  <si>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</si>
  <si>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</si>
  <si>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</si>
  <si>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</si>
  <si>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</si>
  <si>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</si>
  <si>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192 pc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</si>
  <si>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</si>
  <si>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</si>
  <si>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</si>
  <si>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</si>
  <si>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</si>
  <si>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</si>
  <si>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</si>
  <si>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</si>
  <si>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</si>
  <si>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</si>
  <si>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</si>
  <si>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</si>
  <si>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</si>
  <si>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</si>
  <si>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</si>
  <si>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</si>
  <si>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</si>
  <si>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</si>
  <si>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</si>
  <si>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</si>
  <si>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</si>
  <si>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</si>
  <si>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487 suspect veh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</si>
  <si>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</si>
  <si>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</si>
  <si>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</si>
  <si>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</si>
  <si>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</si>
  <si>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</si>
  <si>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</si>
  <si>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</si>
  <si>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</si>
  <si>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</si>
  <si>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</si>
  <si>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</si>
  <si>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</si>
  <si>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</si>
  <si>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</si>
  <si>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</si>
  <si>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</si>
  <si>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</si>
  <si>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</si>
  <si>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</si>
  <si>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</si>
  <si>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</si>
  <si>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</si>
  <si>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</si>
  <si>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</si>
  <si>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</si>
  <si>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Pursuit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</si>
  <si>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</si>
  <si>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</si>
  <si>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</si>
  <si>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</si>
  <si>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</si>
  <si>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</si>
  <si>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</si>
  <si>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</si>
  <si>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</si>
  <si>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</si>
  <si>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</si>
  <si>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</si>
  <si>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484 PC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</si>
  <si>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</si>
  <si>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</si>
  <si>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</si>
  <si>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</si>
  <si>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</si>
  <si>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</si>
  <si>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</si>
  <si>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</si>
  <si>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</si>
  <si>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</si>
  <si>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</si>
  <si>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</si>
  <si>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</si>
  <si>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</si>
  <si>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</si>
  <si>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</si>
  <si>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</si>
  <si>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</si>
  <si>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</si>
  <si>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</si>
  <si>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</si>
  <si>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</si>
  <si>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</si>
  <si>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</si>
  <si>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</si>
  <si>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</si>
  <si>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</si>
  <si>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</si>
  <si>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</si>
  <si>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</si>
  <si>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</si>
  <si>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</si>
  <si>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</si>
  <si>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</si>
  <si>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</si>
  <si>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</si>
  <si>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</si>
  <si>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</si>
  <si>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</si>
  <si>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</si>
  <si>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</si>
  <si>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</si>
  <si>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</si>
  <si>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</si>
  <si>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</si>
  <si>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</si>
  <si>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</si>
  <si>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</si>
  <si>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</si>
  <si>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</si>
  <si>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petty theft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</si>
  <si>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</si>
  <si>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</si>
  <si>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</si>
  <si>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</si>
  <si>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</si>
  <si>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</si>
  <si>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</si>
  <si>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</si>
  <si>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</si>
  <si>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</si>
  <si>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</si>
  <si>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</si>
  <si>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</si>
  <si>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</si>
  <si>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</si>
  <si>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</si>
  <si>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</si>
  <si>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</si>
  <si>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</si>
  <si>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</si>
  <si>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</si>
  <si>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</si>
  <si>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</si>
  <si>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</si>
  <si>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</si>
  <si>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</si>
  <si>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487 suspect vehicle from teichert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</si>
  <si>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</si>
  <si>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</si>
  <si>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</si>
  <si>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</si>
  <si>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</si>
  <si>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</si>
  <si>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</si>
  <si>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</si>
  <si>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</si>
  <si>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</si>
  <si>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</si>
  <si>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</si>
  <si>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</si>
  <si>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</si>
  <si>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</si>
  <si>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</si>
  <si>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</si>
  <si>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</si>
  <si>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</si>
  <si>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left scene damaging prop-pc section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</si>
  <si>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</si>
  <si>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</si>
  <si>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</si>
  <si>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</si>
  <si>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</si>
  <si>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273a pc</t>
  </si>
  <si>
    <t>259519d9-d541-4dc4-841b-4bbadc619078</t>
  </si>
  <si>
    <t>id suspect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</si>
  <si>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</si>
  <si>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</si>
  <si>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</si>
  <si>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</si>
  <si>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</si>
  <si>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</si>
  <si>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</si>
  <si>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</si>
  <si>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</si>
  <si>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HIT AND RUN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</si>
  <si>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</si>
  <si>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</si>
  <si>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</si>
  <si>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</si>
  <si>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</si>
  <si>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</si>
  <si>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</si>
  <si>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</si>
  <si>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</si>
  <si>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</si>
  <si>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</si>
  <si>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</si>
  <si>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</si>
  <si>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</si>
  <si>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</si>
  <si>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</si>
  <si>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</si>
  <si>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</si>
  <si>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</si>
  <si>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</si>
  <si>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</si>
  <si>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</si>
  <si>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</si>
  <si>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</si>
  <si>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</si>
  <si>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</si>
  <si>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SUSPICIOUS VEHICLE</t>
  </si>
  <si>
    <t>5baba840-e929-41a6-9ff4-3909b97868eb</t>
  </si>
  <si>
    <t>1c19aabb-85d5-4c54-8620-47cde89eca2d</t>
  </si>
  <si>
    <t>4aeb436b-eaa2-4645-b863-749013805bc5</t>
  </si>
  <si>
    <t>245pc suspect veh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</si>
  <si>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</si>
  <si>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</si>
  <si>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</si>
  <si>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</si>
  <si>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</si>
  <si>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</si>
  <si>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</si>
  <si>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</si>
  <si>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</si>
  <si>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</si>
  <si>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</si>
  <si>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</si>
  <si>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</si>
  <si>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sus search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</si>
  <si>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</si>
  <si>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</si>
  <si>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</si>
  <si>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</si>
  <si>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</si>
  <si>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</si>
  <si>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</si>
  <si>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</si>
  <si>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</si>
  <si>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</si>
  <si>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</si>
  <si>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</si>
  <si>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</si>
  <si>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WANTED SUBJ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</si>
  <si>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</si>
  <si>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</si>
  <si>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</si>
  <si>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</si>
  <si>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</si>
  <si>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</si>
  <si>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</si>
  <si>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</si>
  <si>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</si>
  <si>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</si>
  <si>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</si>
  <si>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</si>
  <si>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</si>
  <si>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</si>
  <si>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SHOOTING</t>
  </si>
  <si>
    <t>fe85277c-222e-4a34-a408-939580c73a74</t>
  </si>
  <si>
    <t>suspect girlfriend</t>
  </si>
  <si>
    <t>aaa2be68-e58b-48fa-9ee4-721203176ecd</t>
  </si>
  <si>
    <t>Suspect gf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</si>
  <si>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</si>
  <si>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</si>
  <si>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</si>
  <si>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</si>
  <si>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</si>
  <si>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245 SUSPECT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</si>
  <si>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</si>
  <si>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</si>
  <si>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</si>
  <si>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</si>
  <si>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</si>
  <si>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</si>
  <si>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</si>
  <si>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</si>
  <si>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</si>
  <si>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</si>
  <si>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</si>
  <si>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</si>
  <si>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</si>
  <si>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</si>
  <si>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91402f93-ced4-4d4e-977d-cf1b72785115</t>
  </si>
  <si>
    <t>5fc506da-08a8-4b2a-a99a-0d6c8bcdc0d4</t>
  </si>
  <si>
    <t>273.5 suspect</t>
  </si>
  <si>
    <t>7c256105-6426-44bc-91a9-285d2e77d02b</t>
  </si>
  <si>
    <t>9fc90a8e-5dab-4e24-840a-2caa21d6b43c</t>
  </si>
  <si>
    <t>bbab485b-5168-4e9d-a005-afdb5b8e905c</t>
  </si>
  <si>
    <t>84f19636-f180-4201-b55f-d4004a34f1a9</t>
  </si>
  <si>
    <t>3b42ceec-a604-4b4d-80c9-e60017e58e4f</t>
  </si>
  <si>
    <t>77bebc7e-ec9f-42a7-b8a4-ab9c3a301970</t>
  </si>
  <si>
    <t>84fea0ac-23fb-48ce-a914-f8f14a668dea</t>
  </si>
  <si>
    <t>c9b8c1a6-2623-4943-a08c-7e291945a2fb</t>
  </si>
  <si>
    <t>77e884d2-7926-48ff-b5b0-eef8e151b5bb</t>
  </si>
  <si>
    <t>6cf50b4e-5fc4-4fff-bc7f-306e0a6c4dfd</t>
  </si>
  <si>
    <t>3874a92d-3f69-452e-b190-d14c18490d0a</t>
  </si>
  <si>
    <t>7827ab10-48d7-4865-bc27-cb2058a2fe43</t>
  </si>
  <si>
    <t>c9767926-0419-4665-8cce-35842369acbc</t>
  </si>
  <si>
    <t>7fbc5937-1e68-47d7-8c9c-6e655306c327</t>
  </si>
  <si>
    <t>5e7ccae8-3f62-470e-9ce8-a6fc95616e24</t>
  </si>
  <si>
    <t>wanted warrant</t>
  </si>
  <si>
    <t>0eefe464-c849-4e6b-a1ab-3da6813f76f7</t>
  </si>
  <si>
    <t>fdc896a2-a930-4a00-b9d2-15ed689036e9</t>
  </si>
  <si>
    <t>b35b4d19-0e60-4288-82e4-2046ba9708fe</t>
  </si>
  <si>
    <t>3f017e54-3cb0-441a-92a7-86fbe49f9b98</t>
  </si>
  <si>
    <t>d0d65476-ef14-4ff6-97ae-85a7679363ea</t>
  </si>
  <si>
    <t>fa548c14-9849-40df-a92f-ca3b43e1519c</t>
  </si>
  <si>
    <t>e9035a5f-13f1-4a20-86f2-13a393da6f12</t>
  </si>
  <si>
    <t>Wire</t>
  </si>
  <si>
    <t>c7d6f957-4f2c-4de0-a9f7-37841d03258f</t>
  </si>
  <si>
    <t>354d0e26-08de-4e8c-a03b-e84ac22ff2d5</t>
  </si>
  <si>
    <t>065d5baf-ef43-4888-95d8-e7d26f89a73d</t>
  </si>
  <si>
    <t>f31631c3-950a-4d7e-acbe-e77eafa0f95f</t>
  </si>
  <si>
    <t>56014f2b-7a4e-4472-a247-6dd6570fbf42</t>
  </si>
  <si>
    <t>b0674158-d02f-43c7-ad69-9fc09efb7761</t>
  </si>
  <si>
    <t>1d0fd2b8-8916-4c81-95ea-39e1d40c91b0</t>
  </si>
  <si>
    <t>be6f9af1-18a2-4549-ab01-e8aeaa50c895</t>
  </si>
  <si>
    <t>c4a74999-6550-430a-82c4-3305f9803f51</t>
  </si>
  <si>
    <t>911572c4-167c-4703-a397-97ac5e87775b</t>
  </si>
  <si>
    <t>8d61c386-914b-4ae2-aa3a-7f26d30d9de0</t>
  </si>
  <si>
    <t>0b80bb98-9de9-4002-b4e6-fb7a4091d775</t>
  </si>
  <si>
    <t>a0576eef-999a-4c18-a956-bdb850c4bbaf</t>
  </si>
  <si>
    <t>prcs</t>
  </si>
  <si>
    <t>6d7c662c-66e1-4c01-bfb2-19576e77c4ea</t>
  </si>
  <si>
    <t>a47b8d95-5371-481d-99b3-0a3bbd5c23f0</t>
  </si>
  <si>
    <t>wanted subject-26-1571</t>
  </si>
  <si>
    <t>a92fa778-8163-4a6b-8016-9f9df028468e</t>
  </si>
  <si>
    <t>ceac6c70-23c9-47f5-a0bf-b408887c103c</t>
  </si>
  <si>
    <t>16ec07e6-5d46-447a-b621-745a3a5e9cdf</t>
  </si>
  <si>
    <t>6fc589cd-0dea-4195-8c8e-ee75266ad4a7</t>
  </si>
  <si>
    <t>398d907e-1c10-45de-8651-d1747cdbf3bb</t>
  </si>
  <si>
    <t>5773abe6-b301-4b09-8442-ffd2f99a4f08</t>
  </si>
  <si>
    <t>eb5e5fb1-af14-4319-83ec-469fa87bfd28</t>
  </si>
  <si>
    <t>3f42aec8-3e2e-4d77-ab4f-f416e696bee2</t>
  </si>
  <si>
    <t>2fe0a33e-cb3c-4cb6-ae72-ab820044d5a3</t>
  </si>
  <si>
    <t>e192fe4b-d49c-4e55-93af-dbb3024b6cb3</t>
  </si>
  <si>
    <t>c14e4d75-862d-43e6-b12f-71a3ab2c1e0a</t>
  </si>
  <si>
    <t>Locate Missing Person</t>
  </si>
  <si>
    <t>485e2896-e075-4b92-9f14-6c3abc1ec906</t>
  </si>
  <si>
    <t>b4a76e77-bc76-4b45-9122-40f02179264a</t>
  </si>
  <si>
    <t>5ab0e392-85c6-4659-b5ea-cb652c175ae1</t>
  </si>
  <si>
    <t>28a3ae19-e73c-4174-9c20-943af290a8ee</t>
  </si>
  <si>
    <t>ASSAULT</t>
  </si>
  <si>
    <t>7beb4666-f895-4599-aa8b-e5b66b165dab</t>
  </si>
  <si>
    <t>4c186e8e-ffca-4d63-86e3-b8568cc579d9</t>
  </si>
  <si>
    <t>0afb99c0-5f09-4f5e-b8a1-6fca16f02350</t>
  </si>
  <si>
    <t>18743baf-c5fd-4b97-844e-78afcc42a640</t>
  </si>
  <si>
    <t>5b2f1df9-7047-4383-963f-79e2e6d1f802</t>
  </si>
  <si>
    <t>e3b26c65-7c06-4290-aa1a-58521254f0e7</t>
  </si>
  <si>
    <t>4d139747-e887-4922-a487-1cffa0531207</t>
  </si>
  <si>
    <t>92167134-5224-458b-b122-b6e111898da7</t>
  </si>
  <si>
    <t>cdbb0725-e95f-4eb2-be17-4ef20a0046ef</t>
  </si>
  <si>
    <t>1f08977f-210b-4c93-8d42-e2a2abe9c135</t>
  </si>
  <si>
    <t>a078c06b-8716-4f89-a082-f5018a043d56</t>
  </si>
  <si>
    <t>feab3cbc-1e79-48bd-bc7a-d75f346257aa</t>
  </si>
  <si>
    <t>59791a0a-855c-4ca2-b100-be07917859db</t>
  </si>
  <si>
    <t>55c71714-8fc7-4a4d-8008-a96ab72aab0e</t>
  </si>
  <si>
    <t>7dc04f30-2bae-46f8-8985-d25776d550b5</t>
  </si>
  <si>
    <t>d00a837f-8261-4877-a151-a966342f6762</t>
  </si>
  <si>
    <t>f942afc9-3356-4821-9baa-075f47c82eea</t>
  </si>
  <si>
    <t>12170af3-3297-4dab-8606-c525b6e5d1d3</t>
  </si>
  <si>
    <t>713f3f54-8358-478e-97ca-d186045321f1</t>
  </si>
  <si>
    <t>78feb735-d621-46c5-9a59-3aa17f87591f</t>
  </si>
  <si>
    <t>8ffc78b4-45e6-4607-9e80-d8106e2a72aa</t>
  </si>
  <si>
    <t>f03b3867-9bb7-4389-9f35-e0db2ad0f750</t>
  </si>
  <si>
    <t>45f1c7cf-0dac-4d07-a75b-6c8e67a81448</t>
  </si>
  <si>
    <t>c8964ddf-a0a5-4f1d-8854-cd4bd23e373b</t>
  </si>
  <si>
    <t>warrant ramey-245 bat</t>
  </si>
  <si>
    <t>f39cc7ec-f0a7-40f7-8ce8-7024ea3cb2ce</t>
  </si>
  <si>
    <t>441a3aa8-bd47-4f81-8d5b-49f6be48f8ab</t>
  </si>
  <si>
    <t>7adf98f0-6791-4744-924f-ea812eb5567a</t>
  </si>
  <si>
    <t>0c6ee050-8058-4353-aa3d-459392d34a5a</t>
  </si>
  <si>
    <t>46c7a8e4-240a-4a0c-a334-708a670d470b</t>
  </si>
  <si>
    <t>25460517-e719-472e-9dd4-ace32b805407</t>
  </si>
  <si>
    <t>b62d22fb-dcfa-4662-82f2-95fe30ea0f65</t>
  </si>
  <si>
    <t>e9c75566-6587-43d2-9c62-9b1b3b2bcd57</t>
  </si>
  <si>
    <t>abdeac6e-8892-46ca-b174-f094b11757ec</t>
  </si>
  <si>
    <t>6789161b-c5ec-47f2-ba3c-a89a2c4e64ac</t>
  </si>
  <si>
    <t>652dfdd2-b48f-4e80-b6ad-8ea65c9d7040</t>
  </si>
  <si>
    <t>a4808896-e0d6-48c4-b07e-8ac30421e880</t>
  </si>
  <si>
    <t>4b68eb0c-6a5e-46c0-91d6-28324247a2ba</t>
  </si>
  <si>
    <t>24bbfb01-453d-4091-a031-1658f20bc619</t>
  </si>
  <si>
    <t>feae5cc9-0079-499a-83c2-3c8dc6f4d020</t>
  </si>
  <si>
    <t>38ac5bc8-b7d2-4b71-be03-a1365b5b52b7</t>
  </si>
  <si>
    <t>7c10f4c3-bc2d-40b8-a1d0-0c359901aee1</t>
  </si>
  <si>
    <t>1b9d7d8c-ad1a-40fc-912f-bed27aec9ed7</t>
  </si>
  <si>
    <t>eeae9b4a-6dcd-465e-9fe8-36b1bfaeb1d2</t>
  </si>
  <si>
    <t>3457bc82-39da-458a-a3f6-6645e484b993</t>
  </si>
  <si>
    <t>542ce6c1-0524-4e58-ad29-7c37f52e292b</t>
  </si>
  <si>
    <t>Headline KPIs</t>
  </si>
  <si>
    <t>Searches with Reason</t>
  </si>
  <si>
    <t>Blank Reason Count</t>
  </si>
  <si>
    <t>19e2cdd3-ee61-4080-886b-ed3654ea1173</t>
  </si>
  <si>
    <t>17d5d56c-2e36-4577-9177-9429004af967</t>
  </si>
  <si>
    <t>003ba2ec-0d15-4b52-aee6-a407afa2a8a4</t>
  </si>
  <si>
    <t>4fea391d-d2af-41db-a7f1-0094d9101580</t>
  </si>
  <si>
    <t>c371e252-e8f8-4565-91ac-9ef5afc2644d</t>
  </si>
  <si>
    <t>a8bd1bbf-fb50-40ba-9aa4-1492bb37a3a9</t>
  </si>
  <si>
    <t>356de267-f063-4ed6-93fc-6a9e587945eb</t>
  </si>
  <si>
    <t>41d7ed8b-4c67-4e99-b5c3-616b22739916</t>
  </si>
  <si>
    <t>ef532c3d-1785-4cb9-9593-b18ab1ee5bff</t>
  </si>
  <si>
    <t>273a(b)PC</t>
  </si>
  <si>
    <t>a5c4159f-86e9-4040-bc46-e66dc7e8354d</t>
  </si>
  <si>
    <t>4e548e3c-0bed-45d7-a640-d399fe0c3050</t>
  </si>
  <si>
    <t>1bcb5b03-0b87-478c-baf9-076654d761bd</t>
  </si>
  <si>
    <t>domestic violence susp</t>
  </si>
  <si>
    <t>b98a1185-4af1-4bb5-9d6e-4356e7723138</t>
  </si>
  <si>
    <t>905abd92-b433-443d-945c-3fe7d7fe6dd9</t>
  </si>
  <si>
    <t>a55c9a86-f4e6-4151-bc67-4242932f0d41</t>
  </si>
  <si>
    <t>e2c23722-081d-4f4b-abe4-f17c2e360fc9</t>
  </si>
  <si>
    <t>ba5e57bc-32d8-448f-9964-c57f95c33f68</t>
  </si>
  <si>
    <t>a3b3439e-dd6e-4f77-81fa-8200c8d9ff21</t>
  </si>
  <si>
    <t>b0eb6d53-7997-45b4-b1f2-0982c000124d</t>
  </si>
  <si>
    <t>61fc7184-2c58-4bcf-888d-d21d11ff04be</t>
  </si>
  <si>
    <t>a93de6b7-69e0-4b23-928f-a8847a623900</t>
  </si>
  <si>
    <t>f30ba2b6-e846-4ace-bcc2-b7d84c0aae36</t>
  </si>
  <si>
    <t>2bdeec4d-aa47-4bfd-a90a-20e165585ab3</t>
  </si>
  <si>
    <t>836b58fa-3c3c-4450-9a81-c7aaf5530ef7</t>
  </si>
  <si>
    <t>07c49b23-3299-4eca-86a1-fd9eea8daa3d</t>
  </si>
  <si>
    <t>74542c05-d906-4447-91cf-4a0d448af607</t>
  </si>
  <si>
    <t>62a16dca-1f6f-49b9-b8b1-744e5952fd8e</t>
  </si>
  <si>
    <t>8e28abe7-f0ec-4f90-bfed-c3485e226f91</t>
  </si>
  <si>
    <t>b7912ab8-d15e-4451-b990-a0c54e90b342</t>
  </si>
  <si>
    <t>86433db1-c9d6-4876-983e-00c50a4f38c6</t>
  </si>
  <si>
    <t>RECKLESS</t>
  </si>
  <si>
    <t>03be638f-4921-4a64-90f9-1b7655e339e2</t>
  </si>
  <si>
    <t>64af5e9c-a57c-4837-b885-6b2057a6c8a7</t>
  </si>
  <si>
    <t>dead0904-2c4d-4ef0-85db-3b75864a89c2</t>
  </si>
  <si>
    <t>8d06d023-f41c-4cf6-863e-10795bf04c1c</t>
  </si>
  <si>
    <t>865ff351-0922-4907-b46e-addbedab3dae</t>
  </si>
  <si>
    <t>1e43a5ab-e571-4e20-b1c8-a75e1d64ca17</t>
  </si>
  <si>
    <t>7vnh893</t>
  </si>
  <si>
    <t>e3f98439-bf00-4039-94a2-ff99cf7bc0e0</t>
  </si>
  <si>
    <t>273.5 pc suspect</t>
  </si>
  <si>
    <t>5395d1f9-f6e4-402e-a232-07f6030a978d</t>
  </si>
  <si>
    <t>ac75668f-e2ba-44f0-9b85-85674f5873fc</t>
  </si>
  <si>
    <t>68c3c80e-fb37-48b9-88d6-02b2d27482ad</t>
  </si>
  <si>
    <t>b66b2d09-6c4d-4178-bdba-e0c44e906a54</t>
  </si>
  <si>
    <t>c3f2b1a0-a160-4533-afb9-9e0d8537aaf4</t>
  </si>
  <si>
    <t>Druginvestigation</t>
  </si>
  <si>
    <t>e92b7619-0590-489e-bdff-472ddad78219</t>
  </si>
  <si>
    <t>SUTTER CO SUSPECT IN AREA</t>
  </si>
  <si>
    <t>d0530bc2-b024-45e9-96b5-ed08d4fe1a23</t>
  </si>
  <si>
    <t>c887f4e4-f60f-4132-8731-bf80a8cd3906</t>
  </si>
  <si>
    <t>11947232-0781-4b88-89d4-0669a98cd2a9</t>
  </si>
  <si>
    <t>SUTTER CO RAMEY WARRANT IN AREA</t>
  </si>
  <si>
    <t>0c5b8904-fe10-4998-b479-33e3b863f0e3</t>
  </si>
  <si>
    <t>3d635db9-e42e-43c4-8103-ef1598678aa5</t>
  </si>
  <si>
    <t>2a0723a9-65b8-4425-9640-29747664b7f4</t>
  </si>
  <si>
    <t>Warrant service</t>
  </si>
  <si>
    <t>f8345135-9554-4597-9ac9-42b88076bce6</t>
  </si>
  <si>
    <t>28c75e2c-53b1-4de0-ae65-279b533a8c0d</t>
  </si>
  <si>
    <t>594PC</t>
  </si>
  <si>
    <t>73ad0d44-d0d7-4ae8-976a-6c5e97d652a1</t>
  </si>
  <si>
    <t>594 SUSPECT</t>
  </si>
  <si>
    <t>765363ae-a855-49db-9d33-62419dc05d8d</t>
  </si>
  <si>
    <t>4530d32c-1d6d-4b20-b9a4-a293c8e1f3fc</t>
  </si>
  <si>
    <t>263e85d7-9309-4917-a1b7-a7aa3ab63193</t>
  </si>
  <si>
    <t>9593be95-879d-4bf5-afbe-fe6bc8ecb8bd</t>
  </si>
  <si>
    <t>5b207aef-b4ce-4675-9903-3a4b3ce00df8</t>
  </si>
  <si>
    <t>e60023d9-8a3b-44f3-9ed2-cc3b3a1fe829</t>
  </si>
  <si>
    <t>d248c7fd-513b-481b-85aa-c1fdd6fb5e27</t>
  </si>
  <si>
    <t>e1c5bfc8-bdc3-48d2-bf1f-d8358a8b68a0</t>
  </si>
  <si>
    <t>4abfae8a-6740-42c3-86a3-b6b93448419b</t>
  </si>
  <si>
    <t>0a658f26-bbd4-4ed9-a9f7-5af4f4590957</t>
  </si>
  <si>
    <t>d9da8e6b-601c-47cb-9af2-c49bdba35363</t>
  </si>
  <si>
    <t>d1ac4ae8-de94-4a37-a908-50e87a9375df</t>
  </si>
  <si>
    <t>BURG SUSPECT</t>
  </si>
  <si>
    <t>1c4d6303-d76e-4257-9d04-776788f79e57</t>
  </si>
  <si>
    <t>794c0a5f-e8dc-47d4-8715-beeb840e24fc</t>
  </si>
  <si>
    <t>f861e09b-1c5b-46a6-bc9f-72c879e8da61</t>
  </si>
  <si>
    <t>8f22bcae-a5f1-4e62-af86-c7db1ea14aa2</t>
  </si>
  <si>
    <t>0b904600-c49d-4a92-a014-8cea426d9dc2</t>
  </si>
  <si>
    <t>af8eec3f-95f2-4d8e-89df-9446b256f774</t>
  </si>
  <si>
    <t>67f7dcf6-3fda-45d5-90d8-02ecb19766b7</t>
  </si>
  <si>
    <t>ff77baa9-4b66-4e02-a633-5e824482bc85</t>
  </si>
  <si>
    <t>5fdc53e2-c108-4690-ae0b-b2ac02abeba9</t>
  </si>
  <si>
    <t>1e5d8573-36ba-4ec4-bf86-132ec01d861f</t>
  </si>
  <si>
    <t>7f3cfd6f-ea60-4511-8ab0-790791fb644d</t>
  </si>
  <si>
    <t>5222167e-8ff0-4b3d-b3ce-bd74122f43b0</t>
  </si>
  <si>
    <t>b0454fe2-23eb-4481-9a0d-11405ccf5c5d</t>
  </si>
  <si>
    <t>unknown reason</t>
  </si>
  <si>
    <t>181dd89e-46b6-49d0-a585-3276e65be37e</t>
  </si>
  <si>
    <t>6c823e48-f3d0-42de-ae69-4f49576dd6f5</t>
  </si>
  <si>
    <t>ad8cdbcf-0d41-468c-8c69-b7d360b371dd</t>
  </si>
  <si>
    <t>0d3cb786-05bd-4781-989f-e18175ea465c</t>
  </si>
  <si>
    <t>64a984b3-17be-4c2f-9acd-632e354d1842</t>
  </si>
  <si>
    <t>41bdbe4d-9142-4d6f-bcd1-478ac48e8084</t>
  </si>
  <si>
    <t>8f25665e-0729-4c81-b4cc-874c7b3e0ac4</t>
  </si>
  <si>
    <t>725112d0-9128-4a7d-96de-8569292e7ace</t>
  </si>
  <si>
    <t>6d7c7216-fd62-4987-a40a-097fe051cb52</t>
  </si>
  <si>
    <t>9fdc949b-897b-4e55-ba0e-5fdab6f81206</t>
  </si>
  <si>
    <t>80230dc5-e88f-4889-8170-03e9878c09ef</t>
  </si>
  <si>
    <t>fba8bb62-ede5-4a23-ad8b-bc80c49abec1</t>
  </si>
  <si>
    <t>c48db57d-2f9c-443d-9f16-dde47cbde301</t>
  </si>
  <si>
    <t>d21ec3d2-c5a0-423d-be4d-cfaddaaf2b9c</t>
  </si>
  <si>
    <t>1384c3c8-7aea-414d-b677-518bfd44acc3</t>
  </si>
  <si>
    <t>323a7e84-8b1d-4715-b938-702dad56fa29</t>
  </si>
  <si>
    <t>c03e21c5-2088-40d9-b5f5-d3780e705d9e</t>
  </si>
  <si>
    <t>susp vehicle</t>
  </si>
  <si>
    <t>50ee9e10-5384-4f02-8b9b-ba9a6eadd5e3</t>
  </si>
  <si>
    <t>2543017b-2cda-4aa7-a925-ffa214cb9f62</t>
  </si>
  <si>
    <t>warrant-associated vehicle drive all time</t>
  </si>
  <si>
    <t>9ff9818a-a2d1-4ce3-93ad-42b1e2db8a61</t>
  </si>
  <si>
    <t>de043f04-077b-45c8-9b9f-253e64c6e0fc</t>
  </si>
  <si>
    <t>166(a)(4)PC suspect</t>
  </si>
  <si>
    <t>f407607c-3d19-45b8-9dc7-ee9117d0ec54</t>
  </si>
  <si>
    <t>6f0cd025-2cf8-429f-9407-bd23d67395f6</t>
  </si>
  <si>
    <t>11973c7c-84bd-4eca-a318-cefbdfe615fd</t>
  </si>
  <si>
    <t>0116dd6f-6eef-4ee9-8f7f-6dbb67d7f85d</t>
  </si>
  <si>
    <t>f25538f0-28c5-44cb-bfdf-9870bfeb3d7b</t>
  </si>
  <si>
    <t>6ee93118-c39a-445f-95d5-299c4e7876af</t>
  </si>
  <si>
    <t>7d08c80d-4ddd-448a-b5c9-d6f591de2249</t>
  </si>
  <si>
    <t>e52ed9d6-41e8-4268-9f03-33470263f31d</t>
  </si>
  <si>
    <t>6084edc8-8fbd-4266-9dd4-65ab06653426</t>
  </si>
  <si>
    <t>warrant suspect daily use veh</t>
  </si>
  <si>
    <t>f4bd99c5-4c56-415b-a3c9-eba4c4539bea</t>
  </si>
  <si>
    <t>6eb42081-eff4-4a80-8b94-a9addbd6cdef</t>
  </si>
  <si>
    <t>426b2c87-157e-49b2-a2a7-9d81de15e6c3</t>
  </si>
  <si>
    <t>cd760a5e-0338-436c-a3c5-e172d1af70f3</t>
  </si>
  <si>
    <t>veh associated to res for warrant suspect-rocole</t>
  </si>
  <si>
    <t>f55c3eb9-4fe9-4b4c-8998-d60d335431d1</t>
  </si>
  <si>
    <t>Has Reason Total</t>
  </si>
  <si>
    <t>Blank Reason Total</t>
  </si>
  <si>
    <t>Avg % Blank Reason</t>
  </si>
  <si>
    <t>Searches by Hour Chart</t>
  </si>
  <si>
    <t>Reason Pie Chart</t>
  </si>
  <si>
    <t>Late Night Searches (10pm-5am)</t>
  </si>
  <si>
    <t>Late Night % of Total</t>
  </si>
  <si>
    <t>Late Night Blank %</t>
  </si>
  <si>
    <t>Blank Reason % by Hour</t>
  </si>
  <si>
    <t>8712bbe5-4c45-4b38-9f21-de01eb855fc6</t>
  </si>
  <si>
    <t>109a2b21-f9a3-4687-81f0-56e91f666740</t>
  </si>
  <si>
    <t>5275d740-4e6c-4fed-bb67-2f7304ad78c3</t>
  </si>
  <si>
    <t>c8e8cf27-a826-4699-9c8b-0f3e4a593955</t>
  </si>
  <si>
    <t>1c399ccd-bbe8-41f6-b759-e575e10f3319</t>
  </si>
  <si>
    <t>73db1b34-f811-4309-972b-919528b50bcd</t>
  </si>
  <si>
    <t>c8d2457d-8cf7-46d6-ae17-350a7449205a</t>
  </si>
  <si>
    <t>871d27e3-2bcf-4d79-a095-5bb86fe53544</t>
  </si>
  <si>
    <t>7f9c6833-91f3-4af2-9d6b-b61814f078ad</t>
  </si>
  <si>
    <t>0251d794-6e32-43c9-ad4f-83d2f7b0b9ba</t>
  </si>
  <si>
    <t>6d7438fa-1d52-4e68-92af-4450478b1279</t>
  </si>
  <si>
    <t>10a6f8da-ab14-40d5-b5c7-aacea0d605ef</t>
  </si>
  <si>
    <t>0e5beb4b-4c9e-4268-8f51-88a1f1a5b3ca</t>
  </si>
  <si>
    <t>ce8d7de5-0dbb-4b8f-8bc3-622c1b5e409f</t>
  </si>
  <si>
    <t>e16a73aa-f5ad-4c26-9627-a0d7a935e23e</t>
  </si>
  <si>
    <t>631eb5f6-2533-4b43-b307-248069c4f9ce</t>
  </si>
  <si>
    <t>a1f7070b-c184-49bd-8db9-2fdc4d369d0c</t>
  </si>
  <si>
    <t>70af97a7-2433-401e-a1fa-35248d847ebd</t>
  </si>
  <si>
    <t>1eea6294-37c4-4f9c-bd84-5d8ba105bd5d</t>
  </si>
  <si>
    <t>Hit and Run with injury, Ramey</t>
  </si>
  <si>
    <t>dfd51eff-8452-4506-91a7-9d9dbd37f3a8</t>
  </si>
  <si>
    <t>114bf0e6-64dc-4267-9e41-b73dd5897895</t>
  </si>
  <si>
    <t>Sus loc</t>
  </si>
  <si>
    <t>2dbf89c1-0574-4aab-bd86-44c1490c5e99</t>
  </si>
  <si>
    <t>873f048c-8dc5-46b7-a499-7757efbb4a87</t>
  </si>
  <si>
    <t>3d258da0-1a71-485f-9655-cfa3e94fe4bb</t>
  </si>
  <si>
    <t>person of interest</t>
  </si>
  <si>
    <t>847b4389-b9a4-46ff-b42f-567967637f60</t>
  </si>
  <si>
    <t>792220d8-b614-4bb9-bfa8-57264c9c8697</t>
  </si>
  <si>
    <t>bfe429ba-0d65-4a9a-b6f0-00f61126dde0</t>
  </si>
  <si>
    <t>726df8c2-d606-4cfd-ac24-c9324eeb8894</t>
  </si>
  <si>
    <t>014a21d1-0336-48aa-a912-5470cc1e2b9e</t>
  </si>
  <si>
    <t>5bf3a94d-e6c2-4d8a-82f2-e06dbb594f92</t>
  </si>
  <si>
    <t>052500e2-e9d8-4a1b-a004-0e6fa3f1ef7d</t>
  </si>
  <si>
    <t>dvsuspec</t>
  </si>
  <si>
    <t>6bee6a9e-64e0-4dcb-8803-b353b38670cb</t>
  </si>
  <si>
    <t>3974d695-e66e-45d1-a30b-a0ef6c55ee5b</t>
  </si>
  <si>
    <t>Sus Loc</t>
  </si>
  <si>
    <t>0e4451dc-4807-4b6f-bcec-dcb6000fcd4f</t>
  </si>
  <si>
    <t>f6ccfd61-9483-4b6f-b264-b1eef3a59a1d</t>
  </si>
  <si>
    <t>93e17d96-fa82-49d3-8699-decd746a1d18</t>
  </si>
  <si>
    <t>5033a0b2-dce3-4201-a4af-5b889cda6a29</t>
  </si>
  <si>
    <t>8aebced5-8974-47b1-aab8-6e78661910f0</t>
  </si>
  <si>
    <t>343bacf2-9c14-4945-87d9-6775f5c752b4</t>
  </si>
  <si>
    <t>a0970a25-d756-43eb-a41f-2e5f206b127e</t>
  </si>
  <si>
    <t>e7ac8d02-043a-4531-b22c-eb613736c63d</t>
  </si>
  <si>
    <t>aa7d15fb-cbfd-4eea-9ff2-6773c365d018</t>
  </si>
  <si>
    <t>00c1c237-1ea0-4f83-9ae1-2fb3b6d893c0</t>
  </si>
  <si>
    <t>03e4c2eb-6b81-463d-87d9-437de04ae76b</t>
  </si>
  <si>
    <t>d1c68551-8cdc-4dbf-907d-5103ca38b1c2</t>
  </si>
  <si>
    <t>d8cdc5ba-bacb-4b78-ab74-66d8f8c29b7c</t>
  </si>
  <si>
    <t>d7e186cf-5b96-4040-94e0-a83a7d9ffabf</t>
  </si>
  <si>
    <t>fbd3a757-501b-429d-8ae9-d95791614097</t>
  </si>
  <si>
    <t>b554c49c-2a18-43fb-b64c-baf3b40ae92f</t>
  </si>
  <si>
    <t>cf5803fa-f50b-479d-a38f-310661b15e8c</t>
  </si>
  <si>
    <t>8fe4885e-af5e-4e14-85dc-e920be2f4061</t>
  </si>
  <si>
    <t>b9cc4dd5-6df9-451d-80ec-997796355531</t>
  </si>
  <si>
    <t>Sus id</t>
  </si>
  <si>
    <t>3dca0935-8076-4f02-9279-1ff945fd7372</t>
  </si>
  <si>
    <t>fc376f8f-bfbc-431e-b7c1-1180fdd8c8c8</t>
  </si>
  <si>
    <t>09343d92-3a5d-40d7-9f19-ac162c58235c</t>
  </si>
  <si>
    <t>9e876c16-6524-4a82-ba36-3addeb08cd31</t>
  </si>
  <si>
    <t>0fb8a458-ad35-4bed-b787-0d7fa7693e11</t>
  </si>
  <si>
    <t>d744c955-9b96-41eb-8842-dc7446256ca6</t>
  </si>
  <si>
    <t>5adaaf0d-ba37-4af2-930d-acd029b8a2cb</t>
  </si>
  <si>
    <t>754706dd-87aa-4ec7-9ccd-81a86c486866</t>
  </si>
  <si>
    <t>ac754e3b-26e7-406f-8b47-3b859431cd77</t>
  </si>
  <si>
    <t>c79dd00d-c90b-434e-9298-afc8197c59f4</t>
  </si>
  <si>
    <t>06022c38-6f6f-4aeb-a54e-208942321b87</t>
  </si>
  <si>
    <t>bc720d86-9f3e-46d8-847b-fb06c7173185</t>
  </si>
  <si>
    <t>ebe88556-1a1b-4eb1-afb5-cb452b20df6c</t>
  </si>
  <si>
    <t>273a PC</t>
  </si>
  <si>
    <t>06adc5c5-0495-42fa-9825-731856d9e95e</t>
  </si>
  <si>
    <t>a253f780-dd08-4f8a-b020-12e4ecb662fc</t>
  </si>
  <si>
    <t>8ed251a9-c983-4923-b85e-266cc8e480f7</t>
  </si>
  <si>
    <t>718a527c-b76b-4e3d-8eba-b2495661c313</t>
  </si>
  <si>
    <t>378cc9e6-fac5-4d2f-a70e-b800dc709b72</t>
  </si>
  <si>
    <t>0b11963a-db53-4800-94b2-81078735de42</t>
  </si>
  <si>
    <t>2201b1ae-a6ae-4503-b15f-b97ee03f607b</t>
  </si>
  <si>
    <t>e3f2a639-3780-4cf5-b4ea-348e870b0b8c</t>
  </si>
  <si>
    <t>46ea695e-ba4c-4922-974d-5d340ad03336</t>
  </si>
  <si>
    <t>b2fd6069-15ca-4722-9442-591a7ffd1c1b</t>
  </si>
  <si>
    <t>0bc30fba-a9ef-4c35-b4cd-83119297def1</t>
  </si>
  <si>
    <t>2538de59-7994-4cab-b9bf-511eec13abe8</t>
  </si>
  <si>
    <t>273a pc suspect</t>
  </si>
  <si>
    <t>7817d266-57c1-4b01-8852-62bc5b2567a5</t>
  </si>
  <si>
    <t>60f4b66a-72e0-43cd-adb9-3bc3f3fb1418</t>
  </si>
  <si>
    <t>77f603a1-75fd-4f4f-af0d-9061928a59e0</t>
  </si>
  <si>
    <t>feb1368c-d154-4b5c-a9e8-f62e11440454</t>
  </si>
  <si>
    <t>7047cb9a-33d3-458d-9aea-4fcd2baff485</t>
  </si>
  <si>
    <t>006e28c2-f5e5-45b4-a224-b2edc99f789f</t>
  </si>
  <si>
    <t>92bed27e-d2f3-4d16-b4f9-3809389c4a9c</t>
  </si>
  <si>
    <t>cf91bd05-fee8-4f30-9d8a-72323493c92a</t>
  </si>
  <si>
    <t>0e2b18c8-93f4-4769-907c-3d1061b0aac0</t>
  </si>
  <si>
    <t>4725fd0f-e25e-43df-bf1b-de3be9a100a5</t>
  </si>
  <si>
    <t>997b492a-4be0-4ec1-90b1-1eda0651ae23</t>
  </si>
  <si>
    <t>0a8f3726-e199-4a09-921f-21eefbb0c577</t>
  </si>
  <si>
    <t>dc0531ca-fd7e-41da-9d5c-d4819aec1ef3</t>
  </si>
  <si>
    <t>R7-25-0008</t>
  </si>
  <si>
    <t>debccfb3-c47c-43c7-b86f-d5a4d664d7b0</t>
  </si>
  <si>
    <t>e477bdb4-c219-4344-b800-6d34ec9d3e69</t>
  </si>
  <si>
    <t>bf9cd93f-ab61-46e0-9d80-82c9b5e65aee</t>
  </si>
  <si>
    <t>a8654b2e-07e3-4da5-a3a4-8552b7269ea3</t>
  </si>
  <si>
    <t>6d1ceeef-1744-4c23-a868-cf05bc91faf3</t>
  </si>
  <si>
    <t>0a433e65-2e5b-41b4-baa5-70660fc66db5</t>
  </si>
  <si>
    <t>057f5d06-f3a8-492c-aed7-6329ee558d98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</si>
</sst>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9" fontId="5" fillId="0" borderId="0" xfId="1" applyFont="1"/>
    <xf numFmtId="0" fontId="8" fillId="0" borderId="0" xfId="0" applyFont="1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73</c:v>
                </c:pt>
                <c:pt idx="1">
                  <c:v>108</c:v>
                </c:pt>
                <c:pt idx="2">
                  <c:v>130</c:v>
                </c:pt>
                <c:pt idx="3">
                  <c:v>152</c:v>
                </c:pt>
                <c:pt idx="4">
                  <c:v>157</c:v>
                </c:pt>
                <c:pt idx="5">
                  <c:v>117</c:v>
                </c:pt>
                <c:pt idx="6">
                  <c:v>118</c:v>
                </c:pt>
                <c:pt idx="7">
                  <c:v>147</c:v>
                </c:pt>
                <c:pt idx="8">
                  <c:v>133</c:v>
                </c:pt>
                <c:pt idx="9">
                  <c:v>108</c:v>
                </c:pt>
                <c:pt idx="10">
                  <c:v>117</c:v>
                </c:pt>
                <c:pt idx="11">
                  <c:v>69</c:v>
                </c:pt>
                <c:pt idx="12">
                  <c:v>78</c:v>
                </c:pt>
                <c:pt idx="13">
                  <c:v>79</c:v>
                </c:pt>
                <c:pt idx="14">
                  <c:v>84</c:v>
                </c:pt>
                <c:pt idx="15">
                  <c:v>72</c:v>
                </c:pt>
                <c:pt idx="16">
                  <c:v>43</c:v>
                </c:pt>
                <c:pt idx="17">
                  <c:v>38</c:v>
                </c:pt>
                <c:pt idx="18">
                  <c:v>31</c:v>
                </c:pt>
                <c:pt idx="19">
                  <c:v>24</c:v>
                </c:pt>
                <c:pt idx="20">
                  <c:v>24</c:v>
                </c:pt>
                <c:pt idx="21">
                  <c:v>17</c:v>
                </c:pt>
                <c:pt idx="22">
                  <c:v>22</c:v>
                </c:pt>
                <c:pt idx="2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28-2C44-B48F-624CC8253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Total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72859775506785"/>
          <c:y val="6.7043954688431565E-2"/>
          <c:w val="0.56120567375886521"/>
          <c:h val="0.72312010443864227"/>
        </c:manualLayout>
      </c:layout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68-CA41-96C8-1E5171216F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68-CA41-96C8-1E5171216F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68-CA41-96C8-1E5171216F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468-CA41-96C8-1E5171216F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468-CA41-96C8-1E5171216FC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468-CA41-96C8-1E5171216FC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468-CA41-96C8-1E5171216FC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468-CA41-96C8-1E5171216FC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468-CA41-96C8-1E5171216FC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468-CA41-96C8-1E5171216FC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468-CA41-96C8-1E5171216FC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468-CA41-96C8-1E5171216FC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468-CA41-96C8-1E5171216FC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468-CA41-96C8-1E5171216FC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468-CA41-96C8-1E5171216FC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468-CA41-96C8-1E5171216FC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468-CA41-96C8-1E5171216FC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468-CA41-96C8-1E5171216FC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468-CA41-96C8-1E5171216FC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468-CA41-96C8-1E5171216FC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468-CA41-96C8-1E5171216FC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468-CA41-96C8-1E5171216FC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468-CA41-96C8-1E5171216FC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468-CA41-96C8-1E5171216FCA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468-CA41-96C8-1E5171216FCA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468-CA41-96C8-1E5171216FCA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468-CA41-96C8-1E5171216FCA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468-CA41-96C8-1E5171216FCA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468-CA41-96C8-1E5171216FCA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468-CA41-96C8-1E5171216FCA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468-CA41-96C8-1E5171216FCA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468-CA41-96C8-1E5171216FCA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468-CA41-96C8-1E5171216FCA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468-CA41-96C8-1E5171216FCA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468-CA41-96C8-1E5171216FCA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468-CA41-96C8-1E5171216FCA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468-CA41-96C8-1E5171216FCA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468-CA41-96C8-1E5171216FCA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468-CA41-96C8-1E5171216FCA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468-CA41-96C8-1E5171216FCA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468-CA41-96C8-1E5171216FCA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468-CA41-96C8-1E5171216FCA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468-CA41-96C8-1E5171216FCA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468-CA41-96C8-1E5171216FCA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468-CA41-96C8-1E5171216FCA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468-CA41-96C8-1E5171216FCA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468-CA41-96C8-1E5171216FCA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468-CA41-96C8-1E5171216FCA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468-CA41-96C8-1E5171216FCA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468-CA41-96C8-1E5171216FCA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468-CA41-96C8-1E5171216FCA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468-CA41-96C8-1E5171216FCA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468-CA41-96C8-1E5171216FCA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468-CA41-96C8-1E5171216FCA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468-CA41-96C8-1E5171216FCA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468-CA41-96C8-1E5171216FCA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468-CA41-96C8-1E5171216FCA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468-CA41-96C8-1E5171216FCA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468-CA41-96C8-1E5171216FCA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468-CA41-96C8-1E5171216FCA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468-CA41-96C8-1E5171216FCA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468-CA41-96C8-1E5171216FCA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468-CA41-96C8-1E5171216FCA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468-CA41-96C8-1E5171216FCA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468-CA41-96C8-1E5171216FCA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468-CA41-96C8-1E5171216FCA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468-CA41-96C8-1E5171216FCA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468-CA41-96C8-1E5171216FCA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468-CA41-96C8-1E5171216FCA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468-CA41-96C8-1E5171216FCA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468-CA41-96C8-1E5171216FCA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468-CA41-96C8-1E5171216FCA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468-CA41-96C8-1E5171216FCA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468-CA41-96C8-1E5171216FCA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468-CA41-96C8-1E5171216FCA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468-CA41-96C8-1E5171216FCA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468-CA41-96C8-1E5171216FCA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468-CA41-96C8-1E5171216FCA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468-CA41-96C8-1E5171216FCA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468-CA41-96C8-1E5171216FCA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468-CA41-96C8-1E5171216FCA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468-CA41-96C8-1E5171216FCA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468-CA41-96C8-1E5171216FCA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468-CA41-96C8-1E5171216FCA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468-CA41-96C8-1E5171216FCA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468-CA41-96C8-1E5171216FCA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468-CA41-96C8-1E5171216FCA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468-CA41-96C8-1E5171216FCA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468-CA41-96C8-1E5171216FCA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468-CA41-96C8-1E5171216FCA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468-CA41-96C8-1E5171216FCA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468-CA41-96C8-1E5171216FCA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468-CA41-96C8-1E5171216FCA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468-CA41-96C8-1E5171216FCA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468-CA41-96C8-1E5171216FCA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468-CA41-96C8-1E5171216FCA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468-CA41-96C8-1E5171216FCA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468-CA41-96C8-1E5171216FCA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468-CA41-96C8-1E5171216FCA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468-CA41-96C8-1E5171216FCA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0468-CA41-96C8-1E5171216FCA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468-CA41-96C8-1E5171216FCA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468-CA41-96C8-1E5171216FCA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468-CA41-96C8-1E5171216FCA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468-CA41-96C8-1E5171216FCA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468-CA41-96C8-1E5171216FCA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468-CA41-96C8-1E5171216FCA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468-CA41-96C8-1E5171216FCA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468-CA41-96C8-1E5171216FCA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468-CA41-96C8-1E5171216FCA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468-CA41-96C8-1E5171216FCA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468-CA41-96C8-1E5171216FCA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468-CA41-96C8-1E5171216FCA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468-CA41-96C8-1E5171216FCA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468-CA41-96C8-1E5171216FCA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468-CA41-96C8-1E5171216FCA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468-CA41-96C8-1E5171216FCA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468-CA41-96C8-1E5171216FCA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468-CA41-96C8-1E5171216FCA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468-CA41-96C8-1E5171216FCA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468-CA41-96C8-1E5171216FCA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468-CA41-96C8-1E5171216FCA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468-CA41-96C8-1E5171216FCA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468-CA41-96C8-1E5171216FCA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468-CA41-96C8-1E5171216FCA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468-CA41-96C8-1E5171216FCA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468-CA41-96C8-1E5171216FCA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468-CA41-96C8-1E5171216FCA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468-CA41-96C8-1E5171216FCA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468-CA41-96C8-1E5171216FCA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468-CA41-96C8-1E5171216FCA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468-CA41-96C8-1E5171216FCA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468-CA41-96C8-1E5171216FCA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468-CA41-96C8-1E5171216FCA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468-CA41-96C8-1E5171216FCA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468-CA41-96C8-1E5171216FCA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468-CA41-96C8-1E5171216FCA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468-CA41-96C8-1E5171216FCA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468-CA41-96C8-1E5171216FC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468-CA41-96C8-1E5171216FC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468-CA41-96C8-1E5171216FC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468-CA41-96C8-1E5171216FC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468-CA41-96C8-1E5171216FCA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468-CA41-96C8-1E5171216FCA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468-CA41-96C8-1E5171216FCA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468-CA41-96C8-1E5171216FCA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468-CA41-96C8-1E5171216FCA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468-CA41-96C8-1E5171216FCA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468-CA41-96C8-1E5171216FCA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468-CA41-96C8-1E5171216FCA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468-CA41-96C8-1E5171216FCA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468-CA41-96C8-1E5171216FCA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468-CA41-96C8-1E5171216FCA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468-CA41-96C8-1E5171216FCA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468-CA41-96C8-1E5171216FCA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468-CA41-96C8-1E5171216FCA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468-CA41-96C8-1E5171216FCA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468-CA41-96C8-1E5171216FCA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468-CA41-96C8-1E5171216FCA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468-CA41-96C8-1E5171216FCA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468-CA41-96C8-1E5171216FCA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468-CA41-96C8-1E5171216FCA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468-CA41-96C8-1E5171216FCA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468-CA41-96C8-1E5171216FCA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468-CA41-96C8-1E5171216FCA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468-CA41-96C8-1E5171216FCA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468-CA41-96C8-1E5171216FCA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468-CA41-96C8-1E5171216FCA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468-CA41-96C8-1E5171216FCA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468-CA41-96C8-1E5171216FCA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468-CA41-96C8-1E5171216FCA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468-CA41-96C8-1E5171216FCA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468-CA41-96C8-1E5171216FCA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468-CA41-96C8-1E5171216FCA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468-CA41-96C8-1E5171216FCA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468-CA41-96C8-1E5171216FCA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468-CA41-96C8-1E5171216FCA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468-CA41-96C8-1E5171216FCA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468-CA41-96C8-1E5171216FCA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468-CA41-96C8-1E5171216FCA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468-CA41-96C8-1E5171216FCA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468-CA41-96C8-1E5171216FCA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468-CA41-96C8-1E5171216FCA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468-CA41-96C8-1E5171216FCA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468-CA41-96C8-1E5171216FCA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468-CA41-96C8-1E5171216FCA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468-CA41-96C8-1E5171216FCA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468-CA41-96C8-1E5171216FCA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468-CA41-96C8-1E5171216FCA}"/>
              </c:ext>
            </c:extLst>
          </c:dPt>
          <c:dPt>
            <c:idx val="18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'Reason Graph'!$A$4:$A$197</c:f>
              <c:strCache>
                <c:ptCount val="194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  <c:pt idx="163">
                  <c:v>273.5 suspect</c:v>
                </c:pt>
                <c:pt idx="164">
                  <c:v>wanted warrant</c:v>
                </c:pt>
                <c:pt idx="165">
                  <c:v>Wire</c:v>
                </c:pt>
                <c:pt idx="166">
                  <c:v>prcs</c:v>
                </c:pt>
                <c:pt idx="167">
                  <c:v>wanted subject-26-1571</c:v>
                </c:pt>
                <c:pt idx="168">
                  <c:v>Locate Missing Person</c:v>
                </c:pt>
                <c:pt idx="169">
                  <c:v>ASSAULT</c:v>
                </c:pt>
                <c:pt idx="170">
                  <c:v>warrant ramey-245 bat</c:v>
                </c:pt>
                <c:pt idx="171">
                  <c:v>273a(b)PC</c:v>
                </c:pt>
                <c:pt idx="172">
                  <c:v>domestic violence susp</c:v>
                </c:pt>
                <c:pt idx="173">
                  <c:v>RECKLESS</c:v>
                </c:pt>
                <c:pt idx="174">
                  <c:v>7vnh893</c:v>
                </c:pt>
                <c:pt idx="175">
                  <c:v>273.5 pc suspect</c:v>
                </c:pt>
                <c:pt idx="176">
                  <c:v>Druginvestigation</c:v>
                </c:pt>
                <c:pt idx="177">
                  <c:v>SUTTER CO SUSPECT IN AREA</c:v>
                </c:pt>
                <c:pt idx="178">
                  <c:v>SUTTER CO RAMEY WARRANT IN AREA</c:v>
                </c:pt>
                <c:pt idx="179">
                  <c:v>Warrant service</c:v>
                </c:pt>
                <c:pt idx="180">
                  <c:v>594PC</c:v>
                </c:pt>
                <c:pt idx="181">
                  <c:v>594 SUSPECT</c:v>
                </c:pt>
                <c:pt idx="182">
                  <c:v>BURG SUSPECT</c:v>
                </c:pt>
                <c:pt idx="183">
                  <c:v>unknown reason</c:v>
                </c:pt>
                <c:pt idx="184">
                  <c:v>susp vehicle</c:v>
                </c:pt>
                <c:pt idx="185">
                  <c:v>warrant-associated vehicle drive all time</c:v>
                </c:pt>
                <c:pt idx="186">
                  <c:v>166(a)(4)PC suspect</c:v>
                </c:pt>
                <c:pt idx="187">
                  <c:v>warrant suspect daily use veh</c:v>
                </c:pt>
                <c:pt idx="188">
                  <c:v>veh associated to res for warrant suspect-rocole</c:v>
                </c:pt>
                <c:pt idx="189">
                  <c:v>Hit and Run with injury, Ramey</c:v>
                </c:pt>
                <c:pt idx="190">
                  <c:v>person of interest</c:v>
                </c:pt>
                <c:pt idx="191">
                  <c:v>dvsuspec</c:v>
                </c:pt>
                <c:pt idx="192">
                  <c:v>273a pc suspect</c:v>
                </c:pt>
                <c:pt idx="193">
                  <c:v>R7-25-0008</c:v>
                </c:pt>
              </c:strCache>
            </c:strRef>
          </c:cat>
          <c:val>
            <c:numRef>
              <c:f>'Reason Graph'!$B$4:$B$197</c:f>
              <c:numCache>
                <c:formatCode>General</c:formatCode>
                <c:ptCount val="194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16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115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8</c:v>
                </c:pt>
                <c:pt idx="57">
                  <c:v>1</c:v>
                </c:pt>
                <c:pt idx="58">
                  <c:v>2</c:v>
                </c:pt>
                <c:pt idx="59">
                  <c:v>19</c:v>
                </c:pt>
                <c:pt idx="60">
                  <c:v>6</c:v>
                </c:pt>
                <c:pt idx="61">
                  <c:v>4</c:v>
                </c:pt>
                <c:pt idx="62">
                  <c:v>8</c:v>
                </c:pt>
                <c:pt idx="63">
                  <c:v>1</c:v>
                </c:pt>
                <c:pt idx="64">
                  <c:v>3</c:v>
                </c:pt>
                <c:pt idx="65">
                  <c:v>64</c:v>
                </c:pt>
                <c:pt idx="66">
                  <c:v>108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68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12</c:v>
                </c:pt>
                <c:pt idx="83">
                  <c:v>1</c:v>
                </c:pt>
                <c:pt idx="84">
                  <c:v>11</c:v>
                </c:pt>
                <c:pt idx="85">
                  <c:v>4</c:v>
                </c:pt>
                <c:pt idx="86">
                  <c:v>50</c:v>
                </c:pt>
                <c:pt idx="87">
                  <c:v>1127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10</c:v>
                </c:pt>
                <c:pt idx="110">
                  <c:v>1</c:v>
                </c:pt>
                <c:pt idx="111">
                  <c:v>6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3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4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2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1</c:v>
                </c:pt>
                <c:pt idx="164">
                  <c:v>3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2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3</c:v>
                </c:pt>
                <c:pt idx="182">
                  <c:v>1</c:v>
                </c:pt>
                <c:pt idx="183">
                  <c:v>1</c:v>
                </c:pt>
                <c:pt idx="184">
                  <c:v>2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2</c:v>
                </c:pt>
                <c:pt idx="192">
                  <c:v>2</c:v>
                </c:pt>
                <c:pt idx="19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7A-0468-CA41-96C8-1E5171216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47</c:v>
                </c:pt>
                <c:pt idx="1">
                  <c:v>37</c:v>
                </c:pt>
                <c:pt idx="2">
                  <c:v>53</c:v>
                </c:pt>
                <c:pt idx="3">
                  <c:v>10</c:v>
                </c:pt>
                <c:pt idx="4">
                  <c:v>32</c:v>
                </c:pt>
                <c:pt idx="5">
                  <c:v>7</c:v>
                </c:pt>
                <c:pt idx="6">
                  <c:v>24</c:v>
                </c:pt>
                <c:pt idx="7">
                  <c:v>29</c:v>
                </c:pt>
                <c:pt idx="8">
                  <c:v>61</c:v>
                </c:pt>
                <c:pt idx="9">
                  <c:v>46</c:v>
                </c:pt>
                <c:pt idx="10">
                  <c:v>66</c:v>
                </c:pt>
                <c:pt idx="11">
                  <c:v>35</c:v>
                </c:pt>
                <c:pt idx="12">
                  <c:v>63</c:v>
                </c:pt>
                <c:pt idx="13">
                  <c:v>22</c:v>
                </c:pt>
                <c:pt idx="14">
                  <c:v>42</c:v>
                </c:pt>
                <c:pt idx="15">
                  <c:v>20</c:v>
                </c:pt>
                <c:pt idx="16">
                  <c:v>46</c:v>
                </c:pt>
                <c:pt idx="17">
                  <c:v>12</c:v>
                </c:pt>
                <c:pt idx="18">
                  <c:v>68</c:v>
                </c:pt>
                <c:pt idx="19">
                  <c:v>9</c:v>
                </c:pt>
                <c:pt idx="20">
                  <c:v>59</c:v>
                </c:pt>
                <c:pt idx="21">
                  <c:v>7</c:v>
                </c:pt>
                <c:pt idx="22">
                  <c:v>51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95-8647-B875-EF5C78D75DA1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61</c:v>
                </c:pt>
                <c:pt idx="1">
                  <c:v>42</c:v>
                </c:pt>
                <c:pt idx="2">
                  <c:v>64</c:v>
                </c:pt>
                <c:pt idx="3">
                  <c:v>12</c:v>
                </c:pt>
                <c:pt idx="4">
                  <c:v>37</c:v>
                </c:pt>
                <c:pt idx="5">
                  <c:v>30</c:v>
                </c:pt>
                <c:pt idx="6">
                  <c:v>49</c:v>
                </c:pt>
                <c:pt idx="7">
                  <c:v>49</c:v>
                </c:pt>
                <c:pt idx="8">
                  <c:v>69</c:v>
                </c:pt>
                <c:pt idx="9">
                  <c:v>38</c:v>
                </c:pt>
                <c:pt idx="10">
                  <c:v>86</c:v>
                </c:pt>
                <c:pt idx="11">
                  <c:v>37</c:v>
                </c:pt>
                <c:pt idx="12">
                  <c:v>94</c:v>
                </c:pt>
                <c:pt idx="13">
                  <c:v>21</c:v>
                </c:pt>
                <c:pt idx="14">
                  <c:v>75</c:v>
                </c:pt>
                <c:pt idx="15">
                  <c:v>18</c:v>
                </c:pt>
                <c:pt idx="16">
                  <c:v>72</c:v>
                </c:pt>
                <c:pt idx="17">
                  <c:v>19</c:v>
                </c:pt>
                <c:pt idx="18">
                  <c:v>79</c:v>
                </c:pt>
                <c:pt idx="19">
                  <c:v>15</c:v>
                </c:pt>
                <c:pt idx="20">
                  <c:v>74</c:v>
                </c:pt>
                <c:pt idx="21">
                  <c:v>17</c:v>
                </c:pt>
                <c:pt idx="22">
                  <c:v>57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95-8647-B875-EF5C78D75DA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75283647"/>
        <c:axId val="150600159"/>
      </c:line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06-8240-9BE6-AD7A81A8D0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06-8240-9BE6-AD7A81A8D0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06-8240-9BE6-AD7A81A8D0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06-8240-9BE6-AD7A81A8D0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06-8240-9BE6-AD7A81A8D0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06-8240-9BE6-AD7A81A8D0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06-8240-9BE6-AD7A81A8D0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06-8240-9BE6-AD7A81A8D0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06-8240-9BE6-AD7A81A8D0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06-8240-9BE6-AD7A81A8D0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06-8240-9BE6-AD7A81A8D0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606-8240-9BE6-AD7A81A8D0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606-8240-9BE6-AD7A81A8D0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606-8240-9BE6-AD7A81A8D0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606-8240-9BE6-AD7A81A8D0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606-8240-9BE6-AD7A81A8D0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606-8240-9BE6-AD7A81A8D09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606-8240-9BE6-AD7A81A8D09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606-8240-9BE6-AD7A81A8D09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606-8240-9BE6-AD7A81A8D09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606-8240-9BE6-AD7A81A8D09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606-8240-9BE6-AD7A81A8D09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606-8240-9BE6-AD7A81A8D09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606-8240-9BE6-AD7A81A8D09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606-8240-9BE6-AD7A81A8D09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606-8240-9BE6-AD7A81A8D09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606-8240-9BE6-AD7A81A8D09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606-8240-9BE6-AD7A81A8D09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606-8240-9BE6-AD7A81A8D09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606-8240-9BE6-AD7A81A8D09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606-8240-9BE6-AD7A81A8D09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606-8240-9BE6-AD7A81A8D09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7606-8240-9BE6-AD7A81A8D09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7606-8240-9BE6-AD7A81A8D09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7606-8240-9BE6-AD7A81A8D09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7606-8240-9BE6-AD7A81A8D09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7606-8240-9BE6-AD7A81A8D09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7606-8240-9BE6-AD7A81A8D09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7606-8240-9BE6-AD7A81A8D09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7606-8240-9BE6-AD7A81A8D09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7606-8240-9BE6-AD7A81A8D09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7606-8240-9BE6-AD7A81A8D09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7606-8240-9BE6-AD7A81A8D09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7606-8240-9BE6-AD7A81A8D09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7606-8240-9BE6-AD7A81A8D09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7606-8240-9BE6-AD7A81A8D09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7606-8240-9BE6-AD7A81A8D09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7606-8240-9BE6-AD7A81A8D09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7606-8240-9BE6-AD7A81A8D09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7606-8240-9BE6-AD7A81A8D09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7606-8240-9BE6-AD7A81A8D09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7606-8240-9BE6-AD7A81A8D09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7606-8240-9BE6-AD7A81A8D09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7606-8240-9BE6-AD7A81A8D09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7606-8240-9BE6-AD7A81A8D09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7606-8240-9BE6-AD7A81A8D09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7606-8240-9BE6-AD7A81A8D09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7606-8240-9BE6-AD7A81A8D09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7606-8240-9BE6-AD7A81A8D09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7606-8240-9BE6-AD7A81A8D09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7606-8240-9BE6-AD7A81A8D09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7606-8240-9BE6-AD7A81A8D09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7606-8240-9BE6-AD7A81A8D09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7606-8240-9BE6-AD7A81A8D09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7606-8240-9BE6-AD7A81A8D09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7606-8240-9BE6-AD7A81A8D09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7606-8240-9BE6-AD7A81A8D09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7606-8240-9BE6-AD7A81A8D09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7606-8240-9BE6-AD7A81A8D09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7606-8240-9BE6-AD7A81A8D09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7606-8240-9BE6-AD7A81A8D09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7606-8240-9BE6-AD7A81A8D09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7606-8240-9BE6-AD7A81A8D09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7606-8240-9BE6-AD7A81A8D09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7606-8240-9BE6-AD7A81A8D09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7606-8240-9BE6-AD7A81A8D09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7606-8240-9BE6-AD7A81A8D09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7606-8240-9BE6-AD7A81A8D09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7606-8240-9BE6-AD7A81A8D09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7606-8240-9BE6-AD7A81A8D09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7606-8240-9BE6-AD7A81A8D09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7606-8240-9BE6-AD7A81A8D099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7606-8240-9BE6-AD7A81A8D09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7606-8240-9BE6-AD7A81A8D099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7606-8240-9BE6-AD7A81A8D099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7606-8240-9BE6-AD7A81A8D099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7606-8240-9BE6-AD7A81A8D099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7606-8240-9BE6-AD7A81A8D099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7606-8240-9BE6-AD7A81A8D09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7606-8240-9BE6-AD7A81A8D099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7606-8240-9BE6-AD7A81A8D099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7606-8240-9BE6-AD7A81A8D099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7606-8240-9BE6-AD7A81A8D099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7606-8240-9BE6-AD7A81A8D099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7606-8240-9BE6-AD7A81A8D09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7606-8240-9BE6-AD7A81A8D099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7606-8240-9BE6-AD7A81A8D099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7606-8240-9BE6-AD7A81A8D099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7606-8240-9BE6-AD7A81A8D099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7606-8240-9BE6-AD7A81A8D099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7606-8240-9BE6-AD7A81A8D099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7606-8240-9BE6-AD7A81A8D099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7606-8240-9BE6-AD7A81A8D099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7606-8240-9BE6-AD7A81A8D099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7606-8240-9BE6-AD7A81A8D099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7606-8240-9BE6-AD7A81A8D099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7606-8240-9BE6-AD7A81A8D099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7606-8240-9BE6-AD7A81A8D099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7606-8240-9BE6-AD7A81A8D099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7606-8240-9BE6-AD7A81A8D099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7606-8240-9BE6-AD7A81A8D099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7606-8240-9BE6-AD7A81A8D099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7606-8240-9BE6-AD7A81A8D099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7606-8240-9BE6-AD7A81A8D099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7606-8240-9BE6-AD7A81A8D099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7606-8240-9BE6-AD7A81A8D099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7606-8240-9BE6-AD7A81A8D099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7606-8240-9BE6-AD7A81A8D099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7606-8240-9BE6-AD7A81A8D099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7606-8240-9BE6-AD7A81A8D099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7606-8240-9BE6-AD7A81A8D099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7606-8240-9BE6-AD7A81A8D099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7606-8240-9BE6-AD7A81A8D099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7606-8240-9BE6-AD7A81A8D099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7606-8240-9BE6-AD7A81A8D099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7606-8240-9BE6-AD7A81A8D099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7606-8240-9BE6-AD7A81A8D099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7606-8240-9BE6-AD7A81A8D099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7606-8240-9BE6-AD7A81A8D099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7606-8240-9BE6-AD7A81A8D099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7606-8240-9BE6-AD7A81A8D099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7606-8240-9BE6-AD7A81A8D099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7606-8240-9BE6-AD7A81A8D099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7606-8240-9BE6-AD7A81A8D099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486-4347-9D86-E1700896C90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486-4347-9D86-E1700896C90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486-4347-9D86-E1700896C90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486-4347-9D86-E1700896C90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A4A1-6F4C-9FD4-0F57188A1DE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A4A1-6F4C-9FD4-0F57188A1DE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A4A1-6F4C-9FD4-0F57188A1DE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A4A1-6F4C-9FD4-0F57188A1DE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A4A1-6F4C-9FD4-0F57188A1DEA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3719-F444-A61C-BD983C8AAE6A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3719-F444-A61C-BD983C8AAE6A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3719-F444-A61C-BD983C8AAE6A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3719-F444-A61C-BD983C8AAE6A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3719-F444-A61C-BD983C8AAE6A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3719-F444-A61C-BD983C8AAE6A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3719-F444-A61C-BD983C8AAE6A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3719-F444-A61C-BD983C8AAE6A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3719-F444-A61C-BD983C8AAE6A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3719-F444-A61C-BD983C8AAE6A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3719-F444-A61C-BD983C8AAE6A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3719-F444-A61C-BD983C8AAE6A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3719-F444-A61C-BD983C8AAE6A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3719-F444-A61C-BD983C8AAE6A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3719-F444-A61C-BD983C8AAE6A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3719-F444-A61C-BD983C8AAE6A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3719-F444-A61C-BD983C8AAE6A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3719-F444-A61C-BD983C8AAE6A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3719-F444-A61C-BD983C8AAE6A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3719-F444-A61C-BD983C8AAE6A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3719-F444-A61C-BD983C8AAE6A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3719-F444-A61C-BD983C8AAE6A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3719-F444-A61C-BD983C8AAE6A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3719-F444-A61C-BD983C8AAE6A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3719-F444-A61C-BD983C8AAE6A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3719-F444-A61C-BD983C8AAE6A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3719-F444-A61C-BD983C8AAE6A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3719-F444-A61C-BD983C8AAE6A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2012-8742-A829-CA12BC42CE0D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2012-8742-A829-CA12BC42CE0D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2012-8742-A829-CA12BC42CE0D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2012-8742-A829-CA12BC42CE0D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2012-8742-A829-CA12BC42CE0D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2012-8742-A829-CA12BC42CE0D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2012-8742-A829-CA12BC42CE0D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2012-8742-A829-CA12BC42CE0D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2012-8742-A829-CA12BC42CE0D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2012-8742-A829-CA12BC42CE0D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2012-8742-A829-CA12BC42CE0D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2012-8742-A829-CA12BC42CE0D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2012-8742-A829-CA12BC42CE0D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2012-8742-A829-CA12BC42CE0D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2012-8742-A829-CA12BC42CE0D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2012-8742-A829-CA12BC42CE0D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2012-8742-A829-CA12BC42CE0D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2012-8742-A829-CA12BC42CE0D}"/>
              </c:ext>
            </c:extLst>
          </c:dPt>
          <c:dPt>
            <c:idx val="18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2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3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'Reason Graph'!$A$4:$A$197</c:f>
              <c:strCache>
                <c:ptCount val="194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  <c:pt idx="163">
                  <c:v>273.5 suspect</c:v>
                </c:pt>
                <c:pt idx="164">
                  <c:v>wanted warrant</c:v>
                </c:pt>
                <c:pt idx="165">
                  <c:v>Wire</c:v>
                </c:pt>
                <c:pt idx="166">
                  <c:v>prcs</c:v>
                </c:pt>
                <c:pt idx="167">
                  <c:v>wanted subject-26-1571</c:v>
                </c:pt>
                <c:pt idx="168">
                  <c:v>Locate Missing Person</c:v>
                </c:pt>
                <c:pt idx="169">
                  <c:v>ASSAULT</c:v>
                </c:pt>
                <c:pt idx="170">
                  <c:v>warrant ramey-245 bat</c:v>
                </c:pt>
                <c:pt idx="171">
                  <c:v>273a(b)PC</c:v>
                </c:pt>
                <c:pt idx="172">
                  <c:v>domestic violence susp</c:v>
                </c:pt>
                <c:pt idx="173">
                  <c:v>RECKLESS</c:v>
                </c:pt>
                <c:pt idx="174">
                  <c:v>7vnh893</c:v>
                </c:pt>
                <c:pt idx="175">
                  <c:v>273.5 pc suspect</c:v>
                </c:pt>
                <c:pt idx="176">
                  <c:v>Druginvestigation</c:v>
                </c:pt>
                <c:pt idx="177">
                  <c:v>SUTTER CO SUSPECT IN AREA</c:v>
                </c:pt>
                <c:pt idx="178">
                  <c:v>SUTTER CO RAMEY WARRANT IN AREA</c:v>
                </c:pt>
                <c:pt idx="179">
                  <c:v>Warrant service</c:v>
                </c:pt>
                <c:pt idx="180">
                  <c:v>594PC</c:v>
                </c:pt>
                <c:pt idx="181">
                  <c:v>594 SUSPECT</c:v>
                </c:pt>
                <c:pt idx="182">
                  <c:v>BURG SUSPECT</c:v>
                </c:pt>
                <c:pt idx="183">
                  <c:v>unknown reason</c:v>
                </c:pt>
                <c:pt idx="184">
                  <c:v>susp vehicle</c:v>
                </c:pt>
                <c:pt idx="185">
                  <c:v>warrant-associated vehicle drive all time</c:v>
                </c:pt>
                <c:pt idx="186">
                  <c:v>166(a)(4)PC suspect</c:v>
                </c:pt>
                <c:pt idx="187">
                  <c:v>warrant suspect daily use veh</c:v>
                </c:pt>
                <c:pt idx="188">
                  <c:v>veh associated to res for warrant suspect-rocole</c:v>
                </c:pt>
                <c:pt idx="189">
                  <c:v>Hit and Run with injury, Ramey</c:v>
                </c:pt>
                <c:pt idx="190">
                  <c:v>person of interest</c:v>
                </c:pt>
                <c:pt idx="191">
                  <c:v>dvsuspec</c:v>
                </c:pt>
                <c:pt idx="192">
                  <c:v>273a pc suspect</c:v>
                </c:pt>
                <c:pt idx="193">
                  <c:v>R7-25-0008</c:v>
                </c:pt>
              </c:strCache>
            </c:strRef>
          </c:cat>
          <c:val>
            <c:numRef>
              <c:f>'Reason Graph'!$B$4:$B$197</c:f>
              <c:numCache>
                <c:formatCode>General</c:formatCode>
                <c:ptCount val="194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16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115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8</c:v>
                </c:pt>
                <c:pt idx="57">
                  <c:v>1</c:v>
                </c:pt>
                <c:pt idx="58">
                  <c:v>2</c:v>
                </c:pt>
                <c:pt idx="59">
                  <c:v>19</c:v>
                </c:pt>
                <c:pt idx="60">
                  <c:v>6</c:v>
                </c:pt>
                <c:pt idx="61">
                  <c:v>4</c:v>
                </c:pt>
                <c:pt idx="62">
                  <c:v>8</c:v>
                </c:pt>
                <c:pt idx="63">
                  <c:v>1</c:v>
                </c:pt>
                <c:pt idx="64">
                  <c:v>3</c:v>
                </c:pt>
                <c:pt idx="65">
                  <c:v>64</c:v>
                </c:pt>
                <c:pt idx="66">
                  <c:v>108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68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12</c:v>
                </c:pt>
                <c:pt idx="83">
                  <c:v>1</c:v>
                </c:pt>
                <c:pt idx="84">
                  <c:v>11</c:v>
                </c:pt>
                <c:pt idx="85">
                  <c:v>4</c:v>
                </c:pt>
                <c:pt idx="86">
                  <c:v>50</c:v>
                </c:pt>
                <c:pt idx="87">
                  <c:v>1127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10</c:v>
                </c:pt>
                <c:pt idx="110">
                  <c:v>1</c:v>
                </c:pt>
                <c:pt idx="111">
                  <c:v>6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3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4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2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1</c:v>
                </c:pt>
                <c:pt idx="164">
                  <c:v>3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2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3</c:v>
                </c:pt>
                <c:pt idx="182">
                  <c:v>1</c:v>
                </c:pt>
                <c:pt idx="183">
                  <c:v>1</c:v>
                </c:pt>
                <c:pt idx="184">
                  <c:v>2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2</c:v>
                </c:pt>
                <c:pt idx="192">
                  <c:v>2</c:v>
                </c:pt>
                <c:pt idx="19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4D-B74D-8631-8F93C4A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47</c:v>
                </c:pt>
                <c:pt idx="1">
                  <c:v>37</c:v>
                </c:pt>
                <c:pt idx="2">
                  <c:v>53</c:v>
                </c:pt>
                <c:pt idx="3">
                  <c:v>10</c:v>
                </c:pt>
                <c:pt idx="4">
                  <c:v>32</c:v>
                </c:pt>
                <c:pt idx="5">
                  <c:v>7</c:v>
                </c:pt>
                <c:pt idx="6">
                  <c:v>24</c:v>
                </c:pt>
                <c:pt idx="7">
                  <c:v>29</c:v>
                </c:pt>
                <c:pt idx="8">
                  <c:v>61</c:v>
                </c:pt>
                <c:pt idx="9">
                  <c:v>46</c:v>
                </c:pt>
                <c:pt idx="10">
                  <c:v>66</c:v>
                </c:pt>
                <c:pt idx="11">
                  <c:v>35</c:v>
                </c:pt>
                <c:pt idx="12">
                  <c:v>63</c:v>
                </c:pt>
                <c:pt idx="13">
                  <c:v>22</c:v>
                </c:pt>
                <c:pt idx="14">
                  <c:v>42</c:v>
                </c:pt>
                <c:pt idx="15">
                  <c:v>20</c:v>
                </c:pt>
                <c:pt idx="16">
                  <c:v>46</c:v>
                </c:pt>
                <c:pt idx="17">
                  <c:v>12</c:v>
                </c:pt>
                <c:pt idx="18">
                  <c:v>68</c:v>
                </c:pt>
                <c:pt idx="19">
                  <c:v>9</c:v>
                </c:pt>
                <c:pt idx="20">
                  <c:v>59</c:v>
                </c:pt>
                <c:pt idx="21">
                  <c:v>7</c:v>
                </c:pt>
                <c:pt idx="22">
                  <c:v>51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61</c:v>
                </c:pt>
                <c:pt idx="1">
                  <c:v>42</c:v>
                </c:pt>
                <c:pt idx="2">
                  <c:v>64</c:v>
                </c:pt>
                <c:pt idx="3">
                  <c:v>12</c:v>
                </c:pt>
                <c:pt idx="4">
                  <c:v>37</c:v>
                </c:pt>
                <c:pt idx="5">
                  <c:v>30</c:v>
                </c:pt>
                <c:pt idx="6">
                  <c:v>49</c:v>
                </c:pt>
                <c:pt idx="7">
                  <c:v>49</c:v>
                </c:pt>
                <c:pt idx="8">
                  <c:v>69</c:v>
                </c:pt>
                <c:pt idx="9">
                  <c:v>38</c:v>
                </c:pt>
                <c:pt idx="10">
                  <c:v>86</c:v>
                </c:pt>
                <c:pt idx="11">
                  <c:v>37</c:v>
                </c:pt>
                <c:pt idx="12">
                  <c:v>94</c:v>
                </c:pt>
                <c:pt idx="13">
                  <c:v>21</c:v>
                </c:pt>
                <c:pt idx="14">
                  <c:v>75</c:v>
                </c:pt>
                <c:pt idx="15">
                  <c:v>18</c:v>
                </c:pt>
                <c:pt idx="16">
                  <c:v>72</c:v>
                </c:pt>
                <c:pt idx="17">
                  <c:v>19</c:v>
                </c:pt>
                <c:pt idx="18">
                  <c:v>79</c:v>
                </c:pt>
                <c:pt idx="19">
                  <c:v>15</c:v>
                </c:pt>
                <c:pt idx="20">
                  <c:v>74</c:v>
                </c:pt>
                <c:pt idx="21">
                  <c:v>17</c:v>
                </c:pt>
                <c:pt idx="22">
                  <c:v>57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75283647"/>
        <c:axId val="150600159"/>
      </c:line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73</c:v>
                </c:pt>
                <c:pt idx="1">
                  <c:v>108</c:v>
                </c:pt>
                <c:pt idx="2">
                  <c:v>130</c:v>
                </c:pt>
                <c:pt idx="3">
                  <c:v>152</c:v>
                </c:pt>
                <c:pt idx="4">
                  <c:v>157</c:v>
                </c:pt>
                <c:pt idx="5">
                  <c:v>117</c:v>
                </c:pt>
                <c:pt idx="6">
                  <c:v>118</c:v>
                </c:pt>
                <c:pt idx="7">
                  <c:v>147</c:v>
                </c:pt>
                <c:pt idx="8">
                  <c:v>133</c:v>
                </c:pt>
                <c:pt idx="9">
                  <c:v>108</c:v>
                </c:pt>
                <c:pt idx="10">
                  <c:v>117</c:v>
                </c:pt>
                <c:pt idx="11">
                  <c:v>69</c:v>
                </c:pt>
                <c:pt idx="12">
                  <c:v>78</c:v>
                </c:pt>
                <c:pt idx="13">
                  <c:v>79</c:v>
                </c:pt>
                <c:pt idx="14">
                  <c:v>84</c:v>
                </c:pt>
                <c:pt idx="15">
                  <c:v>72</c:v>
                </c:pt>
                <c:pt idx="16">
                  <c:v>43</c:v>
                </c:pt>
                <c:pt idx="17">
                  <c:v>38</c:v>
                </c:pt>
                <c:pt idx="18">
                  <c:v>31</c:v>
                </c:pt>
                <c:pt idx="19">
                  <c:v>24</c:v>
                </c:pt>
                <c:pt idx="20">
                  <c:v>24</c:v>
                </c:pt>
                <c:pt idx="21">
                  <c:v>17</c:v>
                </c:pt>
                <c:pt idx="22">
                  <c:v>22</c:v>
                </c:pt>
                <c:pt idx="2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87</c:v>
                </c:pt>
                <c:pt idx="1">
                  <c:v>239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33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267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48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0.62008733624454149</c:v>
                </c:pt>
                <c:pt idx="1">
                  <c:v>0.52766798418972327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0.59259259259259256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19</xdr:row>
      <xdr:rowOff>76200</xdr:rowOff>
    </xdr:from>
    <xdr:to>
      <xdr:col>7</xdr:col>
      <xdr:colOff>774700</xdr:colOff>
      <xdr:row>41</xdr:row>
      <xdr:rowOff>139700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1D999312-C756-9543-ADB4-456F5CFC3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63500</xdr:colOff>
      <xdr:row>1</xdr:row>
      <xdr:rowOff>25400</xdr:rowOff>
    </xdr:from>
    <xdr:to>
      <xdr:col>25</xdr:col>
      <xdr:colOff>215900</xdr:colOff>
      <xdr:row>52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04F201-B207-B54D-B3E6-9B2136E34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9</xdr:col>
      <xdr:colOff>520700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5932EA-EDDC-234C-B746-6DD0FA3875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1498600</xdr:colOff>
      <xdr:row>48</xdr:row>
      <xdr:rowOff>127000</xdr:rowOff>
    </xdr:from>
    <xdr:to>
      <xdr:col>6</xdr:col>
      <xdr:colOff>2311400</xdr:colOff>
      <xdr:row>55</xdr:row>
      <xdr:rowOff>114300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92710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DF365B-C617-730E-99DD-1B0FD9A93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65.469963541669" createdVersion="8" refreshedVersion="8" minRefreshableVersion="3" recordCount="1979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5-21T15:12:20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94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  <s v="known veh prior association - lopez, jessica"/>
        <s v="Wanted suspect"/>
        <s v="192 pc"/>
        <s v="487 suspect veh"/>
        <s v="Pursuit"/>
        <s v="484 PC"/>
        <s v="petty theft"/>
        <s v="487 suspect vehicle from teichert"/>
        <s v="left scene damaging prop-pc section"/>
        <s v="273a pc"/>
        <s v="id suspect"/>
        <s v="HIT AND RUN"/>
        <s v="SUSPICIOUS VEHICLE"/>
        <s v="245pc suspect veh"/>
        <s v="sus search"/>
        <s v="WANTED SUBJ"/>
        <s v="SHOOTING"/>
        <s v="suspect girlfriend"/>
        <s v="Suspect gf"/>
        <s v="245 SUSPECT"/>
        <s v="273.5 suspect"/>
        <s v="wanted warrant"/>
        <s v="Wire"/>
        <s v="prcs"/>
        <s v="wanted subject-26-1571"/>
        <s v="Locate Missing Person"/>
        <s v="ASSAULT"/>
        <s v="warrant ramey-245 bat"/>
        <s v="273a(b)PC"/>
        <s v="domestic violence susp"/>
        <s v="RECKLESS"/>
        <s v="7vnh893"/>
        <s v="273.5 pc suspect"/>
        <s v="Druginvestigation"/>
        <s v="SUTTER CO SUSPECT IN AREA"/>
        <s v="SUTTER CO RAMEY WARRANT IN AREA"/>
        <s v="Warrant service"/>
        <s v="594PC"/>
        <s v="594 SUSPECT"/>
        <s v="BURG SUSPECT"/>
        <s v="unknown reason"/>
        <s v="susp vehicle"/>
        <s v="warrant-associated vehicle drive all time"/>
        <s v="166(a)(4)PC suspect"/>
        <s v="warrant suspect daily use veh"/>
        <s v="veh associated to res for warrant suspect-rocole"/>
        <s v="Hit and Run with injury, Ramey"/>
        <s v="person of interest"/>
        <s v="dvsuspec"/>
        <s v="273a pc suspect"/>
        <s v="R7-25-0008"/>
      </sharedItems>
    </cacheField>
    <cacheField name="Search Date (Pacific)" numFmtId="0">
      <sharedItems containsNonDate="0" containsDate="1" containsString="0" containsBlank="1" minDate="2026-02-02T09:12:14" maxDate="2026-05-21T08:12:20"/>
    </cacheField>
    <cacheField name="Date (Pacific)" numFmtId="0">
      <sharedItems containsNonDate="0" containsDate="1" containsString="0" containsBlank="1" minDate="2026-02-02T00:00:00" maxDate="2026-05-22T00:00:00" count="110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79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b836ae17-7e03-42da-ae11-c8e378b0b5b9"/>
    <s v="***"/>
    <d v="2026-03-03T07:53:38"/>
    <n v="2"/>
    <x v="1"/>
    <d v="2026-03-02T23:53:38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2ec68120-1892-4edf-9661-700c0295d2fb"/>
    <s v="***"/>
    <d v="2026-03-06T06:55:27"/>
    <n v="576"/>
    <x v="6"/>
    <d v="2026-03-05T22:55:27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96573303-8460-4626-8f9b-2ee7254736b2"/>
    <s v="***"/>
    <d v="2026-03-06T13:51:10"/>
    <n v="432"/>
    <x v="6"/>
    <d v="2026-03-06T05:51:10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8a0ee94e-eff8-468c-9683-f7c4e64f75d1"/>
    <s v="***"/>
    <d v="2026-03-09T09:12:56"/>
    <n v="532"/>
    <x v="1"/>
    <d v="2026-03-09T02:12:56"/>
    <x v="35"/>
    <s v="Monday"/>
    <n v="2"/>
  </r>
  <r>
    <s v="12952604-2d7d-48bb-bb42-ad128602b70a"/>
    <s v="***"/>
    <d v="2026-03-09T09:15:57"/>
    <n v="532"/>
    <x v="83"/>
    <d v="2026-03-09T02:15:57"/>
    <x v="35"/>
    <s v="Monday"/>
    <n v="2"/>
  </r>
  <r>
    <s v="56bc436a-e97c-4590-b30d-312a690a8477"/>
    <s v="***"/>
    <d v="2026-03-09T09:17:18"/>
    <n v="3"/>
    <x v="84"/>
    <d v="2026-03-09T02:17:18"/>
    <x v="35"/>
    <s v="Monday"/>
    <n v="2"/>
  </r>
  <r>
    <s v="b2b6a04e-7c65-4b86-b91b-6dcefa2d98fd"/>
    <s v="***"/>
    <d v="2026-03-09T09:24:35"/>
    <n v="3"/>
    <x v="84"/>
    <d v="2026-03-09T02:24:35"/>
    <x v="35"/>
    <s v="Monday"/>
    <n v="2"/>
  </r>
  <r>
    <s v="a6468f2c-d570-44b4-ae96-c5daa5d8e041"/>
    <s v="***"/>
    <d v="2026-03-09T09:25:09"/>
    <n v="532"/>
    <x v="83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3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4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2378633f-6d81-483d-a9bf-e2e1a84eccad"/>
    <s v="***"/>
    <d v="2026-03-10T08:29:29"/>
    <n v="3"/>
    <x v="10"/>
    <d v="2026-03-10T01:29:29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f81d1d6-567e-490f-96a3-3422484aed1f"/>
    <s v="***"/>
    <d v="2026-03-10T15:11:49"/>
    <n v="3"/>
    <x v="1"/>
    <d v="2026-03-10T08:11:49"/>
    <x v="36"/>
    <s v="Tuesday"/>
    <n v="8"/>
  </r>
  <r>
    <s v="54a62774-ea52-4fc1-a6e4-a5ea2826cbaf"/>
    <s v="***"/>
    <d v="2026-03-10T15:20:42"/>
    <n v="3"/>
    <x v="1"/>
    <d v="2026-03-10T08:20:42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d1bd4841-a975-4717-86a0-2170b7131b42"/>
    <s v="***"/>
    <d v="2026-03-11T08:46:40"/>
    <n v="2"/>
    <x v="1"/>
    <d v="2026-03-11T01:46:40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b88c1469-e408-4a5b-9974-05278349a06d"/>
    <s v="***"/>
    <d v="2026-03-11T13:38:38"/>
    <n v="528"/>
    <x v="1"/>
    <d v="2026-03-11T06:38:38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121472a5-21dc-406c-b685-0d965ee88604"/>
    <s v="***"/>
    <d v="2026-03-11T16:31:16"/>
    <n v="531"/>
    <x v="71"/>
    <d v="2026-03-11T09:31:16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bf5b6c5-1b09-4f69-b1df-9de16dd33fb0"/>
    <s v="***"/>
    <d v="2026-03-12T14:40:26"/>
    <n v="620"/>
    <x v="1"/>
    <d v="2026-03-12T07:40:26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74371ef6-c7ec-40af-9422-17aad8ded2d8"/>
    <s v="***"/>
    <d v="2026-03-14T14:53:10"/>
    <n v="575"/>
    <x v="1"/>
    <d v="2026-03-14T07:53:10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6566ea4d-b3f9-4da0-ab75-933265920120"/>
    <s v="***"/>
    <d v="2026-03-17T08:04:56"/>
    <n v="1"/>
    <x v="95"/>
    <d v="2026-03-17T01:04:56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06efaf72-c02d-42d1-a685-946ba697dc0a"/>
    <s v="***"/>
    <d v="2026-03-17T09:34:01"/>
    <n v="1"/>
    <x v="26"/>
    <d v="2026-03-17T02:34:01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dede0fc0-6da1-4edf-98be-29ba103b7e59"/>
    <s v="***"/>
    <d v="2026-03-17T10:11:51"/>
    <n v="575"/>
    <x v="10"/>
    <d v="2026-03-17T03:11:51"/>
    <x v="43"/>
    <s v="Tuesday"/>
    <n v="3"/>
  </r>
  <r>
    <s v="a4786570-fd72-449c-b5a8-047530b6fb01"/>
    <s v="***"/>
    <d v="2026-03-17T10:32:55"/>
    <n v="575"/>
    <x v="10"/>
    <d v="2026-03-17T03:32:55"/>
    <x v="43"/>
    <s v="Tuesday"/>
    <n v="3"/>
  </r>
  <r>
    <s v="270dcb51-e5f7-48ad-8671-34793d350695"/>
    <s v="***"/>
    <d v="2026-03-17T10:48:11"/>
    <n v="36"/>
    <x v="1"/>
    <d v="2026-03-17T03:48:11"/>
    <x v="43"/>
    <s v="Tuesday"/>
    <n v="3"/>
  </r>
  <r>
    <s v="b212e728-583a-4061-a3d5-10a9bea63a45"/>
    <s v="***"/>
    <d v="2026-03-17T10:50:05"/>
    <n v="3"/>
    <x v="10"/>
    <d v="2026-03-17T03:50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b132328-1d1f-44a3-945d-3628dcd9ba8f"/>
    <s v="***"/>
    <d v="2026-03-17T11:44:38"/>
    <n v="3"/>
    <x v="10"/>
    <d v="2026-03-17T04:44:3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fce3f858-bcef-466b-99c4-3c8802291e67"/>
    <s v="***"/>
    <d v="2026-03-17T13:37:57"/>
    <n v="531"/>
    <x v="1"/>
    <d v="2026-03-17T06:37:57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183f597a-252e-4654-a0bf-a1137626a993"/>
    <s v="***"/>
    <d v="2026-03-18T09:06:49"/>
    <n v="36"/>
    <x v="1"/>
    <d v="2026-03-18T02:06:49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e9d1354f-9db8-4b4d-9ed8-1e56390eb5cb"/>
    <s v="***"/>
    <d v="2026-03-18T10:59:36"/>
    <n v="36"/>
    <x v="1"/>
    <d v="2026-03-18T03:59:36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982cfffd-de56-4b3f-8280-1eac43ba0c39"/>
    <s v="***"/>
    <d v="2026-03-18T11:21:10"/>
    <n v="36"/>
    <x v="1"/>
    <d v="2026-03-18T04:21:10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393b3c8b-d491-4fe5-8884-44ebea4d44a1"/>
    <s v="***"/>
    <d v="2026-03-18T11:46:11"/>
    <n v="575"/>
    <x v="6"/>
    <d v="2026-03-18T04:46:11"/>
    <x v="44"/>
    <s v="Wednesday"/>
    <n v="4"/>
  </r>
  <r>
    <s v="6565b575-27fa-40d9-8ed6-aac59a95fb1b"/>
    <s v="***"/>
    <d v="2026-03-18T11:47:33"/>
    <n v="36"/>
    <x v="1"/>
    <d v="2026-03-18T04:47:33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e6e353d2-623c-4c5a-bdcd-54bc09f11ada"/>
    <s v="***"/>
    <d v="2026-03-18T15:07:45"/>
    <n v="531"/>
    <x v="17"/>
    <d v="2026-03-18T08:07:45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9ec4ae06-ffbb-4ee0-97bd-d3be97330f71"/>
    <s v="***"/>
    <d v="2026-03-18T18:50:02"/>
    <n v="4"/>
    <x v="90"/>
    <d v="2026-03-18T11:50:02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09c9c21e-6c51-4075-b314-3796a1d7eea1"/>
    <s v="***"/>
    <d v="2026-03-18T23:57:22"/>
    <n v="531"/>
    <x v="1"/>
    <d v="2026-03-18T16:57:22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63f12e66-b966-4735-927d-1b4b4e267b69"/>
    <s v="***"/>
    <d v="2026-03-19T10:59:52"/>
    <n v="531"/>
    <x v="1"/>
    <d v="2026-03-19T03:59:52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fc714d7d-1967-49db-9913-bc133b0790be"/>
    <s v="***"/>
    <d v="2026-03-19T11:40:40"/>
    <n v="2"/>
    <x v="1"/>
    <d v="2026-03-19T04:40:40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f2e07a37-bf25-49b1-8e0d-2ff433ef4e49"/>
    <s v="***"/>
    <d v="2026-03-19T14:29:22"/>
    <n v="575"/>
    <x v="71"/>
    <d v="2026-03-19T07:29:22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744b0c2f-1d7d-4fd4-85d7-dff8a9a30d7c"/>
    <s v="***"/>
    <d v="2026-03-20T20:19:02"/>
    <n v="3"/>
    <x v="10"/>
    <d v="2026-03-20T13:19:02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cb18e564-747e-4499-8f00-ff7b63c7d26a"/>
    <s v="***"/>
    <d v="2026-03-20T20:45:31"/>
    <n v="575"/>
    <x v="1"/>
    <d v="2026-03-20T13:45:31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4d4a21c0-b2d0-4e28-aecd-daaf97560770"/>
    <s v="***"/>
    <d v="2026-03-20T21:25:00"/>
    <n v="575"/>
    <x v="1"/>
    <d v="2026-03-20T14:25:00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c6f68ff2-41d5-4de8-9fd4-b51e2fc38c50"/>
    <s v="***"/>
    <d v="2026-03-20T22:07:57"/>
    <n v="531"/>
    <x v="1"/>
    <d v="2026-03-20T15:07:57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70a77cf5-214e-483a-b8c4-5bd212e97177"/>
    <s v="***"/>
    <d v="2026-03-21T00:41:58"/>
    <n v="36"/>
    <x v="1"/>
    <d v="2026-03-20T17:41:58"/>
    <x v="46"/>
    <s v="Friday"/>
    <n v="17"/>
  </r>
  <r>
    <s v="eaaebb8a-0d57-4eae-9906-10875da2ba30"/>
    <s v="***"/>
    <d v="2026-03-21T00:47:05"/>
    <n v="36"/>
    <x v="1"/>
    <d v="2026-03-20T17:47:05"/>
    <x v="46"/>
    <s v="Friday"/>
    <n v="17"/>
  </r>
  <r>
    <s v="0b5f2189-65e0-49dd-b821-911bd4e04abb"/>
    <s v="***"/>
    <d v="2026-03-21T00:55:29"/>
    <n v="531"/>
    <x v="1"/>
    <d v="2026-03-20T17:55:29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9f9c9f2b-b7b7-436b-8035-6ee2c350309b"/>
    <s v="***"/>
    <d v="2026-03-21T11:21:50"/>
    <n v="572"/>
    <x v="1"/>
    <d v="2026-03-21T04:21:50"/>
    <x v="47"/>
    <s v="Saturday"/>
    <n v="4"/>
  </r>
  <r>
    <s v="aedba47a-6e17-400c-a90e-067dbc3496c5"/>
    <s v="***"/>
    <d v="2026-03-21T11:33:40"/>
    <n v="531"/>
    <x v="17"/>
    <d v="2026-03-21T04:33:40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c65028ce-6b01-40db-b046-a0f9888b1bc8"/>
    <s v="***"/>
    <d v="2026-03-21T11:37:57"/>
    <n v="572"/>
    <x v="1"/>
    <d v="2026-03-21T04:37:57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33f268e-63c6-4adf-bb5f-c7785b8b789a"/>
    <s v="***"/>
    <d v="2026-03-24T07:41:40"/>
    <n v="531"/>
    <x v="6"/>
    <d v="2026-03-24T00:41:40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7e544cb0-6ccc-4233-8f3b-fa1c8476aefa"/>
    <s v="***"/>
    <d v="2026-03-24T13:23:06"/>
    <n v="575"/>
    <x v="17"/>
    <d v="2026-03-24T06:23:06"/>
    <x v="50"/>
    <s v="Tuesday"/>
    <n v="6"/>
  </r>
  <r>
    <s v="7aebd4b5-38a7-41b2-87be-c54e42ad4a7b"/>
    <s v="***"/>
    <d v="2026-03-24T13:24:15"/>
    <n v="575"/>
    <x v="17"/>
    <d v="2026-03-24T06:24:15"/>
    <x v="50"/>
    <s v="Tuesday"/>
    <n v="6"/>
  </r>
  <r>
    <s v="55d56a50-7edc-43a2-aeee-6b3dae9513dc"/>
    <s v="***"/>
    <d v="2026-03-24T13:40:56"/>
    <n v="575"/>
    <x v="17"/>
    <d v="2026-03-24T06:40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e9a2111d-1bc2-4437-9731-a63a9c02fcc3"/>
    <s v="***"/>
    <d v="2026-03-25T15:01:13"/>
    <n v="3"/>
    <x v="17"/>
    <d v="2026-03-25T08:01:13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eaf6d422-1f5e-4aed-926e-dbd82c9c7de9"/>
    <s v="***"/>
    <d v="2026-03-25T16:38:54"/>
    <n v="531"/>
    <x v="17"/>
    <d v="2026-03-25T09:38:54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a42092e6-8b4c-4600-a71a-18849b899f37"/>
    <s v="***"/>
    <d v="2026-03-25T17:13:14"/>
    <n v="1"/>
    <x v="109"/>
    <d v="2026-03-25T10:13:14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fe60b397-80cd-405c-a3da-7355f549ee44"/>
    <s v="***"/>
    <d v="2026-03-25T17:26:00"/>
    <n v="531"/>
    <x v="17"/>
    <d v="2026-03-25T10:26:00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7b15c4fb-b18f-4140-a9a2-c1db3346b116"/>
    <s v="***"/>
    <d v="2026-03-26T09:50:10"/>
    <n v="3"/>
    <x v="109"/>
    <d v="2026-03-26T02:50:10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99e24cf9-952d-4d43-95e8-1606b943f2a3"/>
    <s v="***"/>
    <d v="2026-03-26T12:07:29"/>
    <n v="3"/>
    <x v="1"/>
    <d v="2026-03-26T05:07:29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s v="5000a1d8-f866-4ae5-b21c-0bde37a3772a"/>
    <s v="***"/>
    <d v="2026-03-29T21:18:08"/>
    <n v="3"/>
    <x v="1"/>
    <d v="2026-03-29T14:18:08"/>
    <x v="55"/>
    <s v="Sunday"/>
    <n v="14"/>
  </r>
  <r>
    <s v="716894ee-277e-4ab1-9683-1c8c29018960"/>
    <s v="***"/>
    <d v="2026-03-30T09:54:54"/>
    <n v="3"/>
    <x v="1"/>
    <d v="2026-03-30T02:54:54"/>
    <x v="56"/>
    <s v="Monday"/>
    <n v="2"/>
  </r>
  <r>
    <s v="b879cbcc-702b-4ec5-a961-fcd82439e28f"/>
    <s v="***"/>
    <d v="2026-03-30T10:01:09"/>
    <n v="575"/>
    <x v="1"/>
    <d v="2026-03-30T03:01:09"/>
    <x v="56"/>
    <s v="Monday"/>
    <n v="3"/>
  </r>
  <r>
    <s v="76b4f4ab-2acd-4430-bf09-c5bf96a2cbd7"/>
    <s v="***"/>
    <d v="2026-03-30T10:57:21"/>
    <n v="575"/>
    <x v="1"/>
    <d v="2026-03-30T03:57:21"/>
    <x v="56"/>
    <s v="Monday"/>
    <n v="3"/>
  </r>
  <r>
    <s v="d804e57a-fb53-40a9-9a62-7570494a62ec"/>
    <s v="***"/>
    <d v="2026-03-30T11:06:00"/>
    <n v="3"/>
    <x v="121"/>
    <d v="2026-03-30T04:06:00"/>
    <x v="56"/>
    <s v="Monday"/>
    <n v="4"/>
  </r>
  <r>
    <s v="590d9fef-6e0f-4ad4-8a9c-d1b0b249e69a"/>
    <s v="***"/>
    <d v="2026-03-30T15:32:59"/>
    <n v="1"/>
    <x v="122"/>
    <d v="2026-03-30T08:32:59"/>
    <x v="56"/>
    <s v="Monday"/>
    <n v="8"/>
  </r>
  <r>
    <s v="8bf3c50c-1a19-4daf-916d-2916ef13000b"/>
    <s v="***"/>
    <d v="2026-03-30T15:52:20"/>
    <n v="5"/>
    <x v="17"/>
    <d v="2026-03-30T08:52:20"/>
    <x v="56"/>
    <s v="Monday"/>
    <n v="8"/>
  </r>
  <r>
    <s v="c048d0b2-37a4-425f-985f-df4beeaf5602"/>
    <s v="***"/>
    <d v="2026-03-30T15:59:47"/>
    <n v="531"/>
    <x v="1"/>
    <d v="2026-03-30T08:59:47"/>
    <x v="56"/>
    <s v="Monday"/>
    <n v="8"/>
  </r>
  <r>
    <s v="6166a7ec-9329-4cd1-b8d6-8b086ac76b3a"/>
    <s v="***"/>
    <d v="2026-03-30T17:23:19"/>
    <n v="531"/>
    <x v="5"/>
    <d v="2026-03-30T10:23:19"/>
    <x v="56"/>
    <s v="Monday"/>
    <n v="10"/>
  </r>
  <r>
    <s v="4a21f099-e496-45b0-a28c-8552f1e7141a"/>
    <s v="***"/>
    <d v="2026-03-30T17:40:03"/>
    <n v="3"/>
    <x v="123"/>
    <d v="2026-03-30T10:40:03"/>
    <x v="56"/>
    <s v="Monday"/>
    <n v="10"/>
  </r>
  <r>
    <s v="66c3213e-8f7f-4001-8d17-1a0dae526414"/>
    <s v="***"/>
    <d v="2026-03-30T17:56:46"/>
    <n v="531"/>
    <x v="5"/>
    <d v="2026-03-30T10:56:46"/>
    <x v="56"/>
    <s v="Monday"/>
    <n v="10"/>
  </r>
  <r>
    <s v="ba8a2e36-0f96-47b9-be9a-7e6a2fb01080"/>
    <s v="***"/>
    <d v="2026-03-30T18:36:02"/>
    <n v="2"/>
    <x v="1"/>
    <d v="2026-03-30T11:36:02"/>
    <x v="56"/>
    <s v="Monday"/>
    <n v="11"/>
  </r>
  <r>
    <s v="cc5ebf89-c858-4529-9538-0c3cb67d3171"/>
    <s v="***"/>
    <d v="2026-03-31T08:57:49"/>
    <n v="531"/>
    <x v="1"/>
    <d v="2026-03-31T01:57:49"/>
    <x v="57"/>
    <s v="Tuesday"/>
    <n v="1"/>
  </r>
  <r>
    <s v="7d627fc8-2773-4bf2-8ccf-afb69f555cab"/>
    <s v="***"/>
    <d v="2026-03-31T09:03:17"/>
    <n v="3"/>
    <x v="10"/>
    <d v="2026-03-31T02:03:17"/>
    <x v="57"/>
    <s v="Tuesday"/>
    <n v="2"/>
  </r>
  <r>
    <s v="daf7decf-fd5e-4390-89ca-cecc724aba85"/>
    <s v="***"/>
    <d v="2026-03-31T10:49:32"/>
    <n v="3"/>
    <x v="1"/>
    <d v="2026-03-31T03:49:32"/>
    <x v="57"/>
    <s v="Tuesday"/>
    <n v="3"/>
  </r>
  <r>
    <s v="831d2512-2547-4b16-b395-1394d0ffdbf6"/>
    <s v="***"/>
    <d v="2026-03-31T11:00:37"/>
    <n v="531"/>
    <x v="1"/>
    <d v="2026-03-31T04:00:37"/>
    <x v="57"/>
    <s v="Tuesday"/>
    <n v="4"/>
  </r>
  <r>
    <s v="c5bb2ee2-9002-4916-b90e-95ccef0f9a11"/>
    <s v="***"/>
    <d v="2026-03-31T11:15:35"/>
    <n v="575"/>
    <x v="71"/>
    <d v="2026-03-31T04:15:35"/>
    <x v="57"/>
    <s v="Tuesday"/>
    <n v="4"/>
  </r>
  <r>
    <s v="3eeb2317-b939-428e-9a9e-88cf2bd40800"/>
    <s v="***"/>
    <d v="2026-03-31T11:19:35"/>
    <n v="575"/>
    <x v="10"/>
    <d v="2026-03-31T04:19:35"/>
    <x v="57"/>
    <s v="Tuesday"/>
    <n v="4"/>
  </r>
  <r>
    <s v="efb5b92f-bcd6-45a9-a071-6699070963c5"/>
    <s v="***"/>
    <d v="2026-03-31T11:40:34"/>
    <n v="531"/>
    <x v="1"/>
    <d v="2026-03-31T04:40:34"/>
    <x v="57"/>
    <s v="Tuesday"/>
    <n v="4"/>
  </r>
  <r>
    <s v="c94894bb-a8d1-4bb4-97d8-21aef6f6ef1c"/>
    <s v="***"/>
    <d v="2026-03-31T12:00:34"/>
    <n v="3"/>
    <x v="10"/>
    <d v="2026-03-31T05:00:34"/>
    <x v="57"/>
    <s v="Tuesday"/>
    <n v="5"/>
  </r>
  <r>
    <s v="cc3d0402-4bce-4ad5-ad0b-e0141992fdc8"/>
    <s v="***"/>
    <d v="2026-03-31T12:05:19"/>
    <n v="2"/>
    <x v="1"/>
    <d v="2026-03-31T05:05:19"/>
    <x v="57"/>
    <s v="Tuesday"/>
    <n v="5"/>
  </r>
  <r>
    <s v="0ba49766-1a92-46dd-95ac-b7bcce9e4600"/>
    <s v="***"/>
    <d v="2026-03-31T12:06:38"/>
    <n v="531"/>
    <x v="1"/>
    <d v="2026-03-31T05:06:38"/>
    <x v="57"/>
    <s v="Tuesday"/>
    <n v="5"/>
  </r>
  <r>
    <s v="70c4854c-85d3-455c-8875-ebc0c4527d7a"/>
    <s v="***"/>
    <d v="2026-03-31T14:38:10"/>
    <n v="3"/>
    <x v="109"/>
    <d v="2026-03-31T07:38:10"/>
    <x v="57"/>
    <s v="Tuesday"/>
    <n v="7"/>
  </r>
  <r>
    <s v="924215da-4d4f-4833-8957-3f451541c27f"/>
    <s v="***"/>
    <d v="2026-03-31T15:23:49"/>
    <n v="531"/>
    <x v="5"/>
    <d v="2026-03-31T08:23:49"/>
    <x v="57"/>
    <s v="Tuesday"/>
    <n v="8"/>
  </r>
  <r>
    <s v="bdd3b887-de6f-4bf6-a4f4-d6fe0595f5ad"/>
    <s v="***"/>
    <d v="2026-03-31T15:45:12"/>
    <n v="531"/>
    <x v="5"/>
    <d v="2026-03-31T08:45:12"/>
    <x v="57"/>
    <s v="Tuesday"/>
    <n v="8"/>
  </r>
  <r>
    <s v="106cc036-b769-4581-a8c5-c553a4fd490d"/>
    <s v="***"/>
    <d v="2026-03-31T17:15:04"/>
    <n v="35"/>
    <x v="1"/>
    <d v="2026-03-31T10:15:04"/>
    <x v="57"/>
    <s v="Tuesday"/>
    <n v="10"/>
  </r>
  <r>
    <s v="3dfed4f9-b514-48b7-89f8-38c67c902616"/>
    <s v="***"/>
    <d v="2026-03-31T17:39:14"/>
    <n v="35"/>
    <x v="31"/>
    <d v="2026-03-31T10:39:14"/>
    <x v="57"/>
    <s v="Tuesday"/>
    <n v="10"/>
  </r>
  <r>
    <s v="a1046a7e-4018-4cbb-80aa-0c102c339947"/>
    <s v="***"/>
    <d v="2026-03-31T18:28:25"/>
    <n v="1"/>
    <x v="1"/>
    <d v="2026-03-31T11:28:25"/>
    <x v="57"/>
    <s v="Tuesday"/>
    <n v="11"/>
  </r>
  <r>
    <s v="3b9040b2-3bc6-4e10-843b-6c99a3fdf1fb"/>
    <s v="***"/>
    <d v="2026-03-31T18:51:14"/>
    <n v="35"/>
    <x v="1"/>
    <d v="2026-03-31T11:51:14"/>
    <x v="57"/>
    <s v="Tuesday"/>
    <n v="11"/>
  </r>
  <r>
    <s v="76a08618-fc52-4efc-90aa-807a1e6dd4fe"/>
    <s v="***"/>
    <d v="2026-03-31T19:17:08"/>
    <n v="35"/>
    <x v="1"/>
    <d v="2026-03-31T12:17:08"/>
    <x v="57"/>
    <s v="Tuesday"/>
    <n v="12"/>
  </r>
  <r>
    <s v="08dc6452-e3de-45e9-8a03-39e897d5a13c"/>
    <s v="***"/>
    <d v="2026-03-31T20:37:20"/>
    <n v="3"/>
    <x v="1"/>
    <d v="2026-03-31T13:37:20"/>
    <x v="57"/>
    <s v="Tuesday"/>
    <n v="13"/>
  </r>
  <r>
    <s v="bde8e3cf-b752-4c7f-8c3a-a3d0874ccd55"/>
    <s v="***"/>
    <d v="2026-03-31T21:16:21"/>
    <n v="531"/>
    <x v="5"/>
    <d v="2026-03-31T14:16:21"/>
    <x v="57"/>
    <s v="Tuesday"/>
    <n v="14"/>
  </r>
  <r>
    <s v="7efd7a71-e4f6-4c7d-9ca4-14219795a1d3"/>
    <s v="***"/>
    <d v="2026-03-31T22:11:58"/>
    <n v="531"/>
    <x v="5"/>
    <d v="2026-03-31T15:11:58"/>
    <x v="57"/>
    <s v="Tuesday"/>
    <n v="15"/>
  </r>
  <r>
    <s v="3b55d42a-8172-4820-87de-3ef5f7e9f9a7"/>
    <s v="***"/>
    <d v="2026-03-31T22:34:06"/>
    <n v="531"/>
    <x v="5"/>
    <d v="2026-03-31T15:34:06"/>
    <x v="57"/>
    <s v="Tuesday"/>
    <n v="15"/>
  </r>
  <r>
    <s v="365195a4-f01d-4933-8de0-7b7ced02de3d"/>
    <s v="***"/>
    <d v="2026-04-01T00:20:31"/>
    <n v="531"/>
    <x v="5"/>
    <d v="2026-03-31T17:20:31"/>
    <x v="57"/>
    <s v="Tuesday"/>
    <n v="17"/>
  </r>
  <r>
    <s v="f060ffb1-0b0b-4c11-80b2-962ef320e98a"/>
    <s v="***"/>
    <d v="2026-04-01T00:24:30"/>
    <n v="3"/>
    <x v="124"/>
    <d v="2026-03-31T17:24:30"/>
    <x v="57"/>
    <s v="Tuesday"/>
    <n v="17"/>
  </r>
  <r>
    <s v="f334c0eb-5b98-4a89-9bdf-f59fc7fac5cd"/>
    <s v="***"/>
    <d v="2026-04-01T05:54:10"/>
    <n v="531"/>
    <x v="1"/>
    <d v="2026-03-31T22:54:10"/>
    <x v="57"/>
    <s v="Tuesday"/>
    <n v="22"/>
  </r>
  <r>
    <s v="6a029df8-b997-4f90-9696-57ee08e8cc2c"/>
    <s v="***"/>
    <d v="2026-04-01T07:56:15"/>
    <n v="894"/>
    <x v="1"/>
    <d v="2026-04-01T00:56:15"/>
    <x v="58"/>
    <s v="Wednesday"/>
    <n v="0"/>
  </r>
  <r>
    <s v="f11faf78-f811-47fb-8577-a66d84d4cc4b"/>
    <s v="***"/>
    <d v="2026-04-01T09:41:36"/>
    <n v="531"/>
    <x v="5"/>
    <d v="2026-04-01T02:41:36"/>
    <x v="58"/>
    <s v="Wednesday"/>
    <n v="2"/>
  </r>
  <r>
    <s v="7762bbe4-fd57-4e64-a2d3-4e9004ebfcbb"/>
    <s v="***"/>
    <d v="2026-04-01T10:08:29"/>
    <n v="531"/>
    <x v="1"/>
    <d v="2026-04-01T03:08:29"/>
    <x v="58"/>
    <s v="Wednesday"/>
    <n v="3"/>
  </r>
  <r>
    <s v="e4eb6c95-cfb0-48f1-8540-8e0bcff63495"/>
    <s v="***"/>
    <d v="2026-04-01T10:17:29"/>
    <n v="531"/>
    <x v="1"/>
    <d v="2026-04-01T03:17:29"/>
    <x v="58"/>
    <s v="Wednesday"/>
    <n v="3"/>
  </r>
  <r>
    <s v="3d602a88-d808-4c14-9b56-38fc25475399"/>
    <s v="***"/>
    <d v="2026-04-01T10:49:00"/>
    <n v="531"/>
    <x v="5"/>
    <d v="2026-04-01T03:49:00"/>
    <x v="58"/>
    <s v="Wednesday"/>
    <n v="3"/>
  </r>
  <r>
    <s v="376c7d7e-186e-4ad4-9d3a-1c4edd09938a"/>
    <s v="***"/>
    <d v="2026-04-01T11:23:42"/>
    <n v="531"/>
    <x v="1"/>
    <d v="2026-04-01T04:23:42"/>
    <x v="58"/>
    <s v="Wednesday"/>
    <n v="4"/>
  </r>
  <r>
    <s v="e89bf15d-82f1-4ec9-855b-5f1b0f8d9b5b"/>
    <s v="***"/>
    <d v="2026-04-01T11:51:21"/>
    <n v="531"/>
    <x v="1"/>
    <d v="2026-04-01T04:51:21"/>
    <x v="58"/>
    <s v="Wednesday"/>
    <n v="4"/>
  </r>
  <r>
    <s v="253d1a1a-e881-427c-b27d-c038ff339690"/>
    <s v="***"/>
    <d v="2026-04-01T14:22:50"/>
    <n v="531"/>
    <x v="5"/>
    <d v="2026-04-01T07:22:50"/>
    <x v="58"/>
    <s v="Wednesday"/>
    <n v="7"/>
  </r>
  <r>
    <s v="0f9714a5-36dd-44f9-8775-d1bbe8016808"/>
    <s v="***"/>
    <d v="2026-04-01T18:20:28"/>
    <n v="575"/>
    <x v="1"/>
    <d v="2026-04-01T11:20:28"/>
    <x v="58"/>
    <s v="Wednesday"/>
    <n v="11"/>
  </r>
  <r>
    <s v="15188981-439f-43a3-a708-8c3818909481"/>
    <s v="***"/>
    <d v="2026-04-01T18:25:54"/>
    <n v="3"/>
    <x v="125"/>
    <d v="2026-04-01T11:25:54"/>
    <x v="58"/>
    <s v="Wednesday"/>
    <n v="11"/>
  </r>
  <r>
    <s v="faf9e490-d007-4568-8e8b-e79499e3231f"/>
    <s v="***"/>
    <d v="2026-04-01T18:52:23"/>
    <n v="3"/>
    <x v="125"/>
    <d v="2026-04-01T11:52:23"/>
    <x v="58"/>
    <s v="Wednesday"/>
    <n v="11"/>
  </r>
  <r>
    <s v="f331f260-6561-4fcb-8aa5-5af40a343da0"/>
    <s v="***"/>
    <d v="2026-04-01T20:09:18"/>
    <n v="3"/>
    <x v="125"/>
    <d v="2026-04-01T13:09:18"/>
    <x v="58"/>
    <s v="Wednesday"/>
    <n v="13"/>
  </r>
  <r>
    <s v="6fbccf72-68cb-4188-990e-38fd7718eb81"/>
    <s v="***"/>
    <d v="2026-04-02T07:01:32"/>
    <n v="3"/>
    <x v="124"/>
    <d v="2026-04-02T00:01:32"/>
    <x v="59"/>
    <s v="Thursday"/>
    <n v="0"/>
  </r>
  <r>
    <s v="7e940a0e-9a7d-4cb7-a1ea-2723bfc6bdf8"/>
    <s v="***"/>
    <d v="2026-04-02T07:03:47"/>
    <n v="3"/>
    <x v="1"/>
    <d v="2026-04-02T00:03:47"/>
    <x v="59"/>
    <s v="Thursday"/>
    <n v="0"/>
  </r>
  <r>
    <s v="ab0c1252-c9d6-41b8-8393-9ce4b3a146e6"/>
    <s v="***"/>
    <d v="2026-04-02T07:04:25"/>
    <n v="575"/>
    <x v="1"/>
    <d v="2026-04-02T00:04:25"/>
    <x v="59"/>
    <s v="Thursday"/>
    <n v="0"/>
  </r>
  <r>
    <s v="189de33b-dc2f-428f-a0b5-22800b0e08a4"/>
    <s v="***"/>
    <d v="2026-04-02T10:32:39"/>
    <n v="3"/>
    <x v="126"/>
    <d v="2026-04-02T03:32:39"/>
    <x v="59"/>
    <s v="Thursday"/>
    <n v="3"/>
  </r>
  <r>
    <s v="81099501-dda3-4220-9cc0-e6993496ded5"/>
    <s v="***"/>
    <d v="2026-04-02T10:37:13"/>
    <n v="3"/>
    <x v="1"/>
    <d v="2026-04-02T03:37:13"/>
    <x v="59"/>
    <s v="Thursday"/>
    <n v="3"/>
  </r>
  <r>
    <s v="f3056ae7-18f0-4270-b9bf-d9241d2f8b61"/>
    <s v="***"/>
    <d v="2026-04-02T10:38:17"/>
    <n v="3"/>
    <x v="1"/>
    <d v="2026-04-02T03:38:17"/>
    <x v="59"/>
    <s v="Thursday"/>
    <n v="3"/>
  </r>
  <r>
    <s v="918aa092-94be-4e20-bb4c-525572513f18"/>
    <s v="***"/>
    <d v="2026-04-02T10:40:54"/>
    <n v="3"/>
    <x v="127"/>
    <d v="2026-04-02T03:40:54"/>
    <x v="59"/>
    <s v="Thursday"/>
    <n v="3"/>
  </r>
  <r>
    <s v="55baeb38-fc34-4901-a695-60188a9f9434"/>
    <s v="***"/>
    <d v="2026-04-02T10:44:01"/>
    <n v="3"/>
    <x v="1"/>
    <d v="2026-04-02T03:44:01"/>
    <x v="59"/>
    <s v="Thursday"/>
    <n v="3"/>
  </r>
  <r>
    <s v="259f0031-0fe4-4444-b807-365b8f409789"/>
    <s v="***"/>
    <d v="2026-04-02T11:13:01"/>
    <n v="3"/>
    <x v="1"/>
    <d v="2026-04-02T04:13:01"/>
    <x v="59"/>
    <s v="Thursday"/>
    <n v="4"/>
  </r>
  <r>
    <s v="d8d7644c-a7e8-4876-96de-7bd7e7a0c592"/>
    <s v="***"/>
    <d v="2026-04-02T11:35:10"/>
    <n v="530"/>
    <x v="1"/>
    <d v="2026-04-02T04:35:10"/>
    <x v="59"/>
    <s v="Thursday"/>
    <n v="4"/>
  </r>
  <r>
    <s v="52630e76-4e78-4ad6-ab4d-aeca567a7812"/>
    <s v="***"/>
    <d v="2026-04-02T16:33:45"/>
    <n v="575"/>
    <x v="1"/>
    <d v="2026-04-02T09:33:45"/>
    <x v="59"/>
    <s v="Thursday"/>
    <n v="9"/>
  </r>
  <r>
    <s v="cbaec6ff-c3fd-4659-be87-dc1b8850cb2c"/>
    <s v="***"/>
    <d v="2026-04-02T16:33:58"/>
    <n v="3"/>
    <x v="109"/>
    <d v="2026-04-02T09:33:58"/>
    <x v="59"/>
    <s v="Thursday"/>
    <n v="9"/>
  </r>
  <r>
    <s v="38072d2d-02c6-4e7c-a4cd-2a07eb0d4670"/>
    <s v="***"/>
    <d v="2026-04-02T16:39:28"/>
    <n v="3"/>
    <x v="45"/>
    <d v="2026-04-02T09:39:28"/>
    <x v="59"/>
    <s v="Thursday"/>
    <n v="9"/>
  </r>
  <r>
    <s v="f3e14926-7357-424f-bc40-1dc9d3b0ddda"/>
    <s v="***"/>
    <d v="2026-04-02T20:23:44"/>
    <n v="3"/>
    <x v="1"/>
    <d v="2026-04-02T13:23:44"/>
    <x v="59"/>
    <s v="Thursday"/>
    <n v="13"/>
  </r>
  <r>
    <s v="66871055-776f-4b32-a663-5d01124055ab"/>
    <s v="***"/>
    <d v="2026-04-02T20:23:53"/>
    <n v="3"/>
    <x v="128"/>
    <d v="2026-04-02T13:23:53"/>
    <x v="59"/>
    <s v="Thursday"/>
    <n v="13"/>
  </r>
  <r>
    <s v="354bc47e-4b8e-42b6-b392-d7a63834654f"/>
    <s v="***"/>
    <d v="2026-04-02T21:21:01"/>
    <n v="575"/>
    <x v="1"/>
    <d v="2026-04-02T14:21:01"/>
    <x v="59"/>
    <s v="Thursday"/>
    <n v="14"/>
  </r>
  <r>
    <s v="6489f70f-67b9-4435-bfba-2cfae4569c58"/>
    <s v="***"/>
    <d v="2026-04-02T21:37:00"/>
    <n v="3"/>
    <x v="128"/>
    <d v="2026-04-02T14:37:00"/>
    <x v="59"/>
    <s v="Thursday"/>
    <n v="14"/>
  </r>
  <r>
    <s v="ab3ddb1d-5645-423a-bab0-3a64ceb87757"/>
    <s v="***"/>
    <d v="2026-04-02T23:22:32"/>
    <n v="575"/>
    <x v="1"/>
    <d v="2026-04-02T16:22:32"/>
    <x v="59"/>
    <s v="Thursday"/>
    <n v="16"/>
  </r>
  <r>
    <s v="21a65076-204e-4006-b477-60f508e53706"/>
    <s v="***"/>
    <d v="2026-04-02T23:22:51"/>
    <n v="3"/>
    <x v="129"/>
    <d v="2026-04-02T16:22:51"/>
    <x v="59"/>
    <s v="Thursday"/>
    <n v="16"/>
  </r>
  <r>
    <s v="b1d62b46-0bf2-4e3d-a151-c8404f782032"/>
    <s v="***"/>
    <d v="2026-04-03T00:09:59"/>
    <n v="3"/>
    <x v="128"/>
    <d v="2026-04-02T17:09:59"/>
    <x v="59"/>
    <s v="Thursday"/>
    <n v="17"/>
  </r>
  <r>
    <s v="95faa79c-d74d-4735-a385-583876bfebe0"/>
    <s v="***"/>
    <d v="2026-04-03T02:05:17"/>
    <n v="3"/>
    <x v="1"/>
    <d v="2026-04-02T19:05:17"/>
    <x v="59"/>
    <s v="Thursday"/>
    <n v="19"/>
  </r>
  <r>
    <s v="0ce6abea-daa4-450b-9097-ecfda1df4fe6"/>
    <s v="***"/>
    <d v="2026-04-03T02:35:18"/>
    <n v="575"/>
    <x v="1"/>
    <d v="2026-04-02T19:35:18"/>
    <x v="59"/>
    <s v="Thursday"/>
    <n v="19"/>
  </r>
  <r>
    <s v="8f83ce77-096b-43a4-ab64-6acbe3da362c"/>
    <s v="***"/>
    <d v="2026-04-03T02:37:32"/>
    <n v="3"/>
    <x v="45"/>
    <d v="2026-04-02T19:37:32"/>
    <x v="59"/>
    <s v="Thursday"/>
    <n v="19"/>
  </r>
  <r>
    <s v="aa485b5c-9247-4d0a-8442-7f697da7c87d"/>
    <s v="***"/>
    <d v="2026-04-03T07:53:00"/>
    <n v="912"/>
    <x v="1"/>
    <d v="2026-04-03T00:53:00"/>
    <x v="60"/>
    <s v="Friday"/>
    <n v="0"/>
  </r>
  <r>
    <s v="d3423fd9-c237-493b-ac2e-56abb57c5015"/>
    <s v="***"/>
    <d v="2026-04-03T09:34:29"/>
    <n v="912"/>
    <x v="1"/>
    <d v="2026-04-03T02:34:29"/>
    <x v="60"/>
    <s v="Friday"/>
    <n v="2"/>
  </r>
  <r>
    <s v="c38c169d-490b-4de2-919e-ac3182b6cbd3"/>
    <s v="***"/>
    <d v="2026-04-03T10:01:05"/>
    <n v="35"/>
    <x v="130"/>
    <d v="2026-04-03T03:01:05"/>
    <x v="60"/>
    <s v="Friday"/>
    <n v="3"/>
  </r>
  <r>
    <s v="e223a9e4-e423-4370-8208-82b1270b067a"/>
    <s v="***"/>
    <d v="2026-04-03T11:10:01"/>
    <n v="912"/>
    <x v="1"/>
    <d v="2026-04-03T04:10:01"/>
    <x v="60"/>
    <s v="Friday"/>
    <n v="4"/>
  </r>
  <r>
    <s v="a2f9fbe6-6679-419d-9744-1a092a82c943"/>
    <s v="***"/>
    <d v="2026-04-03T14:37:10"/>
    <n v="3"/>
    <x v="1"/>
    <d v="2026-04-03T07:37:10"/>
    <x v="60"/>
    <s v="Friday"/>
    <n v="7"/>
  </r>
  <r>
    <s v="e654916f-12e8-45e5-aff7-2542b8864f30"/>
    <s v="***"/>
    <d v="2026-04-03T14:47:17"/>
    <n v="3"/>
    <x v="1"/>
    <d v="2026-04-03T07:47:17"/>
    <x v="60"/>
    <s v="Friday"/>
    <n v="7"/>
  </r>
  <r>
    <s v="65aa6e11-54fc-4a9a-8715-1f27807f7ad6"/>
    <s v="***"/>
    <d v="2026-04-03T20:35:56"/>
    <n v="3"/>
    <x v="10"/>
    <d v="2026-04-03T13:35:56"/>
    <x v="60"/>
    <s v="Friday"/>
    <n v="13"/>
  </r>
  <r>
    <s v="cb1e8a06-6c54-45b0-9bef-e02514aeaaf3"/>
    <s v="***"/>
    <d v="2026-04-04T05:03:19"/>
    <n v="3"/>
    <x v="45"/>
    <d v="2026-04-03T22:03:19"/>
    <x v="60"/>
    <s v="Friday"/>
    <n v="22"/>
  </r>
  <r>
    <s v="843a45c7-7f5b-4f60-b7c6-52a3f296ad12"/>
    <s v="***"/>
    <d v="2026-04-04T11:30:57"/>
    <n v="3"/>
    <x v="1"/>
    <d v="2026-04-04T04:30:57"/>
    <x v="61"/>
    <s v="Saturday"/>
    <n v="4"/>
  </r>
  <r>
    <s v="66bda619-c889-4314-9eb4-440653b63e91"/>
    <s v="***"/>
    <d v="2026-04-04T11:34:32"/>
    <n v="2"/>
    <x v="131"/>
    <d v="2026-04-04T04:34:32"/>
    <x v="61"/>
    <s v="Saturday"/>
    <n v="4"/>
  </r>
  <r>
    <s v="f1ce4cca-9a31-4056-9fe5-0409186c9445"/>
    <s v="***"/>
    <d v="2026-04-04T11:35:04"/>
    <n v="3"/>
    <x v="1"/>
    <d v="2026-04-04T04:35:04"/>
    <x v="61"/>
    <s v="Saturday"/>
    <n v="4"/>
  </r>
  <r>
    <s v="915c1367-5ce8-4145-923e-616ea374bfc8"/>
    <s v="***"/>
    <d v="2026-04-04T11:35:20"/>
    <n v="3"/>
    <x v="1"/>
    <d v="2026-04-04T04:35:20"/>
    <x v="61"/>
    <s v="Saturday"/>
    <n v="4"/>
  </r>
  <r>
    <s v="41d744e6-b4e1-4e70-bbb1-96fa0af6d269"/>
    <s v="***"/>
    <d v="2026-04-04T11:42:48"/>
    <n v="3"/>
    <x v="1"/>
    <d v="2026-04-04T04:42:48"/>
    <x v="61"/>
    <s v="Saturday"/>
    <n v="4"/>
  </r>
  <r>
    <s v="11c5c1fc-4dbe-4820-9003-78b1d7ea522c"/>
    <s v="***"/>
    <d v="2026-04-04T12:05:55"/>
    <n v="3"/>
    <x v="1"/>
    <d v="2026-04-04T05:05:55"/>
    <x v="61"/>
    <s v="Saturday"/>
    <n v="5"/>
  </r>
  <r>
    <s v="6855f5a4-f759-4dd0-b934-2ea8f8421232"/>
    <s v="***"/>
    <d v="2026-04-04T12:14:44"/>
    <n v="575"/>
    <x v="1"/>
    <d v="2026-04-04T05:14:44"/>
    <x v="61"/>
    <s v="Saturday"/>
    <n v="5"/>
  </r>
  <r>
    <s v="ff12859b-f7cd-407a-8c0d-ccb32a3d1cfd"/>
    <s v="***"/>
    <d v="2026-04-05T01:37:57"/>
    <n v="3"/>
    <x v="1"/>
    <d v="2026-04-04T18:37:57"/>
    <x v="61"/>
    <s v="Saturday"/>
    <n v="18"/>
  </r>
  <r>
    <s v="e8a206aa-e7d0-419e-99c1-b46f5f6bac7e"/>
    <s v="***"/>
    <d v="2026-04-05T01:39:17"/>
    <n v="3"/>
    <x v="45"/>
    <d v="2026-04-04T18:39:17"/>
    <x v="61"/>
    <s v="Saturday"/>
    <n v="18"/>
  </r>
  <r>
    <s v="dc539e5d-2afe-4540-90f8-60503c24d538"/>
    <s v="***"/>
    <d v="2026-04-05T02:52:00"/>
    <n v="3"/>
    <x v="1"/>
    <d v="2026-04-04T19:52:00"/>
    <x v="61"/>
    <s v="Saturday"/>
    <n v="19"/>
  </r>
  <r>
    <s v="edcb39ad-070e-4871-b854-32c973064e88"/>
    <s v="***"/>
    <d v="2026-04-05T03:03:07"/>
    <n v="3"/>
    <x v="1"/>
    <d v="2026-04-04T20:03:07"/>
    <x v="61"/>
    <s v="Saturday"/>
    <n v="20"/>
  </r>
  <r>
    <s v="ccd98717-e76e-49c3-8417-a5cf8f71d739"/>
    <s v="***"/>
    <d v="2026-04-05T03:22:37"/>
    <n v="3"/>
    <x v="1"/>
    <d v="2026-04-04T20:22:37"/>
    <x v="61"/>
    <s v="Saturday"/>
    <n v="20"/>
  </r>
  <r>
    <s v="f496bd7e-c487-4787-bb50-5fb33ad04bc9"/>
    <s v="***"/>
    <d v="2026-04-05T04:11:44"/>
    <n v="3"/>
    <x v="45"/>
    <d v="2026-04-04T21:11:44"/>
    <x v="61"/>
    <s v="Saturday"/>
    <n v="21"/>
  </r>
  <r>
    <s v="55ca1f49-2d3a-4101-9c16-ea5c25b2ba46"/>
    <s v="***"/>
    <d v="2026-04-05T05:28:43"/>
    <n v="3"/>
    <x v="45"/>
    <d v="2026-04-04T22:28:43"/>
    <x v="61"/>
    <s v="Saturday"/>
    <n v="22"/>
  </r>
  <r>
    <s v="94cc7966-10e7-45dd-af8f-038cfd038506"/>
    <s v="***"/>
    <d v="2026-04-05T09:47:12"/>
    <n v="3"/>
    <x v="2"/>
    <d v="2026-04-05T02:47:12"/>
    <x v="62"/>
    <s v="Sunday"/>
    <n v="2"/>
  </r>
  <r>
    <s v="b59c7ce2-1a84-4c45-a7f3-65afbfd1edcf"/>
    <s v="***"/>
    <d v="2026-04-05T14:06:38"/>
    <n v="3"/>
    <x v="132"/>
    <d v="2026-04-05T07:06:38"/>
    <x v="62"/>
    <s v="Sunday"/>
    <n v="7"/>
  </r>
  <r>
    <s v="ccf964e2-0e95-40d4-9c12-9297c8e933d4"/>
    <s v="***"/>
    <d v="2026-04-05T14:07:40"/>
    <n v="2"/>
    <x v="1"/>
    <d v="2026-04-05T07:07:40"/>
    <x v="62"/>
    <s v="Sunday"/>
    <n v="7"/>
  </r>
  <r>
    <s v="487de148-e361-44ce-9593-a883177c12d7"/>
    <s v="***"/>
    <d v="2026-04-05T14:07:53"/>
    <n v="3"/>
    <x v="133"/>
    <d v="2026-04-05T07:07:53"/>
    <x v="62"/>
    <s v="Sunday"/>
    <n v="7"/>
  </r>
  <r>
    <s v="55d180c0-1574-4537-b221-97328f286f94"/>
    <s v="***"/>
    <d v="2026-04-05T16:32:26"/>
    <n v="575"/>
    <x v="1"/>
    <d v="2026-04-05T09:32:26"/>
    <x v="62"/>
    <s v="Sunday"/>
    <n v="9"/>
  </r>
  <r>
    <s v="6b93c8d2-2823-483d-9c15-f8f6c0257b4f"/>
    <s v="***"/>
    <d v="2026-04-05T16:33:07"/>
    <n v="3"/>
    <x v="111"/>
    <d v="2026-04-05T09:33:07"/>
    <x v="62"/>
    <s v="Sunday"/>
    <n v="9"/>
  </r>
  <r>
    <s v="5b4dcd24-0a1e-487d-bd20-2778dbf23159"/>
    <s v="***"/>
    <d v="2026-04-05T20:14:51"/>
    <n v="530"/>
    <x v="6"/>
    <d v="2026-04-05T13:14:51"/>
    <x v="62"/>
    <s v="Sunday"/>
    <n v="13"/>
  </r>
  <r>
    <s v="deaddc26-491f-4e1c-b8da-45c11439e400"/>
    <s v="***"/>
    <d v="2026-04-05T20:17:53"/>
    <n v="3"/>
    <x v="45"/>
    <d v="2026-04-05T13:17:53"/>
    <x v="62"/>
    <s v="Sunday"/>
    <n v="13"/>
  </r>
  <r>
    <s v="f169e537-b6ea-493b-af07-a9e1f8e9ae69"/>
    <s v="***"/>
    <d v="2026-04-05T20:30:20"/>
    <n v="3"/>
    <x v="134"/>
    <d v="2026-04-05T13:30:20"/>
    <x v="62"/>
    <s v="Sunday"/>
    <n v="13"/>
  </r>
  <r>
    <s v="68d2cacc-f239-46f1-a56e-db9a8dbb730c"/>
    <s v="***"/>
    <d v="2026-04-05T20:34:39"/>
    <n v="3"/>
    <x v="6"/>
    <d v="2026-04-05T13:34:39"/>
    <x v="62"/>
    <s v="Sunday"/>
    <n v="13"/>
  </r>
  <r>
    <s v="75652177-d2a3-481b-bb57-81de2b9f8e91"/>
    <s v="***"/>
    <d v="2026-04-05T20:45:48"/>
    <n v="3"/>
    <x v="6"/>
    <d v="2026-04-05T13:45:48"/>
    <x v="62"/>
    <s v="Sunday"/>
    <n v="13"/>
  </r>
  <r>
    <s v="00444f4d-fc7f-48b1-a475-465df740a78f"/>
    <s v="***"/>
    <d v="2026-04-05T21:00:38"/>
    <n v="2"/>
    <x v="135"/>
    <d v="2026-04-05T14:00:38"/>
    <x v="62"/>
    <s v="Sunday"/>
    <n v="14"/>
  </r>
  <r>
    <s v="4a2ec8a8-9ed2-4521-b467-2c417c2efb7b"/>
    <s v="***"/>
    <d v="2026-04-05T21:00:49"/>
    <n v="3"/>
    <x v="6"/>
    <d v="2026-04-05T14:00:49"/>
    <x v="62"/>
    <s v="Sunday"/>
    <n v="14"/>
  </r>
  <r>
    <s v="2db05ec1-611e-4a28-aba8-ec70e58a092b"/>
    <s v="***"/>
    <d v="2026-04-05T21:30:12"/>
    <n v="530"/>
    <x v="6"/>
    <d v="2026-04-05T14:30:12"/>
    <x v="62"/>
    <s v="Sunday"/>
    <n v="14"/>
  </r>
  <r>
    <s v="fb1846a7-8085-4a62-ab9e-e6bfe8a5c8c0"/>
    <s v="***"/>
    <d v="2026-04-06T03:00:42"/>
    <n v="530"/>
    <x v="6"/>
    <d v="2026-04-05T20:00:42"/>
    <x v="62"/>
    <s v="Sunday"/>
    <n v="20"/>
  </r>
  <r>
    <s v="c42e3c92-7f7e-4e9c-8790-849cda6a8864"/>
    <s v="***"/>
    <d v="2026-04-06T08:23:31"/>
    <n v="3"/>
    <x v="136"/>
    <d v="2026-04-06T01:23:31"/>
    <x v="63"/>
    <s v="Monday"/>
    <n v="1"/>
  </r>
  <r>
    <s v="ec45cd01-f87e-4a7d-a1a4-77a8498846dc"/>
    <s v="***"/>
    <d v="2026-04-06T08:23:45"/>
    <n v="3"/>
    <x v="137"/>
    <d v="2026-04-06T01:23:45"/>
    <x v="63"/>
    <s v="Monday"/>
    <n v="1"/>
  </r>
  <r>
    <s v="40a2bc78-400c-47a1-8bfe-b3637fe646e5"/>
    <s v="***"/>
    <d v="2026-04-06T08:48:00"/>
    <n v="912"/>
    <x v="1"/>
    <d v="2026-04-06T01:48:00"/>
    <x v="63"/>
    <s v="Monday"/>
    <n v="1"/>
  </r>
  <r>
    <s v="7d4298b0-c5c8-43b3-84e6-579d2f2ea4d9"/>
    <s v="***"/>
    <d v="2026-04-06T12:51:02"/>
    <n v="3"/>
    <x v="1"/>
    <d v="2026-04-06T05:51:02"/>
    <x v="63"/>
    <s v="Monday"/>
    <n v="5"/>
  </r>
  <r>
    <s v="57026275-e7c8-4c61-a610-09ec6110edd7"/>
    <s v="***"/>
    <d v="2026-04-06T13:02:09"/>
    <n v="530"/>
    <x v="1"/>
    <d v="2026-04-06T06:02:09"/>
    <x v="63"/>
    <s v="Monday"/>
    <n v="6"/>
  </r>
  <r>
    <s v="bba108f8-b4cc-4448-9c12-a5fb2bf998db"/>
    <s v="***"/>
    <d v="2026-04-06T18:55:50"/>
    <n v="530"/>
    <x v="1"/>
    <d v="2026-04-06T11:55:50"/>
    <x v="63"/>
    <s v="Monday"/>
    <n v="11"/>
  </r>
  <r>
    <s v="4ee2dc8f-85f2-4f85-b5f7-926b68e8b20b"/>
    <s v="***"/>
    <d v="2026-04-06T19:26:58"/>
    <n v="575"/>
    <x v="111"/>
    <d v="2026-04-06T12:26:58"/>
    <x v="63"/>
    <s v="Monday"/>
    <n v="12"/>
  </r>
  <r>
    <s v="2e119ef1-90dc-44b9-af43-0633400bc985"/>
    <s v="***"/>
    <d v="2026-04-06T22:45:22"/>
    <n v="2"/>
    <x v="1"/>
    <d v="2026-04-06T15:45:22"/>
    <x v="63"/>
    <s v="Monday"/>
    <n v="15"/>
  </r>
  <r>
    <s v="fbb862f4-d507-4307-81fe-b1ed93ad923a"/>
    <s v="***"/>
    <d v="2026-04-07T02:44:44"/>
    <n v="575"/>
    <x v="44"/>
    <d v="2026-04-06T19:44:44"/>
    <x v="63"/>
    <s v="Monday"/>
    <n v="19"/>
  </r>
  <r>
    <s v="e4868bca-cbd7-4748-bc98-950eb7726e16"/>
    <s v="***"/>
    <d v="2026-04-07T03:05:59"/>
    <n v="575"/>
    <x v="44"/>
    <d v="2026-04-06T20:05:59"/>
    <x v="63"/>
    <s v="Monday"/>
    <n v="20"/>
  </r>
  <r>
    <s v="cddfb14b-d1af-4996-9219-345aebfc44ff"/>
    <s v="***"/>
    <d v="2026-04-07T05:37:44"/>
    <n v="912"/>
    <x v="1"/>
    <d v="2026-04-06T22:37:44"/>
    <x v="63"/>
    <s v="Monday"/>
    <n v="22"/>
  </r>
  <r>
    <s v="0d2f098b-5eb8-4804-8e39-874d9301223c"/>
    <s v="***"/>
    <d v="2026-04-07T06:01:13"/>
    <n v="912"/>
    <x v="1"/>
    <d v="2026-04-06T23:01:13"/>
    <x v="63"/>
    <s v="Monday"/>
    <n v="23"/>
  </r>
  <r>
    <s v="89030bda-269a-4746-8648-580bdc2a06da"/>
    <s v="***"/>
    <d v="2026-04-07T07:57:14"/>
    <n v="575"/>
    <x v="1"/>
    <d v="2026-04-07T00:57:14"/>
    <x v="64"/>
    <s v="Tuesday"/>
    <n v="0"/>
  </r>
  <r>
    <s v="ae455fbe-33cb-4d61-98d6-d0989fc69ac4"/>
    <s v="***"/>
    <d v="2026-04-07T08:30:43"/>
    <n v="575"/>
    <x v="1"/>
    <d v="2026-04-07T01:30:43"/>
    <x v="64"/>
    <s v="Tuesday"/>
    <n v="1"/>
  </r>
  <r>
    <s v="6458148f-43ad-47d7-8abd-5bc7260d8de4"/>
    <s v="***"/>
    <d v="2026-04-07T10:26:38"/>
    <n v="575"/>
    <x v="71"/>
    <d v="2026-04-07T03:26:38"/>
    <x v="64"/>
    <s v="Tuesday"/>
    <n v="3"/>
  </r>
  <r>
    <s v="7701e483-6d79-4850-8d06-6f852de1c5a9"/>
    <s v="***"/>
    <d v="2026-04-07T11:52:57"/>
    <n v="3"/>
    <x v="10"/>
    <d v="2026-04-07T04:52:57"/>
    <x v="64"/>
    <s v="Tuesday"/>
    <n v="4"/>
  </r>
  <r>
    <s v="a7c5dc76-6766-4550-922f-5e257a36f384"/>
    <s v="***"/>
    <d v="2026-04-07T12:45:35"/>
    <n v="1"/>
    <x v="122"/>
    <d v="2026-04-07T05:45:35"/>
    <x v="64"/>
    <s v="Tuesday"/>
    <n v="5"/>
  </r>
  <r>
    <s v="00460720-ee48-4361-a858-b15edb2e8fa3"/>
    <s v="***"/>
    <d v="2026-04-07T12:54:18"/>
    <n v="575"/>
    <x v="1"/>
    <d v="2026-04-07T05:54:18"/>
    <x v="64"/>
    <s v="Tuesday"/>
    <n v="5"/>
  </r>
  <r>
    <s v="4f13a3e8-2bf9-481b-9a6f-e032e462d452"/>
    <s v="***"/>
    <d v="2026-04-07T13:50:39"/>
    <n v="530"/>
    <x v="1"/>
    <d v="2026-04-07T06:50:39"/>
    <x v="64"/>
    <s v="Tuesday"/>
    <n v="6"/>
  </r>
  <r>
    <s v="88a6b3b9-69bf-44cc-805a-c9c79388bc5a"/>
    <s v="***"/>
    <d v="2026-04-07T17:53:15"/>
    <n v="575"/>
    <x v="1"/>
    <d v="2026-04-07T10:53:15"/>
    <x v="64"/>
    <s v="Tuesday"/>
    <n v="10"/>
  </r>
  <r>
    <s v="12ca516f-c811-468c-8495-0af774d7605b"/>
    <s v="***"/>
    <d v="2026-04-08T09:25:18"/>
    <n v="575"/>
    <x v="1"/>
    <d v="2026-04-08T02:25:18"/>
    <x v="65"/>
    <s v="Wednesday"/>
    <n v="2"/>
  </r>
  <r>
    <s v="3d71fcec-52f8-4983-9889-7b7d36355bd6"/>
    <s v="***"/>
    <d v="2026-04-08T10:16:05"/>
    <n v="3"/>
    <x v="138"/>
    <d v="2026-04-08T03:16:05"/>
    <x v="65"/>
    <s v="Wednesday"/>
    <n v="3"/>
  </r>
  <r>
    <s v="2112bf05-79be-4946-acad-c40a29a22da7"/>
    <s v="***"/>
    <d v="2026-04-08T10:16:33"/>
    <n v="3"/>
    <x v="139"/>
    <d v="2026-04-08T03:16:33"/>
    <x v="65"/>
    <s v="Wednesday"/>
    <n v="3"/>
  </r>
  <r>
    <s v="e89d21fd-5307-44d6-abc1-d96a8e17bb06"/>
    <s v="***"/>
    <d v="2026-04-08T10:32:48"/>
    <n v="3"/>
    <x v="140"/>
    <d v="2026-04-08T03:32:48"/>
    <x v="65"/>
    <s v="Wednesday"/>
    <n v="3"/>
  </r>
  <r>
    <s v="11811b20-8819-4c31-acea-92a9c6ad14be"/>
    <s v="***"/>
    <d v="2026-04-08T20:18:01"/>
    <n v="575"/>
    <x v="6"/>
    <d v="2026-04-08T13:18:01"/>
    <x v="65"/>
    <s v="Wednesday"/>
    <n v="13"/>
  </r>
  <r>
    <s v="cf62485e-fb9d-49f1-a947-cf0fa7bb76c4"/>
    <s v="***"/>
    <d v="2026-04-08T22:14:38"/>
    <n v="3"/>
    <x v="1"/>
    <d v="2026-04-08T15:14:38"/>
    <x v="65"/>
    <s v="Wednesday"/>
    <n v="15"/>
  </r>
  <r>
    <s v="873cd371-951b-48bd-92e3-1a0f1271430d"/>
    <s v="***"/>
    <d v="2026-04-09T10:17:43"/>
    <n v="3"/>
    <x v="1"/>
    <d v="2026-04-09T03:17:43"/>
    <x v="66"/>
    <s v="Thursday"/>
    <n v="3"/>
  </r>
  <r>
    <s v="12491d35-bad7-4aca-ad95-cb19bdccd120"/>
    <s v="***"/>
    <d v="2026-04-09T10:29:24"/>
    <n v="530"/>
    <x v="1"/>
    <d v="2026-04-09T03:29:24"/>
    <x v="66"/>
    <s v="Thursday"/>
    <n v="3"/>
  </r>
  <r>
    <s v="b1cdc71c-f23d-4896-9179-fafe23e0414b"/>
    <s v="***"/>
    <d v="2026-04-09T13:07:21"/>
    <n v="3"/>
    <x v="1"/>
    <d v="2026-04-09T06:07:21"/>
    <x v="66"/>
    <s v="Thursday"/>
    <n v="6"/>
  </r>
  <r>
    <s v="e8dc2e73-c656-4e2e-aad3-a226e145b053"/>
    <s v="***"/>
    <d v="2026-04-09T13:09:23"/>
    <n v="3"/>
    <x v="73"/>
    <d v="2026-04-09T06:09:23"/>
    <x v="66"/>
    <s v="Thursday"/>
    <n v="6"/>
  </r>
  <r>
    <s v="2dee7d73-ea84-4feb-8a5f-7c66bda89ddf"/>
    <s v="***"/>
    <d v="2026-04-09T14:04:13"/>
    <n v="575"/>
    <x v="1"/>
    <d v="2026-04-09T07:04:13"/>
    <x v="66"/>
    <s v="Thursday"/>
    <n v="7"/>
  </r>
  <r>
    <s v="8fd66319-6c01-42ba-b756-69b20279a6cd"/>
    <s v="***"/>
    <d v="2026-04-09T14:04:46"/>
    <n v="3"/>
    <x v="1"/>
    <d v="2026-04-09T07:04:46"/>
    <x v="66"/>
    <s v="Thursday"/>
    <n v="7"/>
  </r>
  <r>
    <s v="ec1e7755-fdb2-4601-aa8e-46e189f708d4"/>
    <s v="***"/>
    <d v="2026-04-09T14:06:33"/>
    <n v="3"/>
    <x v="141"/>
    <d v="2026-04-09T07:06:33"/>
    <x v="66"/>
    <s v="Thursday"/>
    <n v="7"/>
  </r>
  <r>
    <s v="55adca64-36d9-4521-be15-2d61627e93d2"/>
    <s v="***"/>
    <d v="2026-04-09T15:27:37"/>
    <n v="1"/>
    <x v="73"/>
    <d v="2026-04-09T08:27:37"/>
    <x v="66"/>
    <s v="Thursday"/>
    <n v="8"/>
  </r>
  <r>
    <s v="a277c9b4-d0cf-42bd-94e6-4971c6c5278f"/>
    <s v="***"/>
    <d v="2026-04-09T16:38:27"/>
    <n v="575"/>
    <x v="73"/>
    <d v="2026-04-09T09:38:27"/>
    <x v="66"/>
    <s v="Thursday"/>
    <n v="9"/>
  </r>
  <r>
    <s v="1ef0c364-52f6-4ce2-9ad8-79c10d0cc3cf"/>
    <s v="***"/>
    <d v="2026-04-09T16:41:25"/>
    <n v="530"/>
    <x v="1"/>
    <d v="2026-04-09T09:41:25"/>
    <x v="66"/>
    <s v="Thursday"/>
    <n v="9"/>
  </r>
  <r>
    <s v="980619bf-8144-406e-91f3-d3a676acd21f"/>
    <s v="***"/>
    <d v="2026-04-09T16:58:39"/>
    <n v="575"/>
    <x v="1"/>
    <d v="2026-04-09T09:58:39"/>
    <x v="66"/>
    <s v="Thursday"/>
    <n v="9"/>
  </r>
  <r>
    <s v="d6eb0133-6c22-484c-b76d-c8a8de9ef1e9"/>
    <s v="***"/>
    <d v="2026-04-09T17:00:08"/>
    <n v="575"/>
    <x v="1"/>
    <d v="2026-04-09T10:00:08"/>
    <x v="66"/>
    <s v="Thursday"/>
    <n v="10"/>
  </r>
  <r>
    <s v="b7696f75-9dac-40d9-887f-f14ac55b5b64"/>
    <s v="***"/>
    <d v="2026-04-09T17:09:38"/>
    <n v="575"/>
    <x v="73"/>
    <d v="2026-04-09T10:09:38"/>
    <x v="66"/>
    <s v="Thursday"/>
    <n v="10"/>
  </r>
  <r>
    <s v="87955bef-e233-47c9-8f7d-a9f19ec15568"/>
    <s v="***"/>
    <d v="2026-04-09T17:16:18"/>
    <n v="575"/>
    <x v="73"/>
    <d v="2026-04-09T10:16:18"/>
    <x v="66"/>
    <s v="Thursday"/>
    <n v="10"/>
  </r>
  <r>
    <s v="70a5b0c2-22c5-4f83-85b3-81e5b6a0b19e"/>
    <s v="***"/>
    <d v="2026-04-09T18:34:42"/>
    <n v="530"/>
    <x v="1"/>
    <d v="2026-04-09T11:34:42"/>
    <x v="66"/>
    <s v="Thursday"/>
    <n v="11"/>
  </r>
  <r>
    <s v="54ddf981-69d5-4a10-af60-801068ebb7a9"/>
    <s v="***"/>
    <d v="2026-04-09T18:47:28"/>
    <n v="575"/>
    <x v="73"/>
    <d v="2026-04-09T11:47:28"/>
    <x v="66"/>
    <s v="Thursday"/>
    <n v="11"/>
  </r>
  <r>
    <s v="b7bde95a-77a2-418d-9d23-e5a396c567fe"/>
    <s v="***"/>
    <d v="2026-04-09T19:08:12"/>
    <n v="530"/>
    <x v="1"/>
    <d v="2026-04-09T12:08:12"/>
    <x v="66"/>
    <s v="Thursday"/>
    <n v="12"/>
  </r>
  <r>
    <s v="288d834b-b185-4598-ae70-03a773c1a2f6"/>
    <s v="***"/>
    <d v="2026-04-09T20:18:33"/>
    <n v="575"/>
    <x v="1"/>
    <d v="2026-04-09T13:18:33"/>
    <x v="66"/>
    <s v="Thursday"/>
    <n v="13"/>
  </r>
  <r>
    <s v="5298e785-a762-4b14-882d-b3ba9cf533f6"/>
    <s v="***"/>
    <d v="2026-04-09T20:29:44"/>
    <n v="3"/>
    <x v="1"/>
    <d v="2026-04-09T13:29:44"/>
    <x v="66"/>
    <s v="Thursday"/>
    <n v="13"/>
  </r>
  <r>
    <s v="f9437f15-7166-4cb3-b01b-6203d1477f67"/>
    <s v="***"/>
    <d v="2026-04-09T20:55:34"/>
    <n v="575"/>
    <x v="1"/>
    <d v="2026-04-09T13:55:34"/>
    <x v="66"/>
    <s v="Thursday"/>
    <n v="13"/>
  </r>
  <r>
    <s v="231d0262-40a2-4407-b5bf-46891d6d4b10"/>
    <s v="***"/>
    <d v="2026-04-09T21:00:58"/>
    <n v="3"/>
    <x v="1"/>
    <d v="2026-04-09T14:00:58"/>
    <x v="66"/>
    <s v="Thursday"/>
    <n v="14"/>
  </r>
  <r>
    <s v="56acb679-6314-4752-b822-156f96ad0e93"/>
    <s v="***"/>
    <d v="2026-04-09T21:00:59"/>
    <n v="575"/>
    <x v="1"/>
    <d v="2026-04-09T14:00:59"/>
    <x v="66"/>
    <s v="Thursday"/>
    <n v="14"/>
  </r>
  <r>
    <s v="bdc26442-fe19-462e-83e8-a41a6794fcfe"/>
    <s v="***"/>
    <d v="2026-04-09T21:19:39"/>
    <n v="3"/>
    <x v="142"/>
    <d v="2026-04-09T14:19:39"/>
    <x v="66"/>
    <s v="Thursday"/>
    <n v="14"/>
  </r>
  <r>
    <s v="36cae516-1602-4be1-bd10-27d4a80f96f2"/>
    <s v="***"/>
    <d v="2026-04-09T22:13:05"/>
    <n v="530"/>
    <x v="5"/>
    <d v="2026-04-09T15:13:05"/>
    <x v="66"/>
    <s v="Thursday"/>
    <n v="15"/>
  </r>
  <r>
    <s v="7e545299-929f-4a49-949b-7eb8da8d890b"/>
    <s v="***"/>
    <d v="2026-04-09T22:31:52"/>
    <n v="530"/>
    <x v="1"/>
    <d v="2026-04-09T15:31:52"/>
    <x v="66"/>
    <s v="Thursday"/>
    <n v="15"/>
  </r>
  <r>
    <s v="a970db13-15db-441f-91e0-68e99699f32e"/>
    <s v="***"/>
    <d v="2026-04-10T06:34:03"/>
    <n v="530"/>
    <x v="1"/>
    <d v="2026-04-09T23:34:03"/>
    <x v="66"/>
    <s v="Thursday"/>
    <n v="23"/>
  </r>
  <r>
    <s v="03969c5d-7c93-4533-872b-6cc0810d07b3"/>
    <s v="***"/>
    <d v="2026-04-10T08:41:10"/>
    <n v="530"/>
    <x v="1"/>
    <d v="2026-04-10T01:41:10"/>
    <x v="67"/>
    <s v="Friday"/>
    <n v="1"/>
  </r>
  <r>
    <s v="6e281fe0-f000-4e4d-bc06-196b35dd3e2a"/>
    <s v="***"/>
    <d v="2026-04-10T08:52:05"/>
    <n v="3"/>
    <x v="45"/>
    <d v="2026-04-10T01:52:05"/>
    <x v="67"/>
    <s v="Friday"/>
    <n v="1"/>
  </r>
  <r>
    <s v="d056816d-a005-43e6-b725-5680e832b785"/>
    <s v="***"/>
    <d v="2026-04-10T09:35:12"/>
    <n v="530"/>
    <x v="1"/>
    <d v="2026-04-10T02:35:12"/>
    <x v="67"/>
    <s v="Friday"/>
    <n v="2"/>
  </r>
  <r>
    <s v="a6f14f66-8564-4981-af96-0653d4074555"/>
    <s v="***"/>
    <d v="2026-04-10T09:55:55"/>
    <n v="3"/>
    <x v="1"/>
    <d v="2026-04-10T02:55:55"/>
    <x v="67"/>
    <s v="Friday"/>
    <n v="2"/>
  </r>
  <r>
    <s v="3334440a-add4-4d83-a2fa-dec9dec77c5e"/>
    <s v="***"/>
    <d v="2026-04-10T10:57:11"/>
    <n v="530"/>
    <x v="6"/>
    <d v="2026-04-10T03:57:11"/>
    <x v="67"/>
    <s v="Friday"/>
    <n v="3"/>
  </r>
  <r>
    <s v="84b0f0bc-5b19-47ae-b2e2-c0defb691cb3"/>
    <s v="***"/>
    <d v="2026-04-10T11:10:34"/>
    <n v="530"/>
    <x v="1"/>
    <d v="2026-04-10T04:10:34"/>
    <x v="67"/>
    <s v="Friday"/>
    <n v="4"/>
  </r>
  <r>
    <s v="c8cdb93e-bf11-4ea9-a3ff-7c9faa3d6ccb"/>
    <s v="***"/>
    <d v="2026-04-10T12:07:17"/>
    <n v="530"/>
    <x v="1"/>
    <d v="2026-04-10T05:07:17"/>
    <x v="67"/>
    <s v="Friday"/>
    <n v="5"/>
  </r>
  <r>
    <s v="ea3b9046-6fea-4a36-8213-504da3d5edb5"/>
    <s v="***"/>
    <d v="2026-04-10T13:11:27"/>
    <n v="530"/>
    <x v="1"/>
    <d v="2026-04-10T06:11:27"/>
    <x v="67"/>
    <s v="Friday"/>
    <n v="6"/>
  </r>
  <r>
    <s v="66def4f9-a514-4001-8179-61d03e3cdc6a"/>
    <s v="***"/>
    <d v="2026-04-10T14:04:20"/>
    <n v="530"/>
    <x v="1"/>
    <d v="2026-04-10T07:04:20"/>
    <x v="67"/>
    <s v="Friday"/>
    <n v="7"/>
  </r>
  <r>
    <s v="192d2960-258d-49e4-ae8c-269fc75d2944"/>
    <s v="***"/>
    <d v="2026-04-10T14:15:42"/>
    <n v="530"/>
    <x v="1"/>
    <d v="2026-04-10T07:15:42"/>
    <x v="67"/>
    <s v="Friday"/>
    <n v="7"/>
  </r>
  <r>
    <s v="f654f0c7-86d2-4ac2-bd3b-cfaa96fa9708"/>
    <s v="***"/>
    <d v="2026-04-10T14:46:38"/>
    <n v="3"/>
    <x v="1"/>
    <d v="2026-04-10T07:46:38"/>
    <x v="67"/>
    <s v="Friday"/>
    <n v="7"/>
  </r>
  <r>
    <s v="5d20fe6a-77f8-4329-b472-2bd85c48a441"/>
    <s v="***"/>
    <d v="2026-04-10T15:02:21"/>
    <n v="530"/>
    <x v="1"/>
    <d v="2026-04-10T08:02:21"/>
    <x v="67"/>
    <s v="Friday"/>
    <n v="8"/>
  </r>
  <r>
    <s v="c2ae29bf-65a0-4997-a54e-d3d4a25149a0"/>
    <s v="***"/>
    <d v="2026-04-10T15:04:02"/>
    <n v="575"/>
    <x v="1"/>
    <d v="2026-04-10T08:04:02"/>
    <x v="67"/>
    <s v="Friday"/>
    <n v="8"/>
  </r>
  <r>
    <s v="cf3b2510-f6ef-4797-85a7-9cfaa7f7e3d8"/>
    <s v="***"/>
    <d v="2026-04-10T15:39:03"/>
    <n v="530"/>
    <x v="1"/>
    <d v="2026-04-10T08:39:03"/>
    <x v="67"/>
    <s v="Friday"/>
    <n v="8"/>
  </r>
  <r>
    <s v="e43f5918-9663-434e-87ff-bb364f4746aa"/>
    <s v="***"/>
    <d v="2026-04-10T15:42:00"/>
    <n v="530"/>
    <x v="1"/>
    <d v="2026-04-10T08:42:00"/>
    <x v="67"/>
    <s v="Friday"/>
    <n v="8"/>
  </r>
  <r>
    <s v="ab052c75-66a8-4b6b-a987-f1393b273227"/>
    <s v="***"/>
    <d v="2026-04-10T16:05:03"/>
    <n v="530"/>
    <x v="1"/>
    <d v="2026-04-10T09:05:03"/>
    <x v="67"/>
    <s v="Friday"/>
    <n v="9"/>
  </r>
  <r>
    <s v="77099576-ea4d-4acb-b94e-a99e5c300b9f"/>
    <s v="***"/>
    <d v="2026-04-10T16:09:40"/>
    <n v="530"/>
    <x v="1"/>
    <d v="2026-04-10T09:09:40"/>
    <x v="67"/>
    <s v="Friday"/>
    <n v="9"/>
  </r>
  <r>
    <s v="46d2007f-3318-48c6-ab62-a4a53e92cd7a"/>
    <s v="***"/>
    <d v="2026-04-10T17:17:20"/>
    <n v="530"/>
    <x v="1"/>
    <d v="2026-04-10T10:17:20"/>
    <x v="67"/>
    <s v="Friday"/>
    <n v="10"/>
  </r>
  <r>
    <s v="6cdef459-27ce-4853-8e85-00eb0f99d1b3"/>
    <s v="***"/>
    <d v="2026-04-10T17:18:50"/>
    <n v="530"/>
    <x v="141"/>
    <d v="2026-04-10T10:18:50"/>
    <x v="67"/>
    <s v="Friday"/>
    <n v="10"/>
  </r>
  <r>
    <s v="4be506f9-7d2b-4750-bf37-eae2c18b6aea"/>
    <s v="***"/>
    <d v="2026-04-10T17:51:30"/>
    <n v="530"/>
    <x v="1"/>
    <d v="2026-04-10T10:51:30"/>
    <x v="67"/>
    <s v="Friday"/>
    <n v="10"/>
  </r>
  <r>
    <s v="af090fff-1a18-4fdb-953e-e9ccd352f2bd"/>
    <s v="***"/>
    <d v="2026-04-10T18:04:49"/>
    <n v="530"/>
    <x v="1"/>
    <d v="2026-04-10T11:04:49"/>
    <x v="67"/>
    <s v="Friday"/>
    <n v="11"/>
  </r>
  <r>
    <s v="2d0f4401-2537-4b42-876f-001570a14931"/>
    <s v="***"/>
    <d v="2026-04-10T19:17:43"/>
    <n v="530"/>
    <x v="1"/>
    <d v="2026-04-10T12:17:43"/>
    <x v="67"/>
    <s v="Friday"/>
    <n v="12"/>
  </r>
  <r>
    <s v="281d9027-51f3-40ae-aadf-664759d90abc"/>
    <s v="***"/>
    <d v="2026-04-10T22:07:42"/>
    <n v="3"/>
    <x v="1"/>
    <d v="2026-04-10T15:07:42"/>
    <x v="67"/>
    <s v="Friday"/>
    <n v="15"/>
  </r>
  <r>
    <s v="b7550221-895c-4385-a20c-7bfe8f69ae59"/>
    <s v="***"/>
    <d v="2026-04-11T06:26:26"/>
    <n v="530"/>
    <x v="1"/>
    <d v="2026-04-10T23:26:26"/>
    <x v="67"/>
    <s v="Friday"/>
    <n v="23"/>
  </r>
  <r>
    <s v="69ba5e17-44ce-4d84-b3cc-82b025d9a80b"/>
    <s v="***"/>
    <d v="2026-04-11T07:56:10"/>
    <n v="530"/>
    <x v="1"/>
    <d v="2026-04-11T00:56:10"/>
    <x v="68"/>
    <s v="Saturday"/>
    <n v="0"/>
  </r>
  <r>
    <s v="db1499bc-6fa6-4d4d-a676-8abaecb041bf"/>
    <s v="***"/>
    <d v="2026-04-11T11:33:12"/>
    <n v="530"/>
    <x v="1"/>
    <d v="2026-04-11T04:33:12"/>
    <x v="68"/>
    <s v="Saturday"/>
    <n v="4"/>
  </r>
  <r>
    <s v="de9eb9b0-bef9-4df5-b468-b0f661fb9f86"/>
    <s v="***"/>
    <d v="2026-04-11T11:38:47"/>
    <n v="3"/>
    <x v="1"/>
    <d v="2026-04-11T04:38:47"/>
    <x v="68"/>
    <s v="Saturday"/>
    <n v="4"/>
  </r>
  <r>
    <s v="6b479c9d-6fdf-4a7d-88de-5d08605c545b"/>
    <s v="***"/>
    <d v="2026-04-11T12:28:13"/>
    <n v="575"/>
    <x v="1"/>
    <d v="2026-04-11T05:28:13"/>
    <x v="68"/>
    <s v="Saturday"/>
    <n v="5"/>
  </r>
  <r>
    <s v="36726895-c39a-45d9-8e21-6e2d421267ca"/>
    <s v="***"/>
    <d v="2026-04-11T12:29:28"/>
    <n v="530"/>
    <x v="1"/>
    <d v="2026-04-11T05:29:28"/>
    <x v="68"/>
    <s v="Saturday"/>
    <n v="5"/>
  </r>
  <r>
    <s v="0f2dd19b-34d6-4b0b-96ac-5e2472109de0"/>
    <s v="***"/>
    <d v="2026-04-11T13:32:31"/>
    <n v="575"/>
    <x v="1"/>
    <d v="2026-04-11T06:32:31"/>
    <x v="68"/>
    <s v="Saturday"/>
    <n v="6"/>
  </r>
  <r>
    <s v="82e00e11-b887-4308-937d-bfa84ae9389d"/>
    <s v="***"/>
    <d v="2026-04-11T13:35:46"/>
    <n v="575"/>
    <x v="1"/>
    <d v="2026-04-11T06:35:46"/>
    <x v="68"/>
    <s v="Saturday"/>
    <n v="6"/>
  </r>
  <r>
    <s v="f04b9799-16b9-4a0f-9e46-a4d626c61379"/>
    <s v="***"/>
    <d v="2026-04-11T14:07:18"/>
    <n v="575"/>
    <x v="1"/>
    <d v="2026-04-11T07:07:18"/>
    <x v="68"/>
    <s v="Saturday"/>
    <n v="7"/>
  </r>
  <r>
    <s v="6c5cf196-9d85-4d95-bbf0-71b98cd3004f"/>
    <s v="***"/>
    <d v="2026-04-11T14:15:44"/>
    <n v="530"/>
    <x v="6"/>
    <d v="2026-04-11T07:15:44"/>
    <x v="68"/>
    <s v="Saturday"/>
    <n v="7"/>
  </r>
  <r>
    <s v="4752afe4-17f7-45c6-b667-5c20786b5df9"/>
    <s v="***"/>
    <d v="2026-04-11T15:34:39"/>
    <n v="575"/>
    <x v="1"/>
    <d v="2026-04-11T08:34:39"/>
    <x v="68"/>
    <s v="Saturday"/>
    <n v="8"/>
  </r>
  <r>
    <s v="5adeecd4-8974-4084-aa8f-5029dfde63e7"/>
    <s v="***"/>
    <d v="2026-04-11T15:39:51"/>
    <n v="530"/>
    <x v="5"/>
    <d v="2026-04-11T08:39:51"/>
    <x v="68"/>
    <s v="Saturday"/>
    <n v="8"/>
  </r>
  <r>
    <s v="01dbc60e-4f63-41c7-9d67-ae89236131ca"/>
    <s v="***"/>
    <d v="2026-04-11T16:14:46"/>
    <n v="575"/>
    <x v="1"/>
    <d v="2026-04-11T09:14:46"/>
    <x v="68"/>
    <s v="Saturday"/>
    <n v="9"/>
  </r>
  <r>
    <s v="3ae24b3e-e97b-467a-b13b-8d4bf77a98d1"/>
    <s v="***"/>
    <d v="2026-04-11T17:02:51"/>
    <n v="3"/>
    <x v="1"/>
    <d v="2026-04-11T10:02:51"/>
    <x v="68"/>
    <s v="Saturday"/>
    <n v="10"/>
  </r>
  <r>
    <s v="6740d2ce-b63d-415c-9604-5fb576f60736"/>
    <s v="***"/>
    <d v="2026-04-11T17:02:56"/>
    <n v="3"/>
    <x v="1"/>
    <d v="2026-04-11T10:02:56"/>
    <x v="68"/>
    <s v="Saturday"/>
    <n v="10"/>
  </r>
  <r>
    <s v="83086c41-4241-4166-98f9-08de738e4d46"/>
    <s v="***"/>
    <d v="2026-04-11T17:12:19"/>
    <n v="575"/>
    <x v="1"/>
    <d v="2026-04-11T10:12:19"/>
    <x v="68"/>
    <s v="Saturday"/>
    <n v="10"/>
  </r>
  <r>
    <s v="89185e34-c350-456d-ba00-5f595b4298fa"/>
    <s v="***"/>
    <d v="2026-04-11T18:27:00"/>
    <n v="530"/>
    <x v="1"/>
    <d v="2026-04-11T11:27:00"/>
    <x v="68"/>
    <s v="Saturday"/>
    <n v="11"/>
  </r>
  <r>
    <s v="9f7512e7-b394-46f1-965c-12110a8d6766"/>
    <s v="***"/>
    <d v="2026-04-11T19:25:41"/>
    <n v="530"/>
    <x v="6"/>
    <d v="2026-04-11T12:25:41"/>
    <x v="68"/>
    <s v="Saturday"/>
    <n v="12"/>
  </r>
  <r>
    <s v="e5200ee0-f79b-44ca-9f69-f39233df25bf"/>
    <s v="***"/>
    <d v="2026-04-11T19:32:06"/>
    <n v="530"/>
    <x v="1"/>
    <d v="2026-04-11T12:32:06"/>
    <x v="68"/>
    <s v="Saturday"/>
    <n v="12"/>
  </r>
  <r>
    <s v="22414747-b29b-42ca-9715-6e9b9e57ab88"/>
    <s v="***"/>
    <d v="2026-04-11T20:23:05"/>
    <n v="530"/>
    <x v="1"/>
    <d v="2026-04-11T13:23:05"/>
    <x v="68"/>
    <s v="Saturday"/>
    <n v="13"/>
  </r>
  <r>
    <s v="1762505a-dfa8-40c2-bad4-8e61b44c45c9"/>
    <s v="***"/>
    <d v="2026-04-11T21:59:24"/>
    <n v="530"/>
    <x v="1"/>
    <d v="2026-04-11T14:59:24"/>
    <x v="68"/>
    <s v="Saturday"/>
    <n v="14"/>
  </r>
  <r>
    <s v="d01149d1-287c-47cb-8e32-3dbffb226bd4"/>
    <s v="***"/>
    <d v="2026-04-12T01:06:01"/>
    <n v="3"/>
    <x v="1"/>
    <d v="2026-04-11T18:06:01"/>
    <x v="68"/>
    <s v="Saturday"/>
    <n v="18"/>
  </r>
  <r>
    <s v="75bb5d5d-2c8c-474c-b2c3-13ff0e55ddc2"/>
    <s v="***"/>
    <d v="2026-04-12T09:51:25"/>
    <n v="530"/>
    <x v="1"/>
    <d v="2026-04-12T02:51:25"/>
    <x v="69"/>
    <s v="Sunday"/>
    <n v="2"/>
  </r>
  <r>
    <s v="51235426-dad3-4e98-b44e-3870deca2c52"/>
    <s v="***"/>
    <d v="2026-04-12T10:26:12"/>
    <n v="3"/>
    <x v="143"/>
    <d v="2026-04-12T03:26:12"/>
    <x v="69"/>
    <s v="Sunday"/>
    <n v="3"/>
  </r>
  <r>
    <s v="227cb521-c6fd-4136-8aac-6e1f308a7440"/>
    <s v="***"/>
    <d v="2026-04-12T11:13:39"/>
    <n v="3"/>
    <x v="143"/>
    <d v="2026-04-12T04:13:39"/>
    <x v="69"/>
    <s v="Sunday"/>
    <n v="4"/>
  </r>
  <r>
    <s v="0603201e-1be9-4ed0-904d-c981a8b18b04"/>
    <s v="***"/>
    <d v="2026-04-12T14:33:03"/>
    <n v="3"/>
    <x v="143"/>
    <d v="2026-04-12T07:33:03"/>
    <x v="69"/>
    <s v="Sunday"/>
    <n v="7"/>
  </r>
  <r>
    <s v="545708e8-5a1e-4213-9fcd-e5aed520e417"/>
    <s v="***"/>
    <d v="2026-04-12T15:36:32"/>
    <n v="530"/>
    <x v="1"/>
    <d v="2026-04-12T08:36:32"/>
    <x v="69"/>
    <s v="Sunday"/>
    <n v="8"/>
  </r>
  <r>
    <s v="e60d7ba3-6811-4489-996d-5acc37f0e52f"/>
    <s v="***"/>
    <d v="2026-04-12T20:31:19"/>
    <n v="530"/>
    <x v="1"/>
    <d v="2026-04-12T13:31:19"/>
    <x v="69"/>
    <s v="Sunday"/>
    <n v="13"/>
  </r>
  <r>
    <s v="6bdf8f0e-7d40-4fe7-b272-6be6aece21dd"/>
    <s v="***"/>
    <d v="2026-04-12T21:17:47"/>
    <n v="530"/>
    <x v="6"/>
    <d v="2026-04-12T14:17:47"/>
    <x v="69"/>
    <s v="Sunday"/>
    <n v="14"/>
  </r>
  <r>
    <s v="659bc228-006a-47ad-a3e3-fd459d6c4529"/>
    <s v="***"/>
    <d v="2026-04-12T21:41:57"/>
    <n v="3"/>
    <x v="1"/>
    <d v="2026-04-12T14:41:57"/>
    <x v="69"/>
    <s v="Sunday"/>
    <n v="14"/>
  </r>
  <r>
    <s v="c0ce816c-84be-4cd3-b042-46537bbb9bcc"/>
    <s v="***"/>
    <d v="2026-04-12T22:04:18"/>
    <n v="575"/>
    <x v="44"/>
    <d v="2026-04-12T15:04:18"/>
    <x v="69"/>
    <s v="Sunday"/>
    <n v="15"/>
  </r>
  <r>
    <s v="ca3afe0b-db77-456d-944c-f0dd9f365563"/>
    <s v="***"/>
    <d v="2026-04-12T22:05:49"/>
    <n v="575"/>
    <x v="17"/>
    <d v="2026-04-12T15:05:49"/>
    <x v="69"/>
    <s v="Sunday"/>
    <n v="15"/>
  </r>
  <r>
    <s v="0465f8e4-0521-44a8-a06e-852f11ce8de0"/>
    <s v="***"/>
    <d v="2026-04-13T05:24:42"/>
    <n v="530"/>
    <x v="6"/>
    <d v="2026-04-12T22:24:42"/>
    <x v="69"/>
    <s v="Sunday"/>
    <n v="22"/>
  </r>
  <r>
    <s v="4894f0f6-7abc-4cb3-bf97-86d2d45d6ba8"/>
    <s v="***"/>
    <d v="2026-04-13T07:02:47"/>
    <n v="530"/>
    <x v="6"/>
    <d v="2026-04-13T00:02:47"/>
    <x v="70"/>
    <s v="Monday"/>
    <n v="0"/>
  </r>
  <r>
    <s v="c8a1e731-54d8-48e2-9e46-9c0dcfb752f4"/>
    <s v="***"/>
    <d v="2026-04-13T13:40:34"/>
    <n v="36"/>
    <x v="1"/>
    <d v="2026-04-13T06:40:34"/>
    <x v="70"/>
    <s v="Monday"/>
    <n v="6"/>
  </r>
  <r>
    <s v="4b82805c-dd9f-49ad-a8b1-95e54090e073"/>
    <s v="***"/>
    <d v="2026-04-13T16:23:58"/>
    <n v="1"/>
    <x v="1"/>
    <d v="2026-04-13T09:23:58"/>
    <x v="70"/>
    <s v="Monday"/>
    <n v="9"/>
  </r>
  <r>
    <s v="bcd49c0a-de82-43fd-a220-c178fedaa689"/>
    <s v="***"/>
    <d v="2026-04-13T16:55:01"/>
    <n v="3"/>
    <x v="1"/>
    <d v="2026-04-13T09:55:01"/>
    <x v="70"/>
    <s v="Monday"/>
    <n v="9"/>
  </r>
  <r>
    <s v="41c982ca-3534-41fa-b848-0745b4228433"/>
    <s v="***"/>
    <d v="2026-04-13T16:59:00"/>
    <n v="575"/>
    <x v="144"/>
    <d v="2026-04-13T09:59:00"/>
    <x v="70"/>
    <s v="Monday"/>
    <n v="9"/>
  </r>
  <r>
    <s v="982862e7-cd58-4685-8b95-e7556de4d6c7"/>
    <s v="***"/>
    <d v="2026-04-13T16:59:28"/>
    <n v="3"/>
    <x v="90"/>
    <d v="2026-04-13T09:59:28"/>
    <x v="70"/>
    <s v="Monday"/>
    <n v="9"/>
  </r>
  <r>
    <s v="36096b88-0237-49fe-b8ed-a09f259be86f"/>
    <s v="***"/>
    <d v="2026-04-13T16:59:31"/>
    <n v="2"/>
    <x v="1"/>
    <d v="2026-04-13T09:59:31"/>
    <x v="70"/>
    <s v="Monday"/>
    <n v="9"/>
  </r>
  <r>
    <s v="beee3c0b-445f-4134-bb7d-d8a2d6dbf70e"/>
    <s v="***"/>
    <d v="2026-04-13T17:02:23"/>
    <n v="5"/>
    <x v="90"/>
    <d v="2026-04-13T10:02:23"/>
    <x v="70"/>
    <s v="Monday"/>
    <n v="10"/>
  </r>
  <r>
    <s v="d7a732cf-f001-4373-818d-27b2bdcbb30f"/>
    <s v="***"/>
    <d v="2026-04-13T17:03:51"/>
    <n v="575"/>
    <x v="144"/>
    <d v="2026-04-13T10:03:51"/>
    <x v="70"/>
    <s v="Monday"/>
    <n v="10"/>
  </r>
  <r>
    <s v="f1e16e13-d466-47bc-9cac-1fbe8cf202d9"/>
    <s v="***"/>
    <d v="2026-04-13T17:40:11"/>
    <n v="35"/>
    <x v="1"/>
    <d v="2026-04-13T10:40:11"/>
    <x v="70"/>
    <s v="Monday"/>
    <n v="10"/>
  </r>
  <r>
    <s v="3edde94a-ff98-4231-953b-da4c24c5b73a"/>
    <s v="***"/>
    <d v="2026-04-13T19:02:43"/>
    <n v="35"/>
    <x v="1"/>
    <d v="2026-04-13T12:02:43"/>
    <x v="70"/>
    <s v="Monday"/>
    <n v="12"/>
  </r>
  <r>
    <s v="77669985-c9f6-4e8f-8078-0cf9297054a7"/>
    <s v="***"/>
    <d v="2026-04-13T21:00:43"/>
    <n v="530"/>
    <x v="6"/>
    <d v="2026-04-13T14:00:43"/>
    <x v="70"/>
    <s v="Monday"/>
    <n v="14"/>
  </r>
  <r>
    <s v="1739e164-16eb-4c21-8863-736529525835"/>
    <s v="***"/>
    <d v="2026-04-14T03:51:39"/>
    <n v="3"/>
    <x v="1"/>
    <d v="2026-04-13T20:51:39"/>
    <x v="70"/>
    <s v="Monday"/>
    <n v="20"/>
  </r>
  <r>
    <s v="9459894f-c4de-4293-a7f1-d151ebbd35ef"/>
    <s v="***"/>
    <d v="2026-04-14T04:35:26"/>
    <n v="3"/>
    <x v="1"/>
    <d v="2026-04-13T21:35:26"/>
    <x v="70"/>
    <s v="Monday"/>
    <n v="21"/>
  </r>
  <r>
    <s v="25832154-6326-416d-bd28-e2ea7aa336f5"/>
    <s v="***"/>
    <d v="2026-04-14T10:22:45"/>
    <n v="35"/>
    <x v="1"/>
    <d v="2026-04-14T03:22:45"/>
    <x v="71"/>
    <s v="Tuesday"/>
    <n v="3"/>
  </r>
  <r>
    <s v="43059949-15b2-469c-ace1-c27800ecc62b"/>
    <s v="***"/>
    <d v="2026-04-14T11:29:26"/>
    <n v="3"/>
    <x v="50"/>
    <d v="2026-04-14T04:29:26"/>
    <x v="71"/>
    <s v="Tuesday"/>
    <n v="4"/>
  </r>
  <r>
    <s v="693c5415-c558-485b-9eb3-01c2c0fcbd25"/>
    <s v="***"/>
    <d v="2026-04-14T11:44:20"/>
    <n v="530"/>
    <x v="1"/>
    <d v="2026-04-14T04:44:20"/>
    <x v="71"/>
    <s v="Tuesday"/>
    <n v="4"/>
  </r>
  <r>
    <s v="54ad46b2-6f8a-4087-ae50-37c3510d0899"/>
    <s v="***"/>
    <d v="2026-04-14T12:22:45"/>
    <n v="3"/>
    <x v="50"/>
    <d v="2026-04-14T05:22:45"/>
    <x v="71"/>
    <s v="Tuesday"/>
    <n v="5"/>
  </r>
  <r>
    <s v="76bb55ad-859b-4ef5-a38a-014918264425"/>
    <s v="***"/>
    <d v="2026-04-14T13:03:36"/>
    <n v="575"/>
    <x v="71"/>
    <d v="2026-04-14T06:03:36"/>
    <x v="71"/>
    <s v="Tuesday"/>
    <n v="6"/>
  </r>
  <r>
    <s v="4eeb4c1f-6434-474a-af40-f418b7adb835"/>
    <s v="***"/>
    <d v="2026-04-14T13:50:25"/>
    <n v="3"/>
    <x v="1"/>
    <d v="2026-04-14T06:50:25"/>
    <x v="71"/>
    <s v="Tuesday"/>
    <n v="6"/>
  </r>
  <r>
    <s v="cb677b58-bf85-451e-a296-764b69d514dc"/>
    <s v="***"/>
    <d v="2026-04-14T13:51:54"/>
    <n v="3"/>
    <x v="1"/>
    <d v="2026-04-14T06:51:54"/>
    <x v="71"/>
    <s v="Tuesday"/>
    <n v="6"/>
  </r>
  <r>
    <s v="98426817-93f6-4b1d-a8f8-1e31e0fb67c5"/>
    <s v="***"/>
    <d v="2026-04-14T13:54:53"/>
    <n v="2"/>
    <x v="1"/>
    <d v="2026-04-14T06:54:53"/>
    <x v="71"/>
    <s v="Tuesday"/>
    <n v="6"/>
  </r>
  <r>
    <s v="e30d5ffe-8233-4dec-9509-3a863e7543f9"/>
    <s v="***"/>
    <d v="2026-04-14T13:58:13"/>
    <n v="3"/>
    <x v="10"/>
    <d v="2026-04-14T06:58:13"/>
    <x v="71"/>
    <s v="Tuesday"/>
    <n v="6"/>
  </r>
  <r>
    <s v="630f9f7d-78a5-4007-9340-50ed3c833855"/>
    <s v="***"/>
    <d v="2026-04-14T14:00:04"/>
    <n v="3"/>
    <x v="10"/>
    <d v="2026-04-14T07:00:04"/>
    <x v="71"/>
    <s v="Tuesday"/>
    <n v="7"/>
  </r>
  <r>
    <s v="528296f3-2014-4241-ba80-00a39c7f7059"/>
    <s v="***"/>
    <d v="2026-04-14T14:00:08"/>
    <n v="530"/>
    <x v="1"/>
    <d v="2026-04-14T07:00:08"/>
    <x v="71"/>
    <s v="Tuesday"/>
    <n v="7"/>
  </r>
  <r>
    <s v="c66318b0-7b4a-4f86-8825-74bebc29736a"/>
    <s v="***"/>
    <d v="2026-04-14T14:45:18"/>
    <n v="35"/>
    <x v="145"/>
    <d v="2026-04-14T07:45:18"/>
    <x v="71"/>
    <s v="Tuesday"/>
    <n v="7"/>
  </r>
  <r>
    <s v="4430fb57-7870-4396-8f25-9ec91680a845"/>
    <s v="***"/>
    <d v="2026-04-14T15:01:19"/>
    <n v="3"/>
    <x v="50"/>
    <d v="2026-04-14T08:01:19"/>
    <x v="71"/>
    <s v="Tuesday"/>
    <n v="8"/>
  </r>
  <r>
    <s v="ffe42678-ed62-4bdf-9429-befdf3f7fcea"/>
    <s v="***"/>
    <d v="2026-04-14T15:13:07"/>
    <n v="3"/>
    <x v="1"/>
    <d v="2026-04-14T08:13:07"/>
    <x v="71"/>
    <s v="Tuesday"/>
    <n v="8"/>
  </r>
  <r>
    <s v="56449316-8fbb-467a-be13-e5de40e31914"/>
    <s v="***"/>
    <d v="2026-04-14T17:41:30"/>
    <n v="575"/>
    <x v="1"/>
    <d v="2026-04-14T10:41:30"/>
    <x v="71"/>
    <s v="Tuesday"/>
    <n v="10"/>
  </r>
  <r>
    <s v="3af5fc1a-37ba-4be7-949c-b2bf2c4583bf"/>
    <s v="***"/>
    <d v="2026-04-14T18:10:51"/>
    <n v="35"/>
    <x v="1"/>
    <d v="2026-04-14T11:10:51"/>
    <x v="71"/>
    <s v="Tuesday"/>
    <n v="11"/>
  </r>
  <r>
    <s v="eb0ed6d3-f585-4554-9023-2174db817a45"/>
    <s v="***"/>
    <d v="2026-04-14T19:18:01"/>
    <n v="3"/>
    <x v="1"/>
    <d v="2026-04-14T12:18:01"/>
    <x v="71"/>
    <s v="Tuesday"/>
    <n v="12"/>
  </r>
  <r>
    <s v="5563a754-d74a-434c-b8f4-ec695780a20e"/>
    <s v="***"/>
    <d v="2026-04-14T19:21:19"/>
    <n v="3"/>
    <x v="1"/>
    <d v="2026-04-14T12:21:19"/>
    <x v="71"/>
    <s v="Tuesday"/>
    <n v="12"/>
  </r>
  <r>
    <s v="d8feb758-38ee-4172-9c76-51340fa44dba"/>
    <s v="***"/>
    <d v="2026-04-14T19:23:33"/>
    <n v="3"/>
    <x v="1"/>
    <d v="2026-04-14T12:23:33"/>
    <x v="71"/>
    <s v="Tuesday"/>
    <n v="12"/>
  </r>
  <r>
    <s v="2f080344-bd89-4333-9e92-152553bcf4a6"/>
    <s v="***"/>
    <d v="2026-04-14T19:25:04"/>
    <n v="573"/>
    <x v="121"/>
    <d v="2026-04-14T12:25:04"/>
    <x v="71"/>
    <s v="Tuesday"/>
    <n v="12"/>
  </r>
  <r>
    <s v="63748cf2-00e7-4de8-a08b-76238a3242ff"/>
    <s v="***"/>
    <d v="2026-04-14T19:49:15"/>
    <n v="528"/>
    <x v="1"/>
    <d v="2026-04-14T12:49:15"/>
    <x v="71"/>
    <s v="Tuesday"/>
    <n v="12"/>
  </r>
  <r>
    <s v="1ee7a30a-1e6d-4530-bdf7-f861b67811ea"/>
    <s v="***"/>
    <d v="2026-04-14T21:08:44"/>
    <n v="528"/>
    <x v="6"/>
    <d v="2026-04-14T14:08:44"/>
    <x v="71"/>
    <s v="Tuesday"/>
    <n v="14"/>
  </r>
  <r>
    <s v="4920fb57-fffc-4ac7-a371-671eea7fd857"/>
    <s v="***"/>
    <d v="2026-04-15T04:15:33"/>
    <n v="3"/>
    <x v="1"/>
    <d v="2026-04-14T21:15:33"/>
    <x v="71"/>
    <s v="Tuesday"/>
    <n v="21"/>
  </r>
  <r>
    <s v="51c69458-21f9-4a14-bf5a-8436fc1107d2"/>
    <s v="***"/>
    <d v="2026-04-15T11:46:51"/>
    <n v="3"/>
    <x v="45"/>
    <d v="2026-04-15T04:46:51"/>
    <x v="72"/>
    <s v="Wednesday"/>
    <n v="4"/>
  </r>
  <r>
    <s v="73a18945-610d-42e2-997b-06d13dc88377"/>
    <s v="***"/>
    <d v="2026-04-15T12:52:51"/>
    <n v="528"/>
    <x v="1"/>
    <d v="2026-04-15T05:52:51"/>
    <x v="72"/>
    <s v="Wednesday"/>
    <n v="5"/>
  </r>
  <r>
    <s v="f2779f79-a16d-4cde-99ef-de4fafc4a76b"/>
    <s v="***"/>
    <d v="2026-04-15T13:01:57"/>
    <n v="528"/>
    <x v="1"/>
    <d v="2026-04-15T06:01:57"/>
    <x v="72"/>
    <s v="Wednesday"/>
    <n v="6"/>
  </r>
  <r>
    <s v="a5b365a8-73df-4b05-af21-6eadd9f82177"/>
    <s v="***"/>
    <d v="2026-04-15T14:04:01"/>
    <n v="3"/>
    <x v="1"/>
    <d v="2026-04-15T07:04:01"/>
    <x v="72"/>
    <s v="Wednesday"/>
    <n v="7"/>
  </r>
  <r>
    <s v="a3b1be3b-bb26-4364-afcd-9691ffdfab41"/>
    <s v="***"/>
    <d v="2026-04-15T14:24:30"/>
    <n v="573"/>
    <x v="1"/>
    <d v="2026-04-15T07:24:30"/>
    <x v="72"/>
    <s v="Wednesday"/>
    <n v="7"/>
  </r>
  <r>
    <s v="016f7462-b870-4df0-9a03-90b0cb31463e"/>
    <s v="***"/>
    <d v="2026-04-15T14:33:32"/>
    <n v="528"/>
    <x v="1"/>
    <d v="2026-04-15T07:33:32"/>
    <x v="72"/>
    <s v="Wednesday"/>
    <n v="7"/>
  </r>
  <r>
    <s v="306c3a1c-1fb0-41a9-aa48-d02c1045def2"/>
    <s v="***"/>
    <d v="2026-04-15T18:32:45"/>
    <n v="528"/>
    <x v="1"/>
    <d v="2026-04-15T11:32:45"/>
    <x v="72"/>
    <s v="Wednesday"/>
    <n v="11"/>
  </r>
  <r>
    <s v="30d631ac-0810-4529-951b-a0de0645ddbf"/>
    <s v="***"/>
    <d v="2026-04-15T19:50:08"/>
    <n v="528"/>
    <x v="1"/>
    <d v="2026-04-15T12:50:08"/>
    <x v="72"/>
    <s v="Wednesday"/>
    <n v="12"/>
  </r>
  <r>
    <s v="d60ae27d-b7df-4561-bc66-d4540bcec9c4"/>
    <s v="***"/>
    <d v="2026-04-15T20:27:58"/>
    <n v="3"/>
    <x v="1"/>
    <d v="2026-04-15T13:27:58"/>
    <x v="72"/>
    <s v="Wednesday"/>
    <n v="13"/>
  </r>
  <r>
    <s v="ea666f83-7084-410f-bd25-bfadf591a801"/>
    <s v="***"/>
    <d v="2026-04-15T21:12:25"/>
    <n v="2"/>
    <x v="146"/>
    <d v="2026-04-15T14:12:25"/>
    <x v="72"/>
    <s v="Wednesday"/>
    <n v="14"/>
  </r>
  <r>
    <s v="03eddb71-72f0-40bc-bec7-19407279dde7"/>
    <s v="***"/>
    <d v="2026-04-15T22:12:43"/>
    <n v="573"/>
    <x v="1"/>
    <d v="2026-04-15T15:12:43"/>
    <x v="72"/>
    <s v="Wednesday"/>
    <n v="15"/>
  </r>
  <r>
    <s v="99314a0b-7120-43a6-b3d7-37fdb9611291"/>
    <s v="***"/>
    <d v="2026-04-16T09:47:13"/>
    <n v="528"/>
    <x v="1"/>
    <d v="2026-04-16T02:47:13"/>
    <x v="73"/>
    <s v="Thursday"/>
    <n v="2"/>
  </r>
  <r>
    <s v="91111b1a-5b99-4e5c-8040-f0b0d2e64e25"/>
    <s v="***"/>
    <d v="2026-04-16T12:12:43"/>
    <n v="528"/>
    <x v="1"/>
    <d v="2026-04-16T05:12:43"/>
    <x v="73"/>
    <s v="Thursday"/>
    <n v="5"/>
  </r>
  <r>
    <s v="07299c2f-2400-41ad-8b55-d7ae26261fc1"/>
    <s v="***"/>
    <d v="2026-04-16T14:29:35"/>
    <n v="528"/>
    <x v="1"/>
    <d v="2026-04-16T07:29:35"/>
    <x v="73"/>
    <s v="Thursday"/>
    <n v="7"/>
  </r>
  <r>
    <s v="9912f110-e8e2-4a4e-88c4-8c0977279bb8"/>
    <s v="***"/>
    <d v="2026-04-16T15:35:06"/>
    <n v="3"/>
    <x v="1"/>
    <d v="2026-04-16T08:35:06"/>
    <x v="73"/>
    <s v="Thursday"/>
    <n v="8"/>
  </r>
  <r>
    <s v="25421780-1133-4339-85b3-0ead11ab5e4d"/>
    <s v="***"/>
    <d v="2026-04-16T15:37:00"/>
    <n v="528"/>
    <x v="1"/>
    <d v="2026-04-16T08:37:00"/>
    <x v="73"/>
    <s v="Thursday"/>
    <n v="8"/>
  </r>
  <r>
    <s v="b62e751b-70ce-47ad-8922-8bca06b81a4c"/>
    <s v="***"/>
    <d v="2026-04-16T15:48:04"/>
    <n v="35"/>
    <x v="1"/>
    <d v="2026-04-16T08:48:04"/>
    <x v="73"/>
    <s v="Thursday"/>
    <n v="8"/>
  </r>
  <r>
    <s v="74436a42-a3d8-4b73-a744-d9aa8a4ef4ad"/>
    <s v="***"/>
    <d v="2026-04-16T16:36:05"/>
    <n v="528"/>
    <x v="1"/>
    <d v="2026-04-16T09:36:05"/>
    <x v="73"/>
    <s v="Thursday"/>
    <n v="9"/>
  </r>
  <r>
    <s v="1d47df56-ef89-4255-95de-527b776d6ef0"/>
    <s v="***"/>
    <d v="2026-04-16T18:36:57"/>
    <n v="3"/>
    <x v="1"/>
    <d v="2026-04-16T11:36:57"/>
    <x v="73"/>
    <s v="Thursday"/>
    <n v="11"/>
  </r>
  <r>
    <s v="e39e6e7a-c3b4-4601-beea-f763f227ef82"/>
    <s v="***"/>
    <d v="2026-04-16T19:01:06"/>
    <n v="528"/>
    <x v="1"/>
    <d v="2026-04-16T12:01:06"/>
    <x v="73"/>
    <s v="Thursday"/>
    <n v="12"/>
  </r>
  <r>
    <s v="f2d6129f-f21f-4315-8b1d-aba13c217268"/>
    <s v="***"/>
    <d v="2026-04-17T07:28:23"/>
    <n v="3"/>
    <x v="1"/>
    <d v="2026-04-17T00:28:23"/>
    <x v="74"/>
    <s v="Friday"/>
    <n v="0"/>
  </r>
  <r>
    <s v="bcfb783b-e8fd-439c-a3ef-38988d14db0f"/>
    <s v="***"/>
    <d v="2026-04-17T07:47:22"/>
    <n v="3"/>
    <x v="1"/>
    <d v="2026-04-17T00:47:22"/>
    <x v="74"/>
    <s v="Friday"/>
    <n v="0"/>
  </r>
  <r>
    <s v="ec30a41a-4be6-48af-8819-a0a54c1c0dc2"/>
    <s v="***"/>
    <d v="2026-04-17T07:49:11"/>
    <n v="3"/>
    <x v="1"/>
    <d v="2026-04-17T00:49:11"/>
    <x v="74"/>
    <s v="Friday"/>
    <n v="0"/>
  </r>
  <r>
    <s v="2481bfde-07ca-47ed-94c5-bf002dc12129"/>
    <s v="***"/>
    <d v="2026-04-17T08:37:45"/>
    <n v="3"/>
    <x v="133"/>
    <d v="2026-04-17T01:37:45"/>
    <x v="74"/>
    <s v="Friday"/>
    <n v="1"/>
  </r>
  <r>
    <s v="3fa97494-c57e-43e4-a541-a16c1a4d7422"/>
    <s v="***"/>
    <d v="2026-04-17T08:54:43"/>
    <n v="573"/>
    <x v="71"/>
    <d v="2026-04-17T01:54:43"/>
    <x v="74"/>
    <s v="Friday"/>
    <n v="1"/>
  </r>
  <r>
    <s v="eb839403-06c5-4f92-a6aa-9742f13648d0"/>
    <s v="***"/>
    <d v="2026-04-17T10:10:51"/>
    <n v="3"/>
    <x v="1"/>
    <d v="2026-04-17T03:10:51"/>
    <x v="74"/>
    <s v="Friday"/>
    <n v="3"/>
  </r>
  <r>
    <s v="84811b44-6581-490d-882b-349fc728c164"/>
    <s v="***"/>
    <d v="2026-04-17T10:53:02"/>
    <n v="3"/>
    <x v="1"/>
    <d v="2026-04-17T03:53:02"/>
    <x v="74"/>
    <s v="Friday"/>
    <n v="3"/>
  </r>
  <r>
    <s v="8ac35e96-0420-4312-b0ad-8aab179b05d8"/>
    <s v="***"/>
    <d v="2026-04-17T11:52:01"/>
    <n v="3"/>
    <x v="129"/>
    <d v="2026-04-17T04:52:01"/>
    <x v="74"/>
    <s v="Friday"/>
    <n v="4"/>
  </r>
  <r>
    <s v="338bef2c-5b02-4fd2-80a6-1ef018a486e3"/>
    <s v="***"/>
    <d v="2026-04-17T11:58:20"/>
    <n v="3"/>
    <x v="71"/>
    <d v="2026-04-17T04:58:20"/>
    <x v="74"/>
    <s v="Friday"/>
    <n v="4"/>
  </r>
  <r>
    <s v="2c383b5e-870e-4d57-bbc3-8e6520238d7e"/>
    <s v="***"/>
    <d v="2026-04-17T12:22:48"/>
    <n v="528"/>
    <x v="1"/>
    <d v="2026-04-17T05:22:48"/>
    <x v="74"/>
    <s v="Friday"/>
    <n v="5"/>
  </r>
  <r>
    <s v="20821775-3300-44db-baf7-cc06aa9735e6"/>
    <s v="***"/>
    <d v="2026-04-17T14:31:09"/>
    <n v="528"/>
    <x v="5"/>
    <d v="2026-04-17T07:31:09"/>
    <x v="74"/>
    <s v="Friday"/>
    <n v="7"/>
  </r>
  <r>
    <s v="c49bc75a-6ee6-4825-b884-8abfcbfd0965"/>
    <s v="***"/>
    <d v="2026-04-17T15:19:20"/>
    <n v="528"/>
    <x v="5"/>
    <d v="2026-04-17T08:19:20"/>
    <x v="74"/>
    <s v="Friday"/>
    <n v="8"/>
  </r>
  <r>
    <s v="0f442419-5500-42d4-a8fa-cf181936f8a0"/>
    <s v="***"/>
    <d v="2026-04-17T16:23:56"/>
    <n v="3"/>
    <x v="1"/>
    <d v="2026-04-17T09:23:56"/>
    <x v="74"/>
    <s v="Friday"/>
    <n v="9"/>
  </r>
  <r>
    <s v="2eb459d2-9b1c-4895-b32a-1ba5fa965de8"/>
    <s v="***"/>
    <d v="2026-04-17T23:49:01"/>
    <n v="573"/>
    <x v="1"/>
    <d v="2026-04-17T16:49:01"/>
    <x v="74"/>
    <s v="Friday"/>
    <n v="16"/>
  </r>
  <r>
    <s v="a190a432-25e1-4d8f-9e39-f943aaac1f19"/>
    <s v="***"/>
    <d v="2026-04-18T00:28:53"/>
    <n v="3"/>
    <x v="147"/>
    <d v="2026-04-17T17:28:53"/>
    <x v="74"/>
    <s v="Friday"/>
    <n v="17"/>
  </r>
  <r>
    <s v="261168b7-0c0d-40da-a15e-3430b9a93ffb"/>
    <s v="***"/>
    <d v="2026-04-18T10:37:18"/>
    <n v="528"/>
    <x v="1"/>
    <d v="2026-04-18T03:37:18"/>
    <x v="75"/>
    <s v="Saturday"/>
    <n v="3"/>
  </r>
  <r>
    <s v="6c9eefc0-c665-441b-9eff-5e0961f5c39f"/>
    <s v="***"/>
    <d v="2026-04-18T11:45:45"/>
    <n v="3"/>
    <x v="1"/>
    <d v="2026-04-18T04:45:45"/>
    <x v="75"/>
    <s v="Saturday"/>
    <n v="4"/>
  </r>
  <r>
    <s v="37f02573-5be1-46c1-b746-b59f01178dc1"/>
    <s v="***"/>
    <d v="2026-04-18T19:45:41"/>
    <n v="573"/>
    <x v="1"/>
    <d v="2026-04-18T12:45:41"/>
    <x v="75"/>
    <s v="Saturday"/>
    <n v="12"/>
  </r>
  <r>
    <s v="6326ff21-f053-4fcc-bf00-ef630e00da4d"/>
    <s v="***"/>
    <d v="2026-04-19T00:14:25"/>
    <n v="3"/>
    <x v="1"/>
    <d v="2026-04-18T17:14:25"/>
    <x v="75"/>
    <s v="Saturday"/>
    <n v="17"/>
  </r>
  <r>
    <s v="b5234657-2bf8-4677-84c2-1c23e982c64c"/>
    <s v="***"/>
    <d v="2026-04-19T14:59:11"/>
    <n v="3"/>
    <x v="1"/>
    <d v="2026-04-19T07:59:11"/>
    <x v="76"/>
    <s v="Sunday"/>
    <n v="7"/>
  </r>
  <r>
    <s v="50700ada-4642-417a-ab69-c339190c457b"/>
    <s v="***"/>
    <d v="2026-04-19T15:08:34"/>
    <n v="528"/>
    <x v="1"/>
    <d v="2026-04-19T08:08:34"/>
    <x v="76"/>
    <s v="Sunday"/>
    <n v="8"/>
  </r>
  <r>
    <s v="406ad15b-18ac-42b9-a1d9-2a7382831c88"/>
    <s v="***"/>
    <d v="2026-04-19T15:29:20"/>
    <n v="34"/>
    <x v="1"/>
    <d v="2026-04-19T08:29:20"/>
    <x v="76"/>
    <s v="Sunday"/>
    <n v="8"/>
  </r>
  <r>
    <s v="447d17c4-a1cc-4809-ab5b-a5566f3ccdc8"/>
    <s v="***"/>
    <d v="2026-04-19T19:25:28"/>
    <n v="2"/>
    <x v="1"/>
    <d v="2026-04-19T12:25:28"/>
    <x v="76"/>
    <s v="Sunday"/>
    <n v="12"/>
  </r>
  <r>
    <s v="361d4487-16d8-4bb0-9601-65b9253af3ea"/>
    <s v="***"/>
    <d v="2026-04-19T21:00:57"/>
    <n v="528"/>
    <x v="1"/>
    <d v="2026-04-19T14:00:57"/>
    <x v="76"/>
    <s v="Sunday"/>
    <n v="14"/>
  </r>
  <r>
    <s v="4a6aa71e-0c5f-4021-b1ff-a8d02f2154d3"/>
    <s v="***"/>
    <d v="2026-04-19T22:27:39"/>
    <n v="528"/>
    <x v="6"/>
    <d v="2026-04-19T15:27:39"/>
    <x v="76"/>
    <s v="Sunday"/>
    <n v="15"/>
  </r>
  <r>
    <s v="0123936a-a1ec-4373-b9ac-3b802d75399b"/>
    <s v="***"/>
    <d v="2026-04-20T10:57:43"/>
    <n v="3"/>
    <x v="1"/>
    <d v="2026-04-20T03:57:43"/>
    <x v="77"/>
    <s v="Monday"/>
    <n v="3"/>
  </r>
  <r>
    <s v="4f0bdba9-524d-47a2-aff8-b8408fcc13e2"/>
    <s v="***"/>
    <d v="2026-04-20T10:57:50"/>
    <n v="3"/>
    <x v="148"/>
    <d v="2026-04-20T03:57:50"/>
    <x v="77"/>
    <s v="Monday"/>
    <n v="3"/>
  </r>
  <r>
    <s v="c7bf6774-95f8-496c-882e-57e9e8701ace"/>
    <s v="***"/>
    <d v="2026-04-20T11:00:15"/>
    <n v="34"/>
    <x v="1"/>
    <d v="2026-04-20T04:00:15"/>
    <x v="77"/>
    <s v="Monday"/>
    <n v="4"/>
  </r>
  <r>
    <s v="e615e5e3-cb97-47c4-882b-c2bb45d0d1a8"/>
    <s v="***"/>
    <d v="2026-04-20T11:18:54"/>
    <n v="3"/>
    <x v="148"/>
    <d v="2026-04-20T04:18:54"/>
    <x v="77"/>
    <s v="Monday"/>
    <n v="4"/>
  </r>
  <r>
    <s v="9772fd59-6181-44b5-a726-48ce1fbb7d1a"/>
    <s v="***"/>
    <d v="2026-04-20T11:21:08"/>
    <n v="3"/>
    <x v="6"/>
    <d v="2026-04-20T04:21:08"/>
    <x v="77"/>
    <s v="Monday"/>
    <n v="4"/>
  </r>
  <r>
    <s v="af46c92a-22d8-47a3-8ae0-3b60827b1b61"/>
    <s v="***"/>
    <d v="2026-04-20T11:25:27"/>
    <n v="3"/>
    <x v="1"/>
    <d v="2026-04-20T04:25:27"/>
    <x v="77"/>
    <s v="Monday"/>
    <n v="4"/>
  </r>
  <r>
    <s v="3345651d-da7b-4f66-b6db-964b7219ceb0"/>
    <s v="***"/>
    <d v="2026-04-20T11:45:18"/>
    <n v="3"/>
    <x v="1"/>
    <d v="2026-04-20T04:45:18"/>
    <x v="77"/>
    <s v="Monday"/>
    <n v="4"/>
  </r>
  <r>
    <s v="68d4c57f-48c1-45b6-8f3d-30c45619b95e"/>
    <s v="***"/>
    <d v="2026-04-20T12:02:39"/>
    <n v="528"/>
    <x v="1"/>
    <d v="2026-04-20T05:02:39"/>
    <x v="77"/>
    <s v="Monday"/>
    <n v="5"/>
  </r>
  <r>
    <s v="6df0897b-2e75-4181-9cf3-5e186fa49ba3"/>
    <s v="***"/>
    <d v="2026-04-20T12:12:11"/>
    <n v="34"/>
    <x v="1"/>
    <d v="2026-04-20T05:12:11"/>
    <x v="77"/>
    <s v="Monday"/>
    <n v="5"/>
  </r>
  <r>
    <s v="ea6238dc-0c93-40a1-a4de-d4549a82ce88"/>
    <s v="***"/>
    <d v="2026-04-20T13:14:32"/>
    <n v="34"/>
    <x v="1"/>
    <d v="2026-04-20T06:14:32"/>
    <x v="77"/>
    <s v="Monday"/>
    <n v="6"/>
  </r>
  <r>
    <s v="cf3c1d57-014c-4345-9345-5049d3222bf6"/>
    <s v="***"/>
    <d v="2026-04-20T13:37:28"/>
    <n v="528"/>
    <x v="5"/>
    <d v="2026-04-20T06:37:28"/>
    <x v="77"/>
    <s v="Monday"/>
    <n v="6"/>
  </r>
  <r>
    <s v="fe9e8990-00de-407d-ab4b-d8926885d18a"/>
    <s v="***"/>
    <d v="2026-04-20T13:49:07"/>
    <n v="3"/>
    <x v="141"/>
    <d v="2026-04-20T06:49:07"/>
    <x v="77"/>
    <s v="Monday"/>
    <n v="6"/>
  </r>
  <r>
    <s v="7050ddce-ff56-494e-95cd-f519519c015b"/>
    <s v="***"/>
    <d v="2026-04-20T15:33:10"/>
    <n v="573"/>
    <x v="1"/>
    <d v="2026-04-20T08:33:10"/>
    <x v="77"/>
    <s v="Monday"/>
    <n v="8"/>
  </r>
  <r>
    <s v="3a5e45ff-0d07-44da-b0db-152e4888d1ef"/>
    <s v="***"/>
    <d v="2026-04-20T16:12:31"/>
    <n v="573"/>
    <x v="1"/>
    <d v="2026-04-20T09:12:31"/>
    <x v="77"/>
    <s v="Monday"/>
    <n v="9"/>
  </r>
  <r>
    <s v="6e8aaccf-6086-47d0-aef3-a183eb9aa25a"/>
    <s v="***"/>
    <d v="2026-04-20T16:29:12"/>
    <n v="528"/>
    <x v="1"/>
    <d v="2026-04-20T09:29:12"/>
    <x v="77"/>
    <s v="Monday"/>
    <n v="9"/>
  </r>
  <r>
    <s v="eb95872f-ebf1-4be4-b858-f5f4e1f16951"/>
    <s v="***"/>
    <d v="2026-04-20T16:34:33"/>
    <n v="2"/>
    <x v="1"/>
    <d v="2026-04-20T09:34:33"/>
    <x v="77"/>
    <s v="Monday"/>
    <n v="9"/>
  </r>
  <r>
    <s v="87db9bfb-3b2a-4c9e-822e-08dc49382c0d"/>
    <s v="***"/>
    <d v="2026-04-20T16:43:22"/>
    <n v="3"/>
    <x v="141"/>
    <d v="2026-04-20T09:43:22"/>
    <x v="77"/>
    <s v="Monday"/>
    <n v="9"/>
  </r>
  <r>
    <s v="3c67025d-b2d1-4b4a-a8ee-41f26dfc6cc4"/>
    <s v="***"/>
    <d v="2026-04-20T18:11:42"/>
    <n v="34"/>
    <x v="1"/>
    <d v="2026-04-20T11:11:42"/>
    <x v="77"/>
    <s v="Monday"/>
    <n v="11"/>
  </r>
  <r>
    <s v="bf22aba5-9fb5-45c8-baeb-b0e3e208cb71"/>
    <s v="***"/>
    <d v="2026-04-20T18:34:29"/>
    <n v="2"/>
    <x v="1"/>
    <d v="2026-04-20T11:34:29"/>
    <x v="77"/>
    <s v="Monday"/>
    <n v="11"/>
  </r>
  <r>
    <s v="4b7fc0e7-dfc3-413d-acde-7087e77855f0"/>
    <s v="***"/>
    <d v="2026-04-20T18:56:07"/>
    <n v="528"/>
    <x v="1"/>
    <d v="2026-04-20T11:56:07"/>
    <x v="77"/>
    <s v="Monday"/>
    <n v="11"/>
  </r>
  <r>
    <s v="eb83571c-94fa-43a4-b188-686b28ee67d9"/>
    <s v="***"/>
    <d v="2026-04-20T20:56:01"/>
    <n v="528"/>
    <x v="1"/>
    <d v="2026-04-20T13:56:01"/>
    <x v="77"/>
    <s v="Monday"/>
    <n v="13"/>
  </r>
  <r>
    <s v="7497df85-0a2a-49ee-adb3-64a75b016d84"/>
    <s v="***"/>
    <d v="2026-04-21T07:59:12"/>
    <n v="35"/>
    <x v="1"/>
    <d v="2026-04-21T00:59:12"/>
    <x v="78"/>
    <s v="Tuesday"/>
    <n v="0"/>
  </r>
  <r>
    <s v="c69a2247-7c90-45c4-bb15-4ea4822ed5bb"/>
    <s v="***"/>
    <d v="2026-04-21T12:22:17"/>
    <n v="3"/>
    <x v="1"/>
    <d v="2026-04-21T05:22:17"/>
    <x v="78"/>
    <s v="Tuesday"/>
    <n v="5"/>
  </r>
  <r>
    <s v="ea03ac5b-8eea-4b56-bd9e-6778454a9027"/>
    <s v="***"/>
    <d v="2026-04-21T12:36:40"/>
    <n v="34"/>
    <x v="1"/>
    <d v="2026-04-21T05:36:40"/>
    <x v="78"/>
    <s v="Tuesday"/>
    <n v="5"/>
  </r>
  <r>
    <s v="6a31691a-0336-49fe-a3bd-dfc6459e685b"/>
    <s v="***"/>
    <d v="2026-04-21T12:50:03"/>
    <n v="3"/>
    <x v="1"/>
    <d v="2026-04-21T05:50:03"/>
    <x v="78"/>
    <s v="Tuesday"/>
    <n v="5"/>
  </r>
  <r>
    <s v="f7352a5b-2c81-412c-a2a4-4df7cc2a0df5"/>
    <s v="***"/>
    <d v="2026-04-21T14:01:38"/>
    <n v="3"/>
    <x v="71"/>
    <d v="2026-04-21T07:01:38"/>
    <x v="78"/>
    <s v="Tuesday"/>
    <n v="7"/>
  </r>
  <r>
    <s v="63161c2e-26fb-40df-9bbe-b9a05ab625f9"/>
    <s v="***"/>
    <d v="2026-04-21T14:38:07"/>
    <n v="34"/>
    <x v="1"/>
    <d v="2026-04-21T07:38:07"/>
    <x v="78"/>
    <s v="Tuesday"/>
    <n v="7"/>
  </r>
  <r>
    <s v="4c53f9ca-194e-40b9-96ff-d22fb749c9c0"/>
    <s v="***"/>
    <d v="2026-04-21T16:17:20"/>
    <n v="3"/>
    <x v="1"/>
    <d v="2026-04-21T09:17:20"/>
    <x v="78"/>
    <s v="Tuesday"/>
    <n v="9"/>
  </r>
  <r>
    <s v="717f2d4c-6d86-40fa-a510-b91dd17ea8af"/>
    <s v="***"/>
    <d v="2026-04-21T16:23:40"/>
    <n v="572"/>
    <x v="1"/>
    <d v="2026-04-21T09:23:40"/>
    <x v="78"/>
    <s v="Tuesday"/>
    <n v="9"/>
  </r>
  <r>
    <s v="f2a83a48-e4a2-486c-adf1-05222154b767"/>
    <s v="***"/>
    <d v="2026-04-21T16:32:45"/>
    <n v="570"/>
    <x v="1"/>
    <d v="2026-04-21T09:32:45"/>
    <x v="78"/>
    <s v="Tuesday"/>
    <n v="9"/>
  </r>
  <r>
    <s v="32fb97b2-ec28-4395-9f0f-4aad3ab3139f"/>
    <s v="***"/>
    <d v="2026-04-21T16:42:00"/>
    <n v="3"/>
    <x v="71"/>
    <d v="2026-04-21T09:42:00"/>
    <x v="78"/>
    <s v="Tuesday"/>
    <n v="9"/>
  </r>
  <r>
    <s v="edcb28f4-ff8c-471f-926b-3ff42d7cb561"/>
    <s v="***"/>
    <d v="2026-04-21T17:06:14"/>
    <n v="527"/>
    <x v="71"/>
    <d v="2026-04-21T10:06:14"/>
    <x v="78"/>
    <s v="Tuesday"/>
    <n v="10"/>
  </r>
  <r>
    <s v="01c7a505-cdf1-4d5f-802d-48e0d87db16a"/>
    <s v="***"/>
    <d v="2026-04-21T17:08:58"/>
    <n v="3"/>
    <x v="12"/>
    <d v="2026-04-21T10:08:58"/>
    <x v="78"/>
    <s v="Tuesday"/>
    <n v="10"/>
  </r>
  <r>
    <s v="b559bbd2-765b-428b-9748-c43aae5e884a"/>
    <s v="***"/>
    <d v="2026-04-21T17:53:57"/>
    <n v="570"/>
    <x v="1"/>
    <d v="2026-04-21T10:53:57"/>
    <x v="78"/>
    <s v="Tuesday"/>
    <n v="10"/>
  </r>
  <r>
    <s v="e171bd65-69c1-422e-a55b-4cf565d62b3b"/>
    <s v="***"/>
    <d v="2026-04-21T18:02:06"/>
    <n v="3"/>
    <x v="12"/>
    <d v="2026-04-21T11:02:06"/>
    <x v="78"/>
    <s v="Tuesday"/>
    <n v="11"/>
  </r>
  <r>
    <s v="27fe4dbf-e03d-46d9-bf3c-aab81fad328c"/>
    <s v="***"/>
    <d v="2026-04-21T18:46:22"/>
    <n v="34"/>
    <x v="1"/>
    <d v="2026-04-21T11:46:22"/>
    <x v="78"/>
    <s v="Tuesday"/>
    <n v="11"/>
  </r>
  <r>
    <s v="32c69f86-9b9d-47b0-b30c-81f20cf8c03f"/>
    <s v="***"/>
    <d v="2026-04-21T19:41:23"/>
    <n v="34"/>
    <x v="1"/>
    <d v="2026-04-21T12:41:23"/>
    <x v="78"/>
    <s v="Tuesday"/>
    <n v="12"/>
  </r>
  <r>
    <s v="605f59c3-5508-4fa6-b6c7-b9a60c09152b"/>
    <s v="***"/>
    <d v="2026-04-21T20:00:29"/>
    <n v="527"/>
    <x v="1"/>
    <d v="2026-04-21T13:00:29"/>
    <x v="78"/>
    <s v="Tuesday"/>
    <n v="13"/>
  </r>
  <r>
    <s v="e2c0e5bf-1a57-436d-96a9-273983f1611b"/>
    <s v="***"/>
    <d v="2026-04-21T21:32:05"/>
    <n v="527"/>
    <x v="1"/>
    <d v="2026-04-21T14:32:05"/>
    <x v="78"/>
    <s v="Tuesday"/>
    <n v="14"/>
  </r>
  <r>
    <s v="bbcc6a47-30c6-4fdc-ab1f-814480da38fd"/>
    <s v="***"/>
    <d v="2026-04-22T00:06:02"/>
    <n v="527"/>
    <x v="1"/>
    <d v="2026-04-21T17:06:02"/>
    <x v="78"/>
    <s v="Tuesday"/>
    <n v="17"/>
  </r>
  <r>
    <s v="8a1e851d-2168-4801-8e0e-f2fee3f19a15"/>
    <s v="***"/>
    <d v="2026-04-22T01:18:01"/>
    <n v="527"/>
    <x v="1"/>
    <d v="2026-04-21T18:18:01"/>
    <x v="78"/>
    <s v="Tuesday"/>
    <n v="18"/>
  </r>
  <r>
    <s v="209afc14-97ca-4a6e-9f50-8724c4007c96"/>
    <s v="***"/>
    <d v="2026-04-22T01:26:55"/>
    <n v="527"/>
    <x v="1"/>
    <d v="2026-04-21T18:26:55"/>
    <x v="78"/>
    <s v="Tuesday"/>
    <n v="18"/>
  </r>
  <r>
    <s v="b3da85cb-a670-470b-92c2-bd4f37d43f0a"/>
    <s v="***"/>
    <d v="2026-04-22T02:04:45"/>
    <n v="527"/>
    <x v="1"/>
    <d v="2026-04-21T19:04:45"/>
    <x v="78"/>
    <s v="Tuesday"/>
    <n v="19"/>
  </r>
  <r>
    <s v="381a6708-1b1b-4af7-a7b3-125726f099db"/>
    <s v="***"/>
    <d v="2026-04-22T04:03:41"/>
    <n v="527"/>
    <x v="1"/>
    <d v="2026-04-21T21:03:41"/>
    <x v="78"/>
    <s v="Tuesday"/>
    <n v="21"/>
  </r>
  <r>
    <s v="7b0856aa-d096-499c-a4aa-1cd4b3fb23d5"/>
    <s v="***"/>
    <d v="2026-04-22T07:54:19"/>
    <n v="3"/>
    <x v="1"/>
    <d v="2026-04-22T00:54:19"/>
    <x v="79"/>
    <s v="Wednesday"/>
    <n v="0"/>
  </r>
  <r>
    <s v="e18759b7-2d9b-4031-9496-c751b416f2f3"/>
    <s v="***"/>
    <d v="2026-04-22T09:26:15"/>
    <n v="3"/>
    <x v="98"/>
    <d v="2026-04-22T02:26:15"/>
    <x v="79"/>
    <s v="Wednesday"/>
    <n v="2"/>
  </r>
  <r>
    <s v="3dbb6210-a067-4fef-9b5c-c693251d56fd"/>
    <s v="***"/>
    <d v="2026-04-22T10:53:12"/>
    <n v="3"/>
    <x v="1"/>
    <d v="2026-04-22T03:53:12"/>
    <x v="79"/>
    <s v="Wednesday"/>
    <n v="3"/>
  </r>
  <r>
    <s v="5f98b203-98c3-4160-b8dc-0bc5cfe30c11"/>
    <s v="***"/>
    <d v="2026-04-22T12:23:30"/>
    <n v="34"/>
    <x v="1"/>
    <d v="2026-04-22T05:23:30"/>
    <x v="79"/>
    <s v="Wednesday"/>
    <n v="5"/>
  </r>
  <r>
    <s v="2d5810cf-aa3b-48ed-86ab-a18349fcf6c5"/>
    <s v="***"/>
    <d v="2026-04-22T15:35:10"/>
    <n v="527"/>
    <x v="5"/>
    <d v="2026-04-22T08:35:10"/>
    <x v="79"/>
    <s v="Wednesday"/>
    <n v="8"/>
  </r>
  <r>
    <s v="4f0f388b-d089-4a34-bad2-b2a25c5ccc40"/>
    <s v="***"/>
    <d v="2026-04-22T16:00:38"/>
    <n v="3"/>
    <x v="1"/>
    <d v="2026-04-22T09:00:38"/>
    <x v="79"/>
    <s v="Wednesday"/>
    <n v="9"/>
  </r>
  <r>
    <s v="c6e64f53-fbd3-48b6-863e-9b20d7e2c0e4"/>
    <s v="***"/>
    <d v="2026-04-22T19:11:49"/>
    <n v="527"/>
    <x v="1"/>
    <d v="2026-04-22T12:11:49"/>
    <x v="79"/>
    <s v="Wednesday"/>
    <n v="12"/>
  </r>
  <r>
    <s v="6ccc014e-746c-449d-ac03-128496b71133"/>
    <s v="***"/>
    <d v="2026-04-22T21:23:11"/>
    <n v="3"/>
    <x v="149"/>
    <d v="2026-04-22T14:23:11"/>
    <x v="79"/>
    <s v="Wednesday"/>
    <n v="14"/>
  </r>
  <r>
    <s v="3da9b4ed-4a69-4b98-a753-563a3db8ccef"/>
    <s v="***"/>
    <d v="2026-04-22T23:07:38"/>
    <n v="3"/>
    <x v="43"/>
    <d v="2026-04-22T16:07:38"/>
    <x v="79"/>
    <s v="Wednesday"/>
    <n v="16"/>
  </r>
  <r>
    <s v="ee5da6b2-1673-4e46-b924-739183696bbd"/>
    <s v="***"/>
    <d v="2026-04-23T00:17:21"/>
    <n v="527"/>
    <x v="6"/>
    <d v="2026-04-22T17:17:21"/>
    <x v="79"/>
    <s v="Wednesday"/>
    <n v="17"/>
  </r>
  <r>
    <s v="40b64d5c-280f-4a23-bfac-e78dfb608317"/>
    <s v="***"/>
    <d v="2026-04-23T00:32:17"/>
    <n v="527"/>
    <x v="1"/>
    <d v="2026-04-22T17:32:17"/>
    <x v="79"/>
    <s v="Wednesday"/>
    <n v="17"/>
  </r>
  <r>
    <s v="d3094809-4949-421d-9ef1-364593b08248"/>
    <s v="***"/>
    <d v="2026-04-23T01:23:17"/>
    <n v="527"/>
    <x v="1"/>
    <d v="2026-04-22T18:23:17"/>
    <x v="79"/>
    <s v="Wednesday"/>
    <n v="18"/>
  </r>
  <r>
    <s v="da344ebb-157c-4246-8bfa-76412234fa0e"/>
    <s v="***"/>
    <d v="2026-04-23T08:09:27"/>
    <n v="3"/>
    <x v="129"/>
    <d v="2026-04-23T01:09:27"/>
    <x v="80"/>
    <s v="Thursday"/>
    <n v="1"/>
  </r>
  <r>
    <s v="bd013332-ff30-4c24-a2d2-e9ebb3e66953"/>
    <s v="***"/>
    <d v="2026-04-23T12:28:16"/>
    <n v="3"/>
    <x v="1"/>
    <d v="2026-04-23T05:28:16"/>
    <x v="80"/>
    <s v="Thursday"/>
    <n v="5"/>
  </r>
  <r>
    <s v="98df4dd1-a3b6-48f1-975e-f88be771589c"/>
    <s v="***"/>
    <d v="2026-04-23T12:36:44"/>
    <n v="527"/>
    <x v="1"/>
    <d v="2026-04-23T05:36:44"/>
    <x v="80"/>
    <s v="Thursday"/>
    <n v="5"/>
  </r>
  <r>
    <s v="ee9e8821-b951-421f-9221-6598c448985d"/>
    <s v="***"/>
    <d v="2026-04-23T14:54:11"/>
    <n v="527"/>
    <x v="1"/>
    <d v="2026-04-23T07:54:11"/>
    <x v="80"/>
    <s v="Thursday"/>
    <n v="7"/>
  </r>
  <r>
    <s v="7af57f55-de38-47af-9a27-6564b996adcb"/>
    <s v="***"/>
    <d v="2026-04-23T14:54:31"/>
    <n v="3"/>
    <x v="1"/>
    <d v="2026-04-23T07:54:31"/>
    <x v="80"/>
    <s v="Thursday"/>
    <n v="7"/>
  </r>
  <r>
    <s v="f767c1c3-c0c0-46de-a8f6-eec9afab95ef"/>
    <s v="***"/>
    <d v="2026-04-23T14:55:49"/>
    <n v="3"/>
    <x v="1"/>
    <d v="2026-04-23T07:55:49"/>
    <x v="80"/>
    <s v="Thursday"/>
    <n v="7"/>
  </r>
  <r>
    <s v="9bc4ba43-06f0-41c5-91f6-df3fb7a25555"/>
    <s v="***"/>
    <d v="2026-04-23T15:23:54"/>
    <n v="527"/>
    <x v="1"/>
    <d v="2026-04-23T08:23:54"/>
    <x v="80"/>
    <s v="Thursday"/>
    <n v="8"/>
  </r>
  <r>
    <s v="6ddc3688-13e8-4cbf-81cf-9db86ca479c7"/>
    <s v="***"/>
    <d v="2026-04-23T15:31:42"/>
    <n v="3"/>
    <x v="1"/>
    <d v="2026-04-23T08:31:42"/>
    <x v="80"/>
    <s v="Thursday"/>
    <n v="8"/>
  </r>
  <r>
    <s v="03c119eb-80cd-474d-b4da-730eabf0e4f9"/>
    <s v="***"/>
    <d v="2026-04-23T17:01:03"/>
    <n v="527"/>
    <x v="71"/>
    <d v="2026-04-23T10:01:03"/>
    <x v="80"/>
    <s v="Thursday"/>
    <n v="10"/>
  </r>
  <r>
    <s v="e66d0ba5-9c71-4af5-aea4-b29764ce86b5"/>
    <s v="***"/>
    <d v="2026-04-23T17:17:19"/>
    <n v="527"/>
    <x v="1"/>
    <d v="2026-04-23T10:17:19"/>
    <x v="80"/>
    <s v="Thursday"/>
    <n v="10"/>
  </r>
  <r>
    <s v="df8e9eac-1c7f-4db8-816b-dbb19089b11e"/>
    <s v="***"/>
    <d v="2026-04-23T17:35:26"/>
    <n v="527"/>
    <x v="1"/>
    <d v="2026-04-23T10:35:26"/>
    <x v="80"/>
    <s v="Thursday"/>
    <n v="10"/>
  </r>
  <r>
    <s v="9706c442-c3c7-4747-b970-930fd4a5b065"/>
    <s v="***"/>
    <d v="2026-04-23T18:14:17"/>
    <n v="527"/>
    <x v="1"/>
    <d v="2026-04-23T11:14:17"/>
    <x v="80"/>
    <s v="Thursday"/>
    <n v="11"/>
  </r>
  <r>
    <s v="c65ddedb-4390-4a5c-a045-51d906c7fa99"/>
    <s v="***"/>
    <d v="2026-04-23T21:08:58"/>
    <n v="570"/>
    <x v="1"/>
    <d v="2026-04-23T14:08:58"/>
    <x v="80"/>
    <s v="Thursday"/>
    <n v="14"/>
  </r>
  <r>
    <s v="019cd6be-4643-45ca-851d-d059cbbd823b"/>
    <s v="***"/>
    <d v="2026-04-23T22:52:10"/>
    <n v="567"/>
    <x v="1"/>
    <d v="2026-04-23T15:52:10"/>
    <x v="80"/>
    <s v="Thursday"/>
    <n v="15"/>
  </r>
  <r>
    <s v="1a739657-ab77-404c-92ea-e6c51c15b829"/>
    <s v="***"/>
    <d v="2026-04-24T10:39:59"/>
    <n v="3"/>
    <x v="1"/>
    <d v="2026-04-24T03:39:59"/>
    <x v="81"/>
    <s v="Friday"/>
    <n v="3"/>
  </r>
  <r>
    <s v="d1cdaa99-0612-4cf2-a0e7-3639ff9e4b1d"/>
    <s v="***"/>
    <d v="2026-04-24T11:11:13"/>
    <n v="3"/>
    <x v="1"/>
    <d v="2026-04-24T04:11:13"/>
    <x v="81"/>
    <s v="Friday"/>
    <n v="4"/>
  </r>
  <r>
    <s v="e7d37993-d68b-4cd5-8e56-b3ad64eab3c0"/>
    <s v="***"/>
    <d v="2026-04-24T14:11:59"/>
    <n v="2"/>
    <x v="1"/>
    <d v="2026-04-24T07:11:59"/>
    <x v="81"/>
    <s v="Friday"/>
    <n v="7"/>
  </r>
  <r>
    <s v="016bd376-6908-45c2-b3e6-5c107eaa237a"/>
    <s v="***"/>
    <d v="2026-04-24T14:37:13"/>
    <n v="3"/>
    <x v="71"/>
    <d v="2026-04-24T07:37:13"/>
    <x v="81"/>
    <s v="Friday"/>
    <n v="7"/>
  </r>
  <r>
    <s v="785cafef-0e36-45d4-8944-239a55457ed6"/>
    <s v="***"/>
    <d v="2026-04-24T14:42:36"/>
    <n v="527"/>
    <x v="1"/>
    <d v="2026-04-24T07:42:36"/>
    <x v="81"/>
    <s v="Friday"/>
    <n v="7"/>
  </r>
  <r>
    <s v="7c03ef32-d6ef-479d-8c6a-159f2b60f88e"/>
    <s v="***"/>
    <d v="2026-04-24T15:20:10"/>
    <n v="2"/>
    <x v="1"/>
    <d v="2026-04-24T08:20:10"/>
    <x v="81"/>
    <s v="Friday"/>
    <n v="8"/>
  </r>
  <r>
    <s v="bafaf47f-d26b-44fa-a1e3-d6c331c47344"/>
    <s v="***"/>
    <d v="2026-04-24T15:53:19"/>
    <n v="3"/>
    <x v="71"/>
    <d v="2026-04-24T08:53:19"/>
    <x v="81"/>
    <s v="Friday"/>
    <n v="8"/>
  </r>
  <r>
    <s v="caaeb7ff-39a9-4b6c-9ba2-bdc4f01fb941"/>
    <s v="***"/>
    <d v="2026-04-24T20:30:24"/>
    <n v="2"/>
    <x v="150"/>
    <d v="2026-04-24T13:30:24"/>
    <x v="81"/>
    <s v="Friday"/>
    <n v="13"/>
  </r>
  <r>
    <s v="41286e59-e2f5-4d6b-b710-6f24a08b1a96"/>
    <s v="***"/>
    <d v="2026-04-24T20:50:31"/>
    <n v="3"/>
    <x v="1"/>
    <d v="2026-04-24T13:50:31"/>
    <x v="81"/>
    <s v="Friday"/>
    <n v="13"/>
  </r>
  <r>
    <s v="22920b38-0c3e-4570-adad-a3851c9404cb"/>
    <s v="***"/>
    <d v="2026-04-24T21:07:04"/>
    <n v="570"/>
    <x v="1"/>
    <d v="2026-04-24T14:07:04"/>
    <x v="81"/>
    <s v="Friday"/>
    <n v="14"/>
  </r>
  <r>
    <s v="df21d623-c1ff-487a-a36c-c25c7a357de5"/>
    <s v="***"/>
    <d v="2026-04-25T05:22:49"/>
    <n v="3"/>
    <x v="64"/>
    <d v="2026-04-24T22:22:49"/>
    <x v="81"/>
    <s v="Friday"/>
    <n v="22"/>
  </r>
  <r>
    <s v="79e5c31f-4f4e-4473-a203-35f473ec7129"/>
    <s v="***"/>
    <d v="2026-04-25T05:23:09"/>
    <n v="3"/>
    <x v="64"/>
    <d v="2026-04-24T22:23:09"/>
    <x v="81"/>
    <s v="Friday"/>
    <n v="22"/>
  </r>
  <r>
    <s v="61544c33-e163-41d2-925c-1cd91e3fb0f5"/>
    <s v="***"/>
    <d v="2026-04-25T07:33:07"/>
    <n v="527"/>
    <x v="6"/>
    <d v="2026-04-25T00:33:07"/>
    <x v="82"/>
    <s v="Saturday"/>
    <n v="0"/>
  </r>
  <r>
    <s v="a316c87a-0111-4ec6-9cd3-a9692408a0bc"/>
    <s v="***"/>
    <d v="2026-04-25T11:15:54"/>
    <n v="570"/>
    <x v="1"/>
    <d v="2026-04-25T04:15:54"/>
    <x v="82"/>
    <s v="Saturday"/>
    <n v="4"/>
  </r>
  <r>
    <s v="7e260fe8-a795-48ca-9c86-6b85903a72ae"/>
    <s v="***"/>
    <d v="2026-04-25T14:03:33"/>
    <n v="3"/>
    <x v="17"/>
    <d v="2026-04-25T07:03:33"/>
    <x v="82"/>
    <s v="Saturday"/>
    <n v="7"/>
  </r>
  <r>
    <s v="52c3819b-215e-4277-b26a-711ef9695a50"/>
    <s v="***"/>
    <d v="2026-04-25T15:04:42"/>
    <n v="569"/>
    <x v="17"/>
    <d v="2026-04-25T08:04:42"/>
    <x v="82"/>
    <s v="Saturday"/>
    <n v="8"/>
  </r>
  <r>
    <s v="4b2e44bb-a1fe-40c5-8dfd-157bafa1b3bb"/>
    <s v="***"/>
    <d v="2026-04-25T16:40:15"/>
    <n v="569"/>
    <x v="17"/>
    <d v="2026-04-25T09:40:15"/>
    <x v="82"/>
    <s v="Saturday"/>
    <n v="9"/>
  </r>
  <r>
    <s v="ad56c2aa-ad9e-47be-939a-6245978881f8"/>
    <s v="***"/>
    <d v="2026-04-25T16:42:01"/>
    <n v="526"/>
    <x v="5"/>
    <d v="2026-04-25T09:42:01"/>
    <x v="82"/>
    <s v="Saturday"/>
    <n v="9"/>
  </r>
  <r>
    <s v="232fa0ab-9a53-4c41-b711-7c62f7f2209a"/>
    <s v="***"/>
    <d v="2026-04-25T18:24:11"/>
    <n v="569"/>
    <x v="1"/>
    <d v="2026-04-25T11:24:11"/>
    <x v="82"/>
    <s v="Saturday"/>
    <n v="11"/>
  </r>
  <r>
    <s v="1f60795c-4247-4207-a4c3-aed4ed3162d8"/>
    <s v="***"/>
    <d v="2026-04-26T05:38:49"/>
    <n v="3"/>
    <x v="1"/>
    <d v="2026-04-25T22:38:49"/>
    <x v="82"/>
    <s v="Saturday"/>
    <n v="22"/>
  </r>
  <r>
    <s v="39e0357b-a79a-4e8f-a0f1-ee56ee84e2cf"/>
    <s v="***"/>
    <d v="2026-04-26T08:52:20"/>
    <n v="3"/>
    <x v="1"/>
    <d v="2026-04-26T01:52:20"/>
    <x v="83"/>
    <s v="Sunday"/>
    <n v="1"/>
  </r>
  <r>
    <s v="7dea6b33-15da-4ebe-8074-c1a55b4a1975"/>
    <s v="***"/>
    <d v="2026-04-26T14:24:42"/>
    <n v="526"/>
    <x v="1"/>
    <d v="2026-04-26T07:24:42"/>
    <x v="83"/>
    <s v="Sunday"/>
    <n v="7"/>
  </r>
  <r>
    <s v="207738ac-b117-40b0-a4a1-b467b708c0c3"/>
    <s v="***"/>
    <d v="2026-04-26T16:34:00"/>
    <n v="3"/>
    <x v="1"/>
    <d v="2026-04-26T09:34:00"/>
    <x v="83"/>
    <s v="Sunday"/>
    <n v="9"/>
  </r>
  <r>
    <s v="e5c50817-7e72-4549-bafd-2a9f5908f187"/>
    <s v="***"/>
    <d v="2026-04-26T17:13:14"/>
    <n v="3"/>
    <x v="1"/>
    <d v="2026-04-26T10:13:14"/>
    <x v="83"/>
    <s v="Sunday"/>
    <n v="10"/>
  </r>
  <r>
    <s v="45488964-8dc9-44a7-b371-4d0027604aa2"/>
    <s v="***"/>
    <d v="2026-04-26T17:58:57"/>
    <n v="526"/>
    <x v="1"/>
    <d v="2026-04-26T10:58:57"/>
    <x v="83"/>
    <s v="Sunday"/>
    <n v="10"/>
  </r>
  <r>
    <s v="0632e909-0c7c-45a6-bdb6-0d4b7ddfa366"/>
    <s v="***"/>
    <d v="2026-04-26T18:01:30"/>
    <n v="569"/>
    <x v="151"/>
    <d v="2026-04-26T11:01:30"/>
    <x v="83"/>
    <s v="Sunday"/>
    <n v="11"/>
  </r>
  <r>
    <s v="bbcd2e1c-a3e3-4c6b-b043-f2babb77520c"/>
    <s v="***"/>
    <d v="2026-04-26T18:01:46"/>
    <n v="2"/>
    <x v="1"/>
    <d v="2026-04-26T11:01:46"/>
    <x v="83"/>
    <s v="Sunday"/>
    <n v="11"/>
  </r>
  <r>
    <s v="feca95d6-afd1-43e9-a9f0-0d621be7facc"/>
    <s v="***"/>
    <d v="2026-04-26T19:29:40"/>
    <n v="526"/>
    <x v="1"/>
    <d v="2026-04-26T12:29:40"/>
    <x v="83"/>
    <s v="Sunday"/>
    <n v="12"/>
  </r>
  <r>
    <s v="2691d90b-da6c-4cc1-b123-5f0bbf4d429a"/>
    <s v="***"/>
    <d v="2026-04-26T20:20:46"/>
    <n v="526"/>
    <x v="1"/>
    <d v="2026-04-26T13:20:46"/>
    <x v="83"/>
    <s v="Sunday"/>
    <n v="13"/>
  </r>
  <r>
    <s v="c6bb1122-1049-4575-b941-51e4a82f743c"/>
    <s v="***"/>
    <d v="2026-04-26T20:37:34"/>
    <n v="569"/>
    <x v="44"/>
    <d v="2026-04-26T13:37:34"/>
    <x v="83"/>
    <s v="Sunday"/>
    <n v="13"/>
  </r>
  <r>
    <s v="79c079ea-07eb-4f1b-ae53-ca4ffeb2fe8c"/>
    <s v="***"/>
    <d v="2026-04-26T20:39:21"/>
    <n v="3"/>
    <x v="152"/>
    <d v="2026-04-26T13:39:21"/>
    <x v="83"/>
    <s v="Sunday"/>
    <n v="13"/>
  </r>
  <r>
    <s v="259519d9-d541-4dc4-841b-4bbadc619078"/>
    <s v="***"/>
    <d v="2026-04-27T08:58:21"/>
    <n v="3"/>
    <x v="153"/>
    <d v="2026-04-27T01:58:21"/>
    <x v="84"/>
    <s v="Monday"/>
    <n v="1"/>
  </r>
  <r>
    <s v="525f84cb-56da-4e9c-bcf7-be0390ce24d5"/>
    <s v="***"/>
    <d v="2026-04-27T11:03:01"/>
    <n v="3"/>
    <x v="1"/>
    <d v="2026-04-27T04:03:01"/>
    <x v="84"/>
    <s v="Monday"/>
    <n v="4"/>
  </r>
  <r>
    <s v="ced2703f-11b0-428b-a866-38c4d06410be"/>
    <s v="***"/>
    <d v="2026-04-27T13:17:20"/>
    <n v="3"/>
    <x v="153"/>
    <d v="2026-04-27T06:17:20"/>
    <x v="84"/>
    <s v="Monday"/>
    <n v="6"/>
  </r>
  <r>
    <s v="9e57c8eb-f718-4db7-9ef4-00fa249beccc"/>
    <s v="***"/>
    <d v="2026-04-27T13:19:24"/>
    <n v="3"/>
    <x v="1"/>
    <d v="2026-04-27T06:19:24"/>
    <x v="84"/>
    <s v="Monday"/>
    <n v="6"/>
  </r>
  <r>
    <s v="59cbc94e-caa5-4327-a729-402f7f204a20"/>
    <s v="***"/>
    <d v="2026-04-27T16:09:56"/>
    <n v="526"/>
    <x v="5"/>
    <d v="2026-04-27T09:09:56"/>
    <x v="84"/>
    <s v="Monday"/>
    <n v="9"/>
  </r>
  <r>
    <s v="703f1da9-11ec-40dc-92f6-77096d9b5a5e"/>
    <s v="***"/>
    <d v="2026-04-27T17:34:37"/>
    <n v="526"/>
    <x v="5"/>
    <d v="2026-04-27T10:34:37"/>
    <x v="84"/>
    <s v="Monday"/>
    <n v="10"/>
  </r>
  <r>
    <s v="3dc93b30-d1a1-4517-a83d-0cd8defdef81"/>
    <s v="***"/>
    <d v="2026-04-27T17:53:47"/>
    <n v="526"/>
    <x v="1"/>
    <d v="2026-04-27T10:53:47"/>
    <x v="84"/>
    <s v="Monday"/>
    <n v="10"/>
  </r>
  <r>
    <s v="f2758279-b1ef-4ae0-988b-68f99f1d4e17"/>
    <s v="***"/>
    <d v="2026-04-27T19:57:50"/>
    <n v="33"/>
    <x v="1"/>
    <d v="2026-04-27T12:57:50"/>
    <x v="84"/>
    <s v="Monday"/>
    <n v="12"/>
  </r>
  <r>
    <s v="23956d9f-6772-4f12-9815-c3eb9b6b9bea"/>
    <s v="***"/>
    <d v="2026-04-27T20:56:43"/>
    <n v="526"/>
    <x v="1"/>
    <d v="2026-04-27T13:56:43"/>
    <x v="84"/>
    <s v="Monday"/>
    <n v="13"/>
  </r>
  <r>
    <s v="cfb5829b-3f19-4dba-b51f-f039da9a7ba8"/>
    <s v="***"/>
    <d v="2026-04-27T21:42:34"/>
    <n v="569"/>
    <x v="154"/>
    <d v="2026-04-27T14:42:34"/>
    <x v="84"/>
    <s v="Monday"/>
    <n v="14"/>
  </r>
  <r>
    <s v="c2e8a257-1965-4393-9fa3-43b84c7c0d3e"/>
    <s v="***"/>
    <d v="2026-04-27T22:06:16"/>
    <n v="3"/>
    <x v="154"/>
    <d v="2026-04-27T15:06:16"/>
    <x v="84"/>
    <s v="Monday"/>
    <n v="15"/>
  </r>
  <r>
    <s v="059be321-9a49-48bd-9c5f-9bc85b60fb29"/>
    <s v="***"/>
    <d v="2026-04-27T22:15:03"/>
    <n v="3"/>
    <x v="1"/>
    <d v="2026-04-27T15:15:03"/>
    <x v="84"/>
    <s v="Monday"/>
    <n v="15"/>
  </r>
  <r>
    <s v="6083a703-23b2-4a17-926c-2bfef2a1e256"/>
    <s v="***"/>
    <d v="2026-04-27T23:19:18"/>
    <n v="3"/>
    <x v="1"/>
    <d v="2026-04-27T16:19:18"/>
    <x v="84"/>
    <s v="Monday"/>
    <n v="16"/>
  </r>
  <r>
    <s v="886032eb-c680-408e-af79-6d5448681c0f"/>
    <s v="***"/>
    <d v="2026-04-27T23:29:55"/>
    <n v="569"/>
    <x v="6"/>
    <d v="2026-04-27T16:29:55"/>
    <x v="84"/>
    <s v="Monday"/>
    <n v="16"/>
  </r>
  <r>
    <s v="e4dff32c-266f-4d79-b209-1ab61ed6b449"/>
    <s v="***"/>
    <d v="2026-04-28T06:39:52"/>
    <n v="33"/>
    <x v="1"/>
    <d v="2026-04-27T23:39:52"/>
    <x v="84"/>
    <s v="Monday"/>
    <n v="23"/>
  </r>
  <r>
    <s v="ad594a2c-2bfa-45d6-833b-413c04b62e92"/>
    <s v="***"/>
    <d v="2026-04-28T08:22:29"/>
    <n v="1"/>
    <x v="1"/>
    <d v="2026-04-28T01:22:29"/>
    <x v="85"/>
    <s v="Tuesday"/>
    <n v="1"/>
  </r>
  <r>
    <s v="8bd0d289-2514-4145-aa57-e260f3d1013f"/>
    <s v="***"/>
    <d v="2026-04-28T08:55:05"/>
    <n v="1"/>
    <x v="1"/>
    <d v="2026-04-28T01:55:05"/>
    <x v="85"/>
    <s v="Tuesday"/>
    <n v="1"/>
  </r>
  <r>
    <s v="b305c76c-461a-4b49-84b2-c347d488aa38"/>
    <s v="***"/>
    <d v="2026-04-28T09:00:03"/>
    <n v="2"/>
    <x v="17"/>
    <d v="2026-04-28T02:00:03"/>
    <x v="85"/>
    <s v="Tuesday"/>
    <n v="2"/>
  </r>
  <r>
    <s v="20932069-18b2-4331-b532-d65cb4b55370"/>
    <s v="***"/>
    <d v="2026-04-28T09:00:52"/>
    <n v="1"/>
    <x v="1"/>
    <d v="2026-04-28T02:00:52"/>
    <x v="85"/>
    <s v="Tuesday"/>
    <n v="2"/>
  </r>
  <r>
    <s v="8248a31c-f041-4071-a957-ee23cfa97ddf"/>
    <s v="***"/>
    <d v="2026-04-28T09:02:45"/>
    <n v="3"/>
    <x v="1"/>
    <d v="2026-04-28T02:02:45"/>
    <x v="85"/>
    <s v="Tuesday"/>
    <n v="2"/>
  </r>
  <r>
    <s v="d18bf740-fdfe-4336-9b57-8b980c7cad39"/>
    <s v="***"/>
    <d v="2026-04-28T09:04:29"/>
    <n v="2"/>
    <x v="1"/>
    <d v="2026-04-28T02:04:29"/>
    <x v="85"/>
    <s v="Tuesday"/>
    <n v="2"/>
  </r>
  <r>
    <s v="6ed7e871-8f56-4e3e-b0bf-01625921028d"/>
    <s v="***"/>
    <d v="2026-04-28T10:23:16"/>
    <n v="1"/>
    <x v="1"/>
    <d v="2026-04-28T03:23:16"/>
    <x v="85"/>
    <s v="Tuesday"/>
    <n v="3"/>
  </r>
  <r>
    <s v="0956b977-83ee-4003-b87a-e9e4c700749d"/>
    <s v="***"/>
    <d v="2026-04-28T10:25:20"/>
    <n v="3"/>
    <x v="71"/>
    <d v="2026-04-28T03:25:20"/>
    <x v="85"/>
    <s v="Tuesday"/>
    <n v="3"/>
  </r>
  <r>
    <s v="08566e0c-4d09-4cf4-864e-0b8b54adc110"/>
    <s v="***"/>
    <d v="2026-04-28T10:27:17"/>
    <n v="1"/>
    <x v="1"/>
    <d v="2026-04-28T03:27:17"/>
    <x v="85"/>
    <s v="Tuesday"/>
    <n v="3"/>
  </r>
  <r>
    <s v="20961ed7-c138-40f7-a388-c84399f856d2"/>
    <s v="***"/>
    <d v="2026-04-28T10:30:20"/>
    <n v="1"/>
    <x v="1"/>
    <d v="2026-04-28T03:30:20"/>
    <x v="85"/>
    <s v="Tuesday"/>
    <n v="3"/>
  </r>
  <r>
    <s v="09c52468-38e6-4a1e-90f5-2d3d7f3d7e24"/>
    <s v="***"/>
    <d v="2026-04-28T10:37:24"/>
    <n v="3"/>
    <x v="12"/>
    <d v="2026-04-28T03:37:24"/>
    <x v="85"/>
    <s v="Tuesday"/>
    <n v="3"/>
  </r>
  <r>
    <s v="23883322-b13e-4ff1-9942-df152ac91ec0"/>
    <s v="***"/>
    <d v="2026-04-28T10:47:24"/>
    <n v="526"/>
    <x v="5"/>
    <d v="2026-04-28T03:47:24"/>
    <x v="85"/>
    <s v="Tuesday"/>
    <n v="3"/>
  </r>
  <r>
    <s v="04248abd-0a59-46e3-a6f3-da6007bf3727"/>
    <s v="***"/>
    <d v="2026-04-28T10:57:47"/>
    <n v="3"/>
    <x v="1"/>
    <d v="2026-04-28T03:57:47"/>
    <x v="85"/>
    <s v="Tuesday"/>
    <n v="3"/>
  </r>
  <r>
    <s v="088822a6-979e-407e-bcde-91414a6b2cb2"/>
    <s v="***"/>
    <d v="2026-04-28T11:01:27"/>
    <n v="3"/>
    <x v="1"/>
    <d v="2026-04-28T04:01:27"/>
    <x v="85"/>
    <s v="Tuesday"/>
    <n v="4"/>
  </r>
  <r>
    <s v="f7dc9fd9-b078-498b-9abe-de91afff7e13"/>
    <s v="***"/>
    <d v="2026-04-28T11:03:13"/>
    <n v="1"/>
    <x v="1"/>
    <d v="2026-04-28T04:03:13"/>
    <x v="85"/>
    <s v="Tuesday"/>
    <n v="4"/>
  </r>
  <r>
    <s v="c27ef17b-fbf3-42b8-99cc-b23ce2fef979"/>
    <s v="***"/>
    <d v="2026-04-28T11:04:08"/>
    <n v="1"/>
    <x v="1"/>
    <d v="2026-04-28T04:04:08"/>
    <x v="85"/>
    <s v="Tuesday"/>
    <n v="4"/>
  </r>
  <r>
    <s v="e33e49e5-2b98-4250-af3b-77cfbeea1e3c"/>
    <s v="***"/>
    <d v="2026-04-28T11:09:38"/>
    <n v="3"/>
    <x v="71"/>
    <d v="2026-04-28T04:09:38"/>
    <x v="85"/>
    <s v="Tuesday"/>
    <n v="4"/>
  </r>
  <r>
    <s v="a24bbb44-3931-45d2-9f59-71eaa54d9532"/>
    <s v="***"/>
    <d v="2026-04-28T13:23:55"/>
    <n v="3"/>
    <x v="1"/>
    <d v="2026-04-28T06:23:55"/>
    <x v="85"/>
    <s v="Tuesday"/>
    <n v="6"/>
  </r>
  <r>
    <s v="555b5116-ff52-4c08-b426-89ff9217b6f3"/>
    <s v="***"/>
    <d v="2026-04-28T15:33:52"/>
    <n v="526"/>
    <x v="5"/>
    <d v="2026-04-28T08:33:52"/>
    <x v="85"/>
    <s v="Tuesday"/>
    <n v="8"/>
  </r>
  <r>
    <s v="58ef4966-3bd2-4b4a-9ddf-67e64d08e326"/>
    <s v="***"/>
    <d v="2026-04-28T15:43:35"/>
    <n v="33"/>
    <x v="1"/>
    <d v="2026-04-28T08:43:35"/>
    <x v="85"/>
    <s v="Tuesday"/>
    <n v="8"/>
  </r>
  <r>
    <s v="cdf12aa7-77e3-4a77-bcde-c5cfefa1bfb7"/>
    <s v="***"/>
    <d v="2026-04-28T15:55:03"/>
    <n v="3"/>
    <x v="155"/>
    <d v="2026-04-28T08:55:03"/>
    <x v="85"/>
    <s v="Tuesday"/>
    <n v="8"/>
  </r>
  <r>
    <s v="5baba840-e929-41a6-9ff4-3909b97868eb"/>
    <s v="***"/>
    <d v="2026-04-28T16:00:51"/>
    <n v="33"/>
    <x v="1"/>
    <d v="2026-04-28T09:00:51"/>
    <x v="85"/>
    <s v="Tuesday"/>
    <n v="9"/>
  </r>
  <r>
    <s v="1c19aabb-85d5-4c54-8620-47cde89eca2d"/>
    <s v="***"/>
    <d v="2026-04-28T16:03:48"/>
    <n v="526"/>
    <x v="5"/>
    <d v="2026-04-28T09:03:48"/>
    <x v="85"/>
    <s v="Tuesday"/>
    <n v="9"/>
  </r>
  <r>
    <s v="4aeb436b-eaa2-4645-b863-749013805bc5"/>
    <s v="***"/>
    <d v="2026-04-28T16:23:12"/>
    <n v="569"/>
    <x v="156"/>
    <d v="2026-04-28T09:23:12"/>
    <x v="85"/>
    <s v="Tuesday"/>
    <n v="9"/>
  </r>
  <r>
    <s v="d42ff389-d5cc-4a8f-b0f0-72defd318f24"/>
    <s v="***"/>
    <d v="2026-04-28T17:27:28"/>
    <n v="3"/>
    <x v="1"/>
    <d v="2026-04-28T10:27:28"/>
    <x v="85"/>
    <s v="Tuesday"/>
    <n v="10"/>
  </r>
  <r>
    <s v="1c2a9c95-9d14-4063-afb8-df57f0d6bed0"/>
    <s v="***"/>
    <d v="2026-04-28T17:50:16"/>
    <n v="3"/>
    <x v="1"/>
    <d v="2026-04-28T10:50:16"/>
    <x v="85"/>
    <s v="Tuesday"/>
    <n v="10"/>
  </r>
  <r>
    <s v="4fbb33bd-a361-42b0-acd0-abdb10608251"/>
    <s v="***"/>
    <d v="2026-04-28T18:15:56"/>
    <n v="3"/>
    <x v="1"/>
    <d v="2026-04-28T11:15:56"/>
    <x v="85"/>
    <s v="Tuesday"/>
    <n v="11"/>
  </r>
  <r>
    <s v="19b1b81c-2f18-47ce-b518-7e94a6697075"/>
    <s v="***"/>
    <d v="2026-04-28T18:20:39"/>
    <n v="526"/>
    <x v="5"/>
    <d v="2026-04-28T11:20:39"/>
    <x v="85"/>
    <s v="Tuesday"/>
    <n v="11"/>
  </r>
  <r>
    <s v="8c9861ed-8dc9-4dfd-8c38-aa0bcb09dd10"/>
    <s v="***"/>
    <d v="2026-04-28T19:14:30"/>
    <n v="3"/>
    <x v="1"/>
    <d v="2026-04-28T12:14:30"/>
    <x v="85"/>
    <s v="Tuesday"/>
    <n v="12"/>
  </r>
  <r>
    <s v="72617e0d-985d-4deb-b10f-c97d07f77726"/>
    <s v="***"/>
    <d v="2026-04-28T19:15:22"/>
    <n v="569"/>
    <x v="1"/>
    <d v="2026-04-28T12:15:22"/>
    <x v="85"/>
    <s v="Tuesday"/>
    <n v="12"/>
  </r>
  <r>
    <s v="c3db6ffb-82cb-41dd-9108-9d1a9f6c2328"/>
    <s v="***"/>
    <d v="2026-04-28T19:48:17"/>
    <n v="33"/>
    <x v="1"/>
    <d v="2026-04-28T12:48:17"/>
    <x v="85"/>
    <s v="Tuesday"/>
    <n v="12"/>
  </r>
  <r>
    <s v="2b95e7b2-a04c-4eec-a51d-8bb87966691e"/>
    <s v="***"/>
    <d v="2026-04-28T20:15:22"/>
    <n v="3"/>
    <x v="1"/>
    <d v="2026-04-28T13:15:22"/>
    <x v="85"/>
    <s v="Tuesday"/>
    <n v="13"/>
  </r>
  <r>
    <s v="34df5713-c96b-484f-8912-a0a514e0c001"/>
    <s v="***"/>
    <d v="2026-04-28T21:28:53"/>
    <n v="526"/>
    <x v="1"/>
    <d v="2026-04-28T14:28:53"/>
    <x v="85"/>
    <s v="Tuesday"/>
    <n v="14"/>
  </r>
  <r>
    <s v="d9347cd2-6327-40cf-839c-87fc9a42bf2f"/>
    <s v="***"/>
    <d v="2026-04-28T21:47:21"/>
    <n v="3"/>
    <x v="17"/>
    <d v="2026-04-28T14:47:21"/>
    <x v="85"/>
    <s v="Tuesday"/>
    <n v="14"/>
  </r>
  <r>
    <s v="82fbe1e6-0d20-46b4-8e76-93f23643236c"/>
    <s v="***"/>
    <d v="2026-04-28T21:48:34"/>
    <n v="3"/>
    <x v="44"/>
    <d v="2026-04-28T14:48:34"/>
    <x v="85"/>
    <s v="Tuesday"/>
    <n v="14"/>
  </r>
  <r>
    <s v="4b1c75dd-93be-4486-88ce-13cc6ebfeb61"/>
    <s v="***"/>
    <d v="2026-04-28T21:51:27"/>
    <n v="2"/>
    <x v="1"/>
    <d v="2026-04-28T14:51:27"/>
    <x v="85"/>
    <s v="Tuesday"/>
    <n v="14"/>
  </r>
  <r>
    <s v="f83b3ff1-06c9-4ab7-b5e5-4b5c7f6595bb"/>
    <s v="***"/>
    <d v="2026-04-28T21:55:52"/>
    <n v="3"/>
    <x v="157"/>
    <d v="2026-04-28T14:55:52"/>
    <x v="85"/>
    <s v="Tuesday"/>
    <n v="14"/>
  </r>
  <r>
    <s v="68d4eebf-2e3f-4d8b-8f1a-3f964831f860"/>
    <s v="***"/>
    <d v="2026-04-28T22:02:23"/>
    <n v="3"/>
    <x v="157"/>
    <d v="2026-04-28T15:02:23"/>
    <x v="85"/>
    <s v="Tuesday"/>
    <n v="15"/>
  </r>
  <r>
    <s v="b387de73-8549-43d5-b522-e21a5da77348"/>
    <s v="***"/>
    <d v="2026-04-28T22:58:30"/>
    <n v="526"/>
    <x v="1"/>
    <d v="2026-04-28T15:58:30"/>
    <x v="85"/>
    <s v="Tuesday"/>
    <n v="15"/>
  </r>
  <r>
    <s v="df08a2bf-60bd-4159-b784-122b872a5525"/>
    <s v="***"/>
    <d v="2026-04-29T06:42:32"/>
    <n v="526"/>
    <x v="1"/>
    <d v="2026-04-28T23:42:32"/>
    <x v="85"/>
    <s v="Tuesday"/>
    <n v="23"/>
  </r>
  <r>
    <s v="a126e3a4-c26e-4129-b7e2-fd92bba6988a"/>
    <s v="***"/>
    <d v="2026-04-29T07:10:16"/>
    <n v="34"/>
    <x v="1"/>
    <d v="2026-04-29T00:10:16"/>
    <x v="86"/>
    <s v="Wednesday"/>
    <n v="0"/>
  </r>
  <r>
    <s v="acf3f492-ad35-4c2f-8b69-f3e774bd7630"/>
    <s v="***"/>
    <d v="2026-04-29T08:13:24"/>
    <n v="33"/>
    <x v="1"/>
    <d v="2026-04-29T01:13:24"/>
    <x v="86"/>
    <s v="Wednesday"/>
    <n v="1"/>
  </r>
  <r>
    <s v="adf10b20-3ceb-4a65-9808-258e64405b7b"/>
    <s v="***"/>
    <d v="2026-04-29T08:30:38"/>
    <n v="3"/>
    <x v="1"/>
    <d v="2026-04-29T01:30:38"/>
    <x v="86"/>
    <s v="Wednesday"/>
    <n v="1"/>
  </r>
  <r>
    <s v="bdddf09c-359d-4dda-a22b-c2649535234d"/>
    <s v="***"/>
    <d v="2026-04-29T09:27:58"/>
    <n v="526"/>
    <x v="5"/>
    <d v="2026-04-29T02:27:58"/>
    <x v="86"/>
    <s v="Wednesday"/>
    <n v="2"/>
  </r>
  <r>
    <s v="8dab7c17-b8a5-4b87-b05f-bee3712c454f"/>
    <s v="***"/>
    <d v="2026-04-29T09:59:36"/>
    <n v="3"/>
    <x v="1"/>
    <d v="2026-04-29T02:59:36"/>
    <x v="86"/>
    <s v="Wednesday"/>
    <n v="2"/>
  </r>
  <r>
    <s v="e1db4c44-fce7-443b-a76f-d659f9e57a9b"/>
    <s v="***"/>
    <d v="2026-04-29T10:07:21"/>
    <n v="526"/>
    <x v="1"/>
    <d v="2026-04-29T03:07:21"/>
    <x v="86"/>
    <s v="Wednesday"/>
    <n v="3"/>
  </r>
  <r>
    <s v="760a061c-a358-4690-a8c9-5142fb7a1911"/>
    <s v="***"/>
    <d v="2026-04-29T13:47:29"/>
    <n v="569"/>
    <x v="1"/>
    <d v="2026-04-29T06:47:29"/>
    <x v="86"/>
    <s v="Wednesday"/>
    <n v="6"/>
  </r>
  <r>
    <s v="1636f44a-3f46-409c-80e8-efb2198d8ae9"/>
    <s v="***"/>
    <d v="2026-04-29T18:19:16"/>
    <n v="526"/>
    <x v="5"/>
    <d v="2026-04-29T11:19:16"/>
    <x v="86"/>
    <s v="Wednesday"/>
    <n v="11"/>
  </r>
  <r>
    <s v="5b4880d6-e4a8-4f67-88d3-fef9cf108f4c"/>
    <s v="***"/>
    <d v="2026-04-29T20:41:15"/>
    <n v="33"/>
    <x v="1"/>
    <d v="2026-04-29T13:41:15"/>
    <x v="86"/>
    <s v="Wednesday"/>
    <n v="13"/>
  </r>
  <r>
    <s v="e4caeb90-59c8-4078-bad8-9f4c8f15aa76"/>
    <s v="***"/>
    <d v="2026-04-29T22:30:50"/>
    <n v="3"/>
    <x v="158"/>
    <d v="2026-04-29T15:30:50"/>
    <x v="86"/>
    <s v="Wednesday"/>
    <n v="15"/>
  </r>
  <r>
    <s v="6bf379ff-b62f-48f0-8f99-9f90644facb8"/>
    <s v="***"/>
    <d v="2026-04-29T23:46:18"/>
    <n v="526"/>
    <x v="5"/>
    <d v="2026-04-29T16:46:18"/>
    <x v="86"/>
    <s v="Wednesday"/>
    <n v="16"/>
  </r>
  <r>
    <s v="aed8b72d-a3a9-4317-9fcd-7d2326686796"/>
    <s v="***"/>
    <d v="2026-04-30T05:59:28"/>
    <n v="526"/>
    <x v="1"/>
    <d v="2026-04-29T22:59:28"/>
    <x v="86"/>
    <s v="Wednesday"/>
    <n v="22"/>
  </r>
  <r>
    <s v="16f743c6-4963-4e84-86ce-3faf485994c0"/>
    <s v="***"/>
    <d v="2026-04-30T07:47:58"/>
    <n v="526"/>
    <x v="1"/>
    <d v="2026-04-30T00:47:58"/>
    <x v="87"/>
    <s v="Thursday"/>
    <n v="0"/>
  </r>
  <r>
    <s v="7654c903-5768-402a-b228-4cbe779f59b1"/>
    <s v="***"/>
    <d v="2026-04-30T07:55:47"/>
    <n v="3"/>
    <x v="1"/>
    <d v="2026-04-30T00:55:47"/>
    <x v="87"/>
    <s v="Thursday"/>
    <n v="0"/>
  </r>
  <r>
    <s v="041441e8-db8e-4c35-a126-1ba30aad65dc"/>
    <s v="***"/>
    <d v="2026-04-30T08:07:31"/>
    <n v="526"/>
    <x v="1"/>
    <d v="2026-04-30T01:07:31"/>
    <x v="87"/>
    <s v="Thursday"/>
    <n v="1"/>
  </r>
  <r>
    <s v="67d50a76-5e93-488d-84b7-3cb8aab60251"/>
    <s v="***"/>
    <d v="2026-04-30T08:53:05"/>
    <n v="3"/>
    <x v="1"/>
    <d v="2026-04-30T01:53:05"/>
    <x v="87"/>
    <s v="Thursday"/>
    <n v="1"/>
  </r>
  <r>
    <s v="d324e953-f10b-44a1-9813-1d68089ad079"/>
    <s v="***"/>
    <d v="2026-04-30T09:02:34"/>
    <n v="3"/>
    <x v="71"/>
    <d v="2026-04-30T02:02:34"/>
    <x v="87"/>
    <s v="Thursday"/>
    <n v="2"/>
  </r>
  <r>
    <s v="8f6e82f0-6e9e-455a-95bc-78b825206fb4"/>
    <s v="***"/>
    <d v="2026-04-30T09:03:11"/>
    <n v="526"/>
    <x v="1"/>
    <d v="2026-04-30T02:03:11"/>
    <x v="87"/>
    <s v="Thursday"/>
    <n v="2"/>
  </r>
  <r>
    <s v="5a055dd4-e9c5-4146-8a48-da8958539578"/>
    <s v="***"/>
    <d v="2026-04-30T09:03:21"/>
    <n v="526"/>
    <x v="1"/>
    <d v="2026-04-30T02:03:21"/>
    <x v="87"/>
    <s v="Thursday"/>
    <n v="2"/>
  </r>
  <r>
    <s v="f9b90b02-b171-40dd-868b-68d62627f81d"/>
    <s v="***"/>
    <d v="2026-04-30T11:12:58"/>
    <n v="33"/>
    <x v="1"/>
    <d v="2026-04-30T04:12:58"/>
    <x v="87"/>
    <s v="Thursday"/>
    <n v="4"/>
  </r>
  <r>
    <s v="6dc8729d-61db-4f51-8423-2e8d0f39a952"/>
    <s v="***"/>
    <d v="2026-04-30T11:16:57"/>
    <n v="3"/>
    <x v="1"/>
    <d v="2026-04-30T04:16:57"/>
    <x v="87"/>
    <s v="Thursday"/>
    <n v="4"/>
  </r>
  <r>
    <s v="209d06c9-0814-4233-bd3e-ee0c2630b3e4"/>
    <s v="***"/>
    <d v="2026-04-30T11:28:28"/>
    <n v="526"/>
    <x v="71"/>
    <d v="2026-04-30T04:28:28"/>
    <x v="87"/>
    <s v="Thursday"/>
    <n v="4"/>
  </r>
  <r>
    <s v="4d74fe59-187b-4050-ac73-7431797e09ad"/>
    <s v="***"/>
    <d v="2026-04-30T11:32:15"/>
    <n v="2"/>
    <x v="12"/>
    <d v="2026-04-30T04:32:15"/>
    <x v="87"/>
    <s v="Thursday"/>
    <n v="4"/>
  </r>
  <r>
    <s v="7393488e-f0b9-4082-babe-32e140cc2938"/>
    <s v="***"/>
    <d v="2026-04-30T14:10:26"/>
    <n v="3"/>
    <x v="159"/>
    <d v="2026-04-30T07:10:26"/>
    <x v="87"/>
    <s v="Thursday"/>
    <n v="7"/>
  </r>
  <r>
    <s v="fe85277c-222e-4a34-a408-939580c73a74"/>
    <s v="***"/>
    <d v="2026-04-30T14:11:49"/>
    <n v="526"/>
    <x v="160"/>
    <d v="2026-04-30T07:11:49"/>
    <x v="87"/>
    <s v="Thursday"/>
    <n v="7"/>
  </r>
  <r>
    <s v="aaa2be68-e58b-48fa-9ee4-721203176ecd"/>
    <s v="***"/>
    <d v="2026-04-30T14:21:45"/>
    <n v="526"/>
    <x v="161"/>
    <d v="2026-04-30T07:21:45"/>
    <x v="87"/>
    <s v="Thursday"/>
    <n v="7"/>
  </r>
  <r>
    <s v="7694259d-eb20-4afa-94e9-3011e9ff58c3"/>
    <s v="***"/>
    <d v="2026-04-30T17:41:23"/>
    <n v="526"/>
    <x v="1"/>
    <d v="2026-04-30T10:41:23"/>
    <x v="87"/>
    <s v="Thursday"/>
    <n v="10"/>
  </r>
  <r>
    <s v="ddaef4cd-5565-427a-9043-4c3895da9bba"/>
    <s v="***"/>
    <d v="2026-04-30T19:39:57"/>
    <n v="526"/>
    <x v="1"/>
    <d v="2026-04-30T12:39:57"/>
    <x v="87"/>
    <s v="Thursday"/>
    <n v="12"/>
  </r>
  <r>
    <s v="e4477d10-4c40-47c9-b2ab-4d83f19bc087"/>
    <s v="***"/>
    <d v="2026-04-30T20:46:12"/>
    <n v="526"/>
    <x v="1"/>
    <d v="2026-04-30T13:46:12"/>
    <x v="87"/>
    <s v="Thursday"/>
    <n v="13"/>
  </r>
  <r>
    <s v="2fbc7b0d-b978-466f-93c1-e386364282ba"/>
    <s v="***"/>
    <d v="2026-04-30T21:03:29"/>
    <n v="569"/>
    <x v="45"/>
    <d v="2026-04-30T14:03:29"/>
    <x v="87"/>
    <s v="Thursday"/>
    <n v="14"/>
  </r>
  <r>
    <s v="0fa71aed-9d06-45ee-b46d-b08d4bdfd320"/>
    <s v="***"/>
    <d v="2026-04-30T21:10:14"/>
    <n v="569"/>
    <x v="162"/>
    <d v="2026-04-30T14:10:14"/>
    <x v="87"/>
    <s v="Thursday"/>
    <n v="14"/>
  </r>
  <r>
    <s v="5b9acb8b-a1f0-4f4a-8337-4fc3a34b2329"/>
    <s v="***"/>
    <d v="2026-04-30T21:29:24"/>
    <n v="3"/>
    <x v="46"/>
    <d v="2026-04-30T14:29:24"/>
    <x v="87"/>
    <s v="Thursday"/>
    <n v="14"/>
  </r>
  <r>
    <s v="f1cd11f0-68a3-44aa-b974-f346f2233f7c"/>
    <s v="***"/>
    <d v="2026-04-30T21:34:10"/>
    <n v="569"/>
    <x v="1"/>
    <d v="2026-04-30T14:34:10"/>
    <x v="87"/>
    <s v="Thursday"/>
    <n v="14"/>
  </r>
  <r>
    <s v="e21e7dd4-5c3e-421e-8f41-404faff717b8"/>
    <s v="***"/>
    <d v="2026-04-30T22:04:10"/>
    <n v="569"/>
    <x v="162"/>
    <d v="2026-04-30T15:04:10"/>
    <x v="87"/>
    <s v="Thursday"/>
    <n v="15"/>
  </r>
  <r>
    <s v="292668a1-6cd9-4db0-9865-af457391414d"/>
    <s v="***"/>
    <d v="2026-04-30T22:59:49"/>
    <n v="526"/>
    <x v="1"/>
    <d v="2026-04-30T15:59:49"/>
    <x v="87"/>
    <s v="Thursday"/>
    <n v="15"/>
  </r>
  <r>
    <s v="a4ffce8f-8a19-4f35-a3c8-d9b8dee9973d"/>
    <s v="***"/>
    <d v="2026-05-01T11:27:26"/>
    <n v="526"/>
    <x v="1"/>
    <d v="2026-05-01T04:27:26"/>
    <x v="88"/>
    <s v="Friday"/>
    <n v="4"/>
  </r>
  <r>
    <s v="268b17e2-c2f4-4211-9627-e7205f6996a3"/>
    <s v="***"/>
    <d v="2026-05-01T13:27:48"/>
    <n v="526"/>
    <x v="1"/>
    <d v="2026-05-01T06:27:48"/>
    <x v="88"/>
    <s v="Friday"/>
    <n v="6"/>
  </r>
  <r>
    <s v="615f9bf1-ab07-4171-bd2d-b027c571bf68"/>
    <s v="***"/>
    <d v="2026-05-01T13:28:39"/>
    <n v="3"/>
    <x v="71"/>
    <d v="2026-05-01T06:28:39"/>
    <x v="88"/>
    <s v="Friday"/>
    <n v="6"/>
  </r>
  <r>
    <s v="0b838ca4-7d18-41c6-aeba-1b641a805a99"/>
    <s v="***"/>
    <d v="2026-05-01T13:29:29"/>
    <n v="526"/>
    <x v="5"/>
    <d v="2026-05-01T06:29:29"/>
    <x v="88"/>
    <s v="Friday"/>
    <n v="6"/>
  </r>
  <r>
    <s v="64acf1a0-281e-41a0-a39a-be1908ce3ed8"/>
    <s v="***"/>
    <d v="2026-05-01T13:33:06"/>
    <n v="526"/>
    <x v="1"/>
    <d v="2026-05-01T06:33:06"/>
    <x v="88"/>
    <s v="Friday"/>
    <n v="6"/>
  </r>
  <r>
    <s v="a71991a0-6f4e-46d3-9a0f-804da59e96a0"/>
    <s v="***"/>
    <d v="2026-05-01T14:12:24"/>
    <n v="526"/>
    <x v="1"/>
    <d v="2026-05-01T07:12:24"/>
    <x v="88"/>
    <s v="Friday"/>
    <n v="7"/>
  </r>
  <r>
    <s v="8aef01ef-c638-4aca-ae1a-b8b3dc0dca3c"/>
    <s v="***"/>
    <d v="2026-05-01T15:01:21"/>
    <n v="526"/>
    <x v="1"/>
    <d v="2026-05-01T08:01:21"/>
    <x v="88"/>
    <s v="Friday"/>
    <n v="8"/>
  </r>
  <r>
    <s v="9d208b04-2aa6-4a21-b029-97581095ce5c"/>
    <s v="***"/>
    <d v="2026-05-01T15:50:11"/>
    <n v="526"/>
    <x v="1"/>
    <d v="2026-05-01T08:50:11"/>
    <x v="88"/>
    <s v="Friday"/>
    <n v="8"/>
  </r>
  <r>
    <s v="d0819716-625f-4beb-9ec3-9f7015f9bfcd"/>
    <s v="***"/>
    <d v="2026-05-01T16:13:37"/>
    <n v="526"/>
    <x v="1"/>
    <d v="2026-05-01T09:13:37"/>
    <x v="88"/>
    <s v="Friday"/>
    <n v="9"/>
  </r>
  <r>
    <s v="91402f93-ced4-4d4e-977d-cf1b72785115"/>
    <s v="***"/>
    <d v="2026-05-01T17:37:34"/>
    <n v="569"/>
    <x v="162"/>
    <d v="2026-05-01T10:37:34"/>
    <x v="88"/>
    <s v="Friday"/>
    <n v="10"/>
  </r>
  <r>
    <s v="5fc506da-08a8-4b2a-a99a-0d6c8bcdc0d4"/>
    <s v="***"/>
    <d v="2026-05-01T17:43:48"/>
    <n v="569"/>
    <x v="163"/>
    <d v="2026-05-01T10:43:48"/>
    <x v="88"/>
    <s v="Friday"/>
    <n v="10"/>
  </r>
  <r>
    <s v="7c256105-6426-44bc-91a9-285d2e77d02b"/>
    <s v="***"/>
    <d v="2026-05-02T09:59:53"/>
    <n v="2"/>
    <x v="46"/>
    <d v="2026-05-02T02:59:53"/>
    <x v="89"/>
    <s v="Saturday"/>
    <n v="2"/>
  </r>
  <r>
    <s v="9fc90a8e-5dab-4e24-840a-2caa21d6b43c"/>
    <s v="***"/>
    <d v="2026-05-02T10:07:01"/>
    <n v="2"/>
    <x v="46"/>
    <d v="2026-05-02T03:07:01"/>
    <x v="89"/>
    <s v="Saturday"/>
    <n v="3"/>
  </r>
  <r>
    <s v="bbab485b-5168-4e9d-a005-afdb5b8e905c"/>
    <s v="***"/>
    <d v="2026-05-02T12:10:26"/>
    <n v="526"/>
    <x v="1"/>
    <d v="2026-05-02T05:10:26"/>
    <x v="89"/>
    <s v="Saturday"/>
    <n v="5"/>
  </r>
  <r>
    <s v="84f19636-f180-4201-b55f-d4004a34f1a9"/>
    <s v="***"/>
    <d v="2026-05-02T14:26:27"/>
    <n v="526"/>
    <x v="5"/>
    <d v="2026-05-02T07:26:27"/>
    <x v="89"/>
    <s v="Saturday"/>
    <n v="7"/>
  </r>
  <r>
    <s v="3b42ceec-a604-4b4d-80c9-e60017e58e4f"/>
    <s v="***"/>
    <d v="2026-05-02T14:58:24"/>
    <n v="34"/>
    <x v="1"/>
    <d v="2026-05-02T07:58:24"/>
    <x v="89"/>
    <s v="Saturday"/>
    <n v="7"/>
  </r>
  <r>
    <s v="77bebc7e-ec9f-42a7-b8a4-ab9c3a301970"/>
    <s v="***"/>
    <d v="2026-05-02T15:02:07"/>
    <n v="34"/>
    <x v="1"/>
    <d v="2026-05-02T08:02:07"/>
    <x v="89"/>
    <s v="Saturday"/>
    <n v="8"/>
  </r>
  <r>
    <s v="84fea0ac-23fb-48ce-a914-f8f14a668dea"/>
    <s v="***"/>
    <d v="2026-05-02T15:10:59"/>
    <n v="3"/>
    <x v="5"/>
    <d v="2026-05-02T08:10:59"/>
    <x v="89"/>
    <s v="Saturday"/>
    <n v="8"/>
  </r>
  <r>
    <s v="c9b8c1a6-2623-4943-a08c-7e291945a2fb"/>
    <s v="***"/>
    <d v="2026-05-02T15:25:26"/>
    <n v="569"/>
    <x v="1"/>
    <d v="2026-05-02T08:25:26"/>
    <x v="89"/>
    <s v="Saturday"/>
    <n v="8"/>
  </r>
  <r>
    <s v="77e884d2-7926-48ff-b5b0-eef8e151b5bb"/>
    <s v="***"/>
    <d v="2026-05-02T17:51:40"/>
    <n v="526"/>
    <x v="1"/>
    <d v="2026-05-02T10:51:40"/>
    <x v="89"/>
    <s v="Saturday"/>
    <n v="10"/>
  </r>
  <r>
    <s v="6cf50b4e-5fc4-4fff-bc7f-306e0a6c4dfd"/>
    <s v="***"/>
    <d v="2026-05-02T18:03:50"/>
    <n v="526"/>
    <x v="1"/>
    <d v="2026-05-02T11:03:50"/>
    <x v="89"/>
    <s v="Saturday"/>
    <n v="11"/>
  </r>
  <r>
    <s v="3874a92d-3f69-452e-b190-d14c18490d0a"/>
    <s v="***"/>
    <d v="2026-05-02T18:10:28"/>
    <n v="526"/>
    <x v="5"/>
    <d v="2026-05-02T11:10:28"/>
    <x v="89"/>
    <s v="Saturday"/>
    <n v="11"/>
  </r>
  <r>
    <s v="7827ab10-48d7-4865-bc27-cb2058a2fe43"/>
    <s v="***"/>
    <d v="2026-05-02T20:03:01"/>
    <n v="569"/>
    <x v="1"/>
    <d v="2026-05-02T13:03:01"/>
    <x v="89"/>
    <s v="Saturday"/>
    <n v="13"/>
  </r>
  <r>
    <s v="c9767926-0419-4665-8cce-35842369acbc"/>
    <s v="***"/>
    <d v="2026-05-02T21:48:13"/>
    <n v="526"/>
    <x v="5"/>
    <d v="2026-05-02T14:48:13"/>
    <x v="89"/>
    <s v="Saturday"/>
    <n v="14"/>
  </r>
  <r>
    <s v="7fbc5937-1e68-47d7-8c9c-6e655306c327"/>
    <s v="***"/>
    <d v="2026-05-03T11:00:32"/>
    <n v="33"/>
    <x v="1"/>
    <d v="2026-05-03T04:00:32"/>
    <x v="90"/>
    <s v="Sunday"/>
    <n v="4"/>
  </r>
  <r>
    <s v="5e7ccae8-3f62-470e-9ce8-a6fc95616e24"/>
    <s v="***"/>
    <d v="2026-05-03T11:42:00"/>
    <n v="569"/>
    <x v="164"/>
    <d v="2026-05-03T04:42:00"/>
    <x v="90"/>
    <s v="Sunday"/>
    <n v="4"/>
  </r>
  <r>
    <s v="0eefe464-c849-4e6b-a1ab-3da6813f76f7"/>
    <s v="***"/>
    <d v="2026-05-03T12:02:55"/>
    <n v="33"/>
    <x v="1"/>
    <d v="2026-05-03T05:02:55"/>
    <x v="90"/>
    <s v="Sunday"/>
    <n v="5"/>
  </r>
  <r>
    <s v="fdc896a2-a930-4a00-b9d2-15ed689036e9"/>
    <s v="***"/>
    <d v="2026-05-03T13:03:18"/>
    <n v="569"/>
    <x v="1"/>
    <d v="2026-05-03T06:03:18"/>
    <x v="90"/>
    <s v="Sunday"/>
    <n v="6"/>
  </r>
  <r>
    <s v="b35b4d19-0e60-4288-82e4-2046ba9708fe"/>
    <s v="***"/>
    <d v="2026-05-03T13:03:34"/>
    <n v="33"/>
    <x v="1"/>
    <d v="2026-05-03T06:03:34"/>
    <x v="90"/>
    <s v="Sunday"/>
    <n v="6"/>
  </r>
  <r>
    <s v="3f017e54-3cb0-441a-92a7-86fbe49f9b98"/>
    <s v="***"/>
    <d v="2026-05-03T13:22:28"/>
    <n v="569"/>
    <x v="164"/>
    <d v="2026-05-03T06:22:28"/>
    <x v="90"/>
    <s v="Sunday"/>
    <n v="6"/>
  </r>
  <r>
    <s v="d0d65476-ef14-4ff6-97ae-85a7679363ea"/>
    <s v="***"/>
    <d v="2026-05-03T13:44:17"/>
    <n v="3"/>
    <x v="1"/>
    <d v="2026-05-03T06:44:17"/>
    <x v="90"/>
    <s v="Sunday"/>
    <n v="6"/>
  </r>
  <r>
    <s v="fa548c14-9849-40df-a92f-ca3b43e1519c"/>
    <s v="***"/>
    <d v="2026-05-03T14:00:19"/>
    <n v="569"/>
    <x v="1"/>
    <d v="2026-05-03T07:00:19"/>
    <x v="90"/>
    <s v="Sunday"/>
    <n v="7"/>
  </r>
  <r>
    <s v="e9035a5f-13f1-4a20-86f2-13a393da6f12"/>
    <s v="***"/>
    <d v="2026-05-03T14:25:34"/>
    <n v="3"/>
    <x v="165"/>
    <d v="2026-05-03T07:25:34"/>
    <x v="90"/>
    <s v="Sunday"/>
    <n v="7"/>
  </r>
  <r>
    <s v="c7d6f957-4f2c-4de0-a9f7-37841d03258f"/>
    <s v="***"/>
    <d v="2026-05-03T15:25:18"/>
    <n v="3"/>
    <x v="1"/>
    <d v="2026-05-03T08:25:18"/>
    <x v="90"/>
    <s v="Sunday"/>
    <n v="8"/>
  </r>
  <r>
    <s v="354d0e26-08de-4e8c-a03b-e84ac22ff2d5"/>
    <s v="***"/>
    <d v="2026-05-03T16:09:35"/>
    <n v="526"/>
    <x v="5"/>
    <d v="2026-05-03T09:09:35"/>
    <x v="90"/>
    <s v="Sunday"/>
    <n v="9"/>
  </r>
  <r>
    <s v="065d5baf-ef43-4888-95d8-e7d26f89a73d"/>
    <s v="***"/>
    <d v="2026-05-03T16:53:41"/>
    <n v="33"/>
    <x v="1"/>
    <d v="2026-05-03T09:53:41"/>
    <x v="90"/>
    <s v="Sunday"/>
    <n v="9"/>
  </r>
  <r>
    <s v="f31631c3-950a-4d7e-acbe-e77eafa0f95f"/>
    <s v="***"/>
    <d v="2026-05-03T17:00:38"/>
    <n v="526"/>
    <x v="5"/>
    <d v="2026-05-03T10:00:38"/>
    <x v="90"/>
    <s v="Sunday"/>
    <n v="10"/>
  </r>
  <r>
    <s v="56014f2b-7a4e-4472-a247-6dd6570fbf42"/>
    <s v="***"/>
    <d v="2026-05-03T18:32:47"/>
    <n v="33"/>
    <x v="1"/>
    <d v="2026-05-03T11:32:47"/>
    <x v="90"/>
    <s v="Sunday"/>
    <n v="11"/>
  </r>
  <r>
    <s v="b0674158-d02f-43c7-ad69-9fc09efb7761"/>
    <s v="***"/>
    <d v="2026-05-03T19:41:33"/>
    <n v="33"/>
    <x v="1"/>
    <d v="2026-05-03T12:41:33"/>
    <x v="90"/>
    <s v="Sunday"/>
    <n v="12"/>
  </r>
  <r>
    <s v="1d0fd2b8-8916-4c81-95ea-39e1d40c91b0"/>
    <s v="***"/>
    <d v="2026-05-04T01:43:11"/>
    <n v="526"/>
    <x v="1"/>
    <d v="2026-05-03T18:43:11"/>
    <x v="90"/>
    <s v="Sunday"/>
    <n v="18"/>
  </r>
  <r>
    <s v="be6f9af1-18a2-4549-ab01-e8aeaa50c895"/>
    <s v="***"/>
    <d v="2026-05-04T08:00:05"/>
    <n v="1"/>
    <x v="1"/>
    <d v="2026-05-04T01:00:05"/>
    <x v="91"/>
    <s v="Monday"/>
    <n v="1"/>
  </r>
  <r>
    <s v="c4a74999-6550-430a-82c4-3305f9803f51"/>
    <s v="***"/>
    <d v="2026-05-04T08:06:01"/>
    <n v="3"/>
    <x v="109"/>
    <d v="2026-05-04T01:06:01"/>
    <x v="91"/>
    <s v="Monday"/>
    <n v="1"/>
  </r>
  <r>
    <s v="911572c4-167c-4703-a397-97ac5e87775b"/>
    <s v="***"/>
    <d v="2026-05-04T08:34:20"/>
    <n v="32"/>
    <x v="1"/>
    <d v="2026-05-04T01:34:20"/>
    <x v="91"/>
    <s v="Monday"/>
    <n v="1"/>
  </r>
  <r>
    <s v="8d61c386-914b-4ae2-aa3a-7f26d30d9de0"/>
    <s v="***"/>
    <d v="2026-05-04T09:03:36"/>
    <n v="32"/>
    <x v="1"/>
    <d v="2026-05-04T02:03:36"/>
    <x v="91"/>
    <s v="Monday"/>
    <n v="2"/>
  </r>
  <r>
    <s v="0b80bb98-9de9-4002-b4e6-fb7a4091d775"/>
    <s v="***"/>
    <d v="2026-05-04T09:12:24"/>
    <n v="569"/>
    <x v="1"/>
    <d v="2026-05-04T02:12:24"/>
    <x v="91"/>
    <s v="Monday"/>
    <n v="2"/>
  </r>
  <r>
    <s v="a0576eef-999a-4c18-a956-bdb850c4bbaf"/>
    <s v="***"/>
    <d v="2026-05-04T09:13:22"/>
    <n v="569"/>
    <x v="166"/>
    <d v="2026-05-04T02:13:22"/>
    <x v="91"/>
    <s v="Monday"/>
    <n v="2"/>
  </r>
  <r>
    <s v="6d7c662c-66e1-4c01-bfb2-19576e77c4ea"/>
    <s v="***"/>
    <d v="2026-05-04T09:16:06"/>
    <n v="3"/>
    <x v="10"/>
    <d v="2026-05-04T02:16:06"/>
    <x v="91"/>
    <s v="Monday"/>
    <n v="2"/>
  </r>
  <r>
    <s v="a47b8d95-5371-481d-99b3-0a3bbd5c23f0"/>
    <s v="***"/>
    <d v="2026-05-04T09:26:08"/>
    <n v="569"/>
    <x v="167"/>
    <d v="2026-05-04T02:26:08"/>
    <x v="91"/>
    <s v="Monday"/>
    <n v="2"/>
  </r>
  <r>
    <s v="a92fa778-8163-4a6b-8016-9f9df028468e"/>
    <s v="***"/>
    <d v="2026-05-04T10:02:37"/>
    <n v="3"/>
    <x v="1"/>
    <d v="2026-05-04T03:02:37"/>
    <x v="91"/>
    <s v="Monday"/>
    <n v="3"/>
  </r>
  <r>
    <s v="ceac6c70-23c9-47f5-a0bf-b408887c103c"/>
    <s v="***"/>
    <d v="2026-05-04T10:12:45"/>
    <n v="569"/>
    <x v="164"/>
    <d v="2026-05-04T03:12:45"/>
    <x v="91"/>
    <s v="Monday"/>
    <n v="3"/>
  </r>
  <r>
    <s v="16ec07e6-5d46-447a-b621-745a3a5e9cdf"/>
    <s v="***"/>
    <d v="2026-05-04T11:26:45"/>
    <n v="3"/>
    <x v="1"/>
    <d v="2026-05-04T04:26:45"/>
    <x v="91"/>
    <s v="Monday"/>
    <n v="4"/>
  </r>
  <r>
    <s v="6fc589cd-0dea-4195-8c8e-ee75266ad4a7"/>
    <s v="***"/>
    <d v="2026-05-04T11:29:57"/>
    <n v="32"/>
    <x v="1"/>
    <d v="2026-05-04T04:29:57"/>
    <x v="91"/>
    <s v="Monday"/>
    <n v="4"/>
  </r>
  <r>
    <s v="398d907e-1c10-45de-8651-d1747cdbf3bb"/>
    <s v="***"/>
    <d v="2026-05-04T12:35:47"/>
    <n v="534"/>
    <x v="1"/>
    <d v="2026-05-04T05:35:47"/>
    <x v="91"/>
    <s v="Monday"/>
    <n v="5"/>
  </r>
  <r>
    <s v="5773abe6-b301-4b09-8442-ffd2f99a4f08"/>
    <s v="***"/>
    <d v="2026-05-04T14:09:22"/>
    <n v="569"/>
    <x v="1"/>
    <d v="2026-05-04T07:09:22"/>
    <x v="91"/>
    <s v="Monday"/>
    <n v="7"/>
  </r>
  <r>
    <s v="eb5e5fb1-af14-4319-83ec-469fa87bfd28"/>
    <s v="***"/>
    <d v="2026-05-04T14:12:53"/>
    <n v="569"/>
    <x v="1"/>
    <d v="2026-05-04T07:12:53"/>
    <x v="91"/>
    <s v="Monday"/>
    <n v="7"/>
  </r>
  <r>
    <s v="3f42aec8-3e2e-4d77-ab4f-f416e696bee2"/>
    <s v="***"/>
    <d v="2026-05-04T15:28:06"/>
    <n v="569"/>
    <x v="1"/>
    <d v="2026-05-04T08:28:06"/>
    <x v="91"/>
    <s v="Monday"/>
    <n v="8"/>
  </r>
  <r>
    <s v="2fe0a33e-cb3c-4cb6-ae72-ab820044d5a3"/>
    <s v="***"/>
    <d v="2026-05-04T15:28:45"/>
    <n v="3"/>
    <x v="1"/>
    <d v="2026-05-04T08:28:45"/>
    <x v="91"/>
    <s v="Monday"/>
    <n v="8"/>
  </r>
  <r>
    <s v="e192fe4b-d49c-4e55-93af-dbb3024b6cb3"/>
    <s v="***"/>
    <d v="2026-05-04T15:35:40"/>
    <n v="3"/>
    <x v="1"/>
    <d v="2026-05-04T08:35:40"/>
    <x v="91"/>
    <s v="Monday"/>
    <n v="8"/>
  </r>
  <r>
    <s v="c14e4d75-862d-43e6-b12f-71a3ab2c1e0a"/>
    <s v="***"/>
    <d v="2026-05-04T15:54:45"/>
    <n v="569"/>
    <x v="168"/>
    <d v="2026-05-04T08:54:45"/>
    <x v="91"/>
    <s v="Monday"/>
    <n v="8"/>
  </r>
  <r>
    <s v="485e2896-e075-4b92-9f14-6c3abc1ec906"/>
    <s v="***"/>
    <d v="2026-05-04T16:02:10"/>
    <n v="32"/>
    <x v="1"/>
    <d v="2026-05-04T09:02:10"/>
    <x v="91"/>
    <s v="Monday"/>
    <n v="9"/>
  </r>
  <r>
    <s v="b4a76e77-bc76-4b45-9122-40f02179264a"/>
    <s v="***"/>
    <d v="2026-05-04T16:02:40"/>
    <n v="569"/>
    <x v="168"/>
    <d v="2026-05-04T09:02:40"/>
    <x v="91"/>
    <s v="Monday"/>
    <n v="9"/>
  </r>
  <r>
    <s v="5ab0e392-85c6-4659-b5ea-cb652c175ae1"/>
    <s v="***"/>
    <d v="2026-05-04T17:39:05"/>
    <n v="32"/>
    <x v="1"/>
    <d v="2026-05-04T10:39:05"/>
    <x v="91"/>
    <s v="Monday"/>
    <n v="10"/>
  </r>
  <r>
    <s v="28a3ae19-e73c-4174-9c20-943af290a8ee"/>
    <s v="***"/>
    <d v="2026-05-04T17:40:23"/>
    <n v="3"/>
    <x v="169"/>
    <d v="2026-05-04T10:40:23"/>
    <x v="91"/>
    <s v="Monday"/>
    <n v="10"/>
  </r>
  <r>
    <s v="7beb4666-f895-4599-aa8b-e5b66b165dab"/>
    <s v="***"/>
    <d v="2026-05-04T18:03:07"/>
    <n v="493"/>
    <x v="1"/>
    <d v="2026-05-04T11:03:07"/>
    <x v="91"/>
    <s v="Monday"/>
    <n v="11"/>
  </r>
  <r>
    <s v="4c186e8e-ffca-4d63-86e3-b8568cc579d9"/>
    <s v="***"/>
    <d v="2026-05-04T18:08:55"/>
    <n v="3"/>
    <x v="169"/>
    <d v="2026-05-04T11:08:55"/>
    <x v="91"/>
    <s v="Monday"/>
    <n v="11"/>
  </r>
  <r>
    <s v="0afb99c0-5f09-4f5e-b8a1-6fca16f02350"/>
    <s v="***"/>
    <d v="2026-05-04T19:52:21"/>
    <n v="493"/>
    <x v="1"/>
    <d v="2026-05-04T12:52:21"/>
    <x v="91"/>
    <s v="Monday"/>
    <n v="12"/>
  </r>
  <r>
    <s v="18743baf-c5fd-4b97-844e-78afcc42a640"/>
    <s v="***"/>
    <d v="2026-05-04T21:24:07"/>
    <n v="3"/>
    <x v="44"/>
    <d v="2026-05-04T14:24:07"/>
    <x v="91"/>
    <s v="Monday"/>
    <n v="14"/>
  </r>
  <r>
    <s v="5b2f1df9-7047-4383-963f-79e2e6d1f802"/>
    <s v="***"/>
    <d v="2026-05-04T21:31:27"/>
    <n v="526"/>
    <x v="1"/>
    <d v="2026-05-04T14:31:27"/>
    <x v="91"/>
    <s v="Monday"/>
    <n v="14"/>
  </r>
  <r>
    <s v="e3b26c65-7c06-4290-aa1a-58521254f0e7"/>
    <s v="***"/>
    <d v="2026-05-04T22:30:58"/>
    <n v="526"/>
    <x v="1"/>
    <d v="2026-05-04T15:30:58"/>
    <x v="91"/>
    <s v="Monday"/>
    <n v="15"/>
  </r>
  <r>
    <s v="4d139747-e887-4922-a487-1cffa0531207"/>
    <s v="***"/>
    <d v="2026-05-04T23:25:50"/>
    <n v="526"/>
    <x v="1"/>
    <d v="2026-05-04T16:25:50"/>
    <x v="91"/>
    <s v="Monday"/>
    <n v="16"/>
  </r>
  <r>
    <s v="92167134-5224-458b-b122-b6e111898da7"/>
    <s v="***"/>
    <d v="2026-05-05T00:24:12"/>
    <n v="526"/>
    <x v="1"/>
    <d v="2026-05-04T17:24:12"/>
    <x v="91"/>
    <s v="Monday"/>
    <n v="17"/>
  </r>
  <r>
    <s v="cdbb0725-e95f-4eb2-be17-4ef20a0046ef"/>
    <s v="***"/>
    <d v="2026-05-05T00:51:52"/>
    <n v="3"/>
    <x v="1"/>
    <d v="2026-05-04T17:51:52"/>
    <x v="91"/>
    <s v="Monday"/>
    <n v="17"/>
  </r>
  <r>
    <s v="1f08977f-210b-4c93-8d42-e2a2abe9c135"/>
    <s v="***"/>
    <d v="2026-05-05T00:59:06"/>
    <n v="3"/>
    <x v="44"/>
    <d v="2026-05-04T17:59:06"/>
    <x v="91"/>
    <s v="Monday"/>
    <n v="17"/>
  </r>
  <r>
    <s v="a078c06b-8716-4f89-a082-f5018a043d56"/>
    <s v="***"/>
    <d v="2026-05-05T01:00:18"/>
    <n v="526"/>
    <x v="1"/>
    <d v="2026-05-04T18:00:18"/>
    <x v="91"/>
    <s v="Monday"/>
    <n v="18"/>
  </r>
  <r>
    <s v="feab3cbc-1e79-48bd-bc7a-d75f346257aa"/>
    <s v="***"/>
    <d v="2026-05-05T01:00:53"/>
    <n v="3"/>
    <x v="44"/>
    <d v="2026-05-04T18:00:53"/>
    <x v="91"/>
    <s v="Monday"/>
    <n v="18"/>
  </r>
  <r>
    <s v="59791a0a-855c-4ca2-b100-be07917859db"/>
    <s v="***"/>
    <d v="2026-05-05T01:00:54"/>
    <n v="526"/>
    <x v="1"/>
    <d v="2026-05-04T18:00:54"/>
    <x v="91"/>
    <s v="Monday"/>
    <n v="18"/>
  </r>
  <r>
    <s v="55c71714-8fc7-4a4d-8008-a96ab72aab0e"/>
    <s v="***"/>
    <d v="2026-05-05T02:10:43"/>
    <n v="526"/>
    <x v="1"/>
    <d v="2026-05-04T19:10:43"/>
    <x v="91"/>
    <s v="Monday"/>
    <n v="19"/>
  </r>
  <r>
    <s v="7dc04f30-2bae-46f8-8985-d25776d550b5"/>
    <s v="***"/>
    <d v="2026-05-05T02:45:16"/>
    <n v="526"/>
    <x v="1"/>
    <d v="2026-05-04T19:45:16"/>
    <x v="91"/>
    <s v="Monday"/>
    <n v="19"/>
  </r>
  <r>
    <s v="d00a837f-8261-4877-a151-a966342f6762"/>
    <s v="***"/>
    <d v="2026-05-05T03:09:11"/>
    <n v="526"/>
    <x v="1"/>
    <d v="2026-05-04T20:09:11"/>
    <x v="91"/>
    <s v="Monday"/>
    <n v="20"/>
  </r>
  <r>
    <s v="f942afc9-3356-4821-9baa-075f47c82eea"/>
    <s v="***"/>
    <d v="2026-05-05T03:23:56"/>
    <n v="526"/>
    <x v="1"/>
    <d v="2026-05-04T20:23:56"/>
    <x v="91"/>
    <s v="Monday"/>
    <n v="20"/>
  </r>
  <r>
    <s v="12170af3-3297-4dab-8606-c525b6e5d1d3"/>
    <s v="***"/>
    <d v="2026-05-05T04:27:38"/>
    <n v="526"/>
    <x v="1"/>
    <d v="2026-05-04T21:27:38"/>
    <x v="91"/>
    <s v="Monday"/>
    <n v="21"/>
  </r>
  <r>
    <s v="713f3f54-8358-478e-97ca-d186045321f1"/>
    <s v="***"/>
    <d v="2026-05-05T05:23:53"/>
    <n v="526"/>
    <x v="1"/>
    <d v="2026-05-04T22:23:53"/>
    <x v="91"/>
    <s v="Monday"/>
    <n v="22"/>
  </r>
  <r>
    <s v="78feb735-d621-46c5-9a59-3aa17f87591f"/>
    <s v="***"/>
    <d v="2026-05-05T06:11:58"/>
    <n v="526"/>
    <x v="1"/>
    <d v="2026-05-04T23:11:58"/>
    <x v="91"/>
    <s v="Monday"/>
    <n v="23"/>
  </r>
  <r>
    <s v="8ffc78b4-45e6-4607-9e80-d8106e2a72aa"/>
    <s v="***"/>
    <d v="2026-05-05T07:21:03"/>
    <n v="3"/>
    <x v="1"/>
    <d v="2026-05-05T00:21:03"/>
    <x v="92"/>
    <s v="Tuesday"/>
    <n v="0"/>
  </r>
  <r>
    <s v="f03b3867-9bb7-4389-9f35-e0db2ad0f750"/>
    <s v="***"/>
    <d v="2026-05-05T07:41:26"/>
    <n v="569"/>
    <x v="1"/>
    <d v="2026-05-05T00:41:26"/>
    <x v="92"/>
    <s v="Tuesday"/>
    <n v="0"/>
  </r>
  <r>
    <s v="45f1c7cf-0dac-4d07-a75b-6c8e67a81448"/>
    <s v="***"/>
    <d v="2026-05-05T08:42:22"/>
    <n v="3"/>
    <x v="1"/>
    <d v="2026-05-05T01:42:22"/>
    <x v="92"/>
    <s v="Tuesday"/>
    <n v="1"/>
  </r>
  <r>
    <s v="c8964ddf-a0a5-4f1d-8854-cd4bd23e373b"/>
    <s v="***"/>
    <d v="2026-05-05T08:58:00"/>
    <n v="569"/>
    <x v="170"/>
    <d v="2026-05-05T01:58:00"/>
    <x v="92"/>
    <s v="Tuesday"/>
    <n v="1"/>
  </r>
  <r>
    <s v="f39cc7ec-f0a7-40f7-8ce8-7024ea3cb2ce"/>
    <s v="***"/>
    <d v="2026-05-05T09:22:23"/>
    <n v="32"/>
    <x v="1"/>
    <d v="2026-05-05T02:22:23"/>
    <x v="92"/>
    <s v="Tuesday"/>
    <n v="2"/>
  </r>
  <r>
    <s v="441a3aa8-bd47-4f81-8d5b-49f6be48f8ab"/>
    <s v="***"/>
    <d v="2026-05-05T09:59:08"/>
    <n v="3"/>
    <x v="1"/>
    <d v="2026-05-05T02:59:08"/>
    <x v="92"/>
    <s v="Tuesday"/>
    <n v="2"/>
  </r>
  <r>
    <s v="7adf98f0-6791-4744-924f-ea812eb5567a"/>
    <s v="***"/>
    <d v="2026-05-05T10:04:31"/>
    <n v="3"/>
    <x v="1"/>
    <d v="2026-05-05T03:04:31"/>
    <x v="92"/>
    <s v="Tuesday"/>
    <n v="3"/>
  </r>
  <r>
    <s v="0c6ee050-8058-4353-aa3d-459392d34a5a"/>
    <s v="***"/>
    <d v="2026-05-05T10:11:08"/>
    <n v="569"/>
    <x v="23"/>
    <d v="2026-05-05T03:11:08"/>
    <x v="92"/>
    <s v="Tuesday"/>
    <n v="3"/>
  </r>
  <r>
    <s v="46c7a8e4-240a-4a0c-a334-708a670d470b"/>
    <s v="***"/>
    <d v="2026-05-05T10:56:10"/>
    <n v="32"/>
    <x v="1"/>
    <d v="2026-05-05T03:56:10"/>
    <x v="92"/>
    <s v="Tuesday"/>
    <n v="3"/>
  </r>
  <r>
    <s v="25460517-e719-472e-9dd4-ace32b805407"/>
    <s v="***"/>
    <d v="2026-05-05T10:57:10"/>
    <n v="3"/>
    <x v="1"/>
    <d v="2026-05-05T03:57:10"/>
    <x v="92"/>
    <s v="Tuesday"/>
    <n v="3"/>
  </r>
  <r>
    <s v="b62d22fb-dcfa-4662-82f2-95fe30ea0f65"/>
    <s v="***"/>
    <d v="2026-05-05T11:00:35"/>
    <n v="526"/>
    <x v="1"/>
    <d v="2026-05-05T04:00:35"/>
    <x v="92"/>
    <s v="Tuesday"/>
    <n v="4"/>
  </r>
  <r>
    <s v="e9c75566-6587-43d2-9c62-9b1b3b2bcd57"/>
    <s v="***"/>
    <d v="2026-05-05T11:01:46"/>
    <n v="3"/>
    <x v="1"/>
    <d v="2026-05-05T04:01:46"/>
    <x v="92"/>
    <s v="Tuesday"/>
    <n v="4"/>
  </r>
  <r>
    <s v="abdeac6e-8892-46ca-b174-f094b11757ec"/>
    <s v="***"/>
    <d v="2026-05-05T11:52:11"/>
    <n v="32"/>
    <x v="1"/>
    <d v="2026-05-05T04:52:11"/>
    <x v="92"/>
    <s v="Tuesday"/>
    <n v="4"/>
  </r>
  <r>
    <s v="6789161b-c5ec-47f2-ba3c-a89a2c4e64ac"/>
    <s v="***"/>
    <d v="2026-05-05T12:25:43"/>
    <n v="493"/>
    <x v="1"/>
    <d v="2026-05-05T05:25:43"/>
    <x v="92"/>
    <s v="Tuesday"/>
    <n v="5"/>
  </r>
  <r>
    <s v="652dfdd2-b48f-4e80-b6ad-8ea65c9d7040"/>
    <s v="***"/>
    <d v="2026-05-05T12:49:03"/>
    <n v="526"/>
    <x v="5"/>
    <d v="2026-05-05T05:49:03"/>
    <x v="92"/>
    <s v="Tuesday"/>
    <n v="5"/>
  </r>
  <r>
    <s v="a4808896-e0d6-48c4-b07e-8ac30421e880"/>
    <s v="***"/>
    <d v="2026-05-05T13:38:28"/>
    <n v="493"/>
    <x v="1"/>
    <d v="2026-05-05T06:38:28"/>
    <x v="92"/>
    <s v="Tuesday"/>
    <n v="6"/>
  </r>
  <r>
    <s v="4b68eb0c-6a5e-46c0-91d6-28324247a2ba"/>
    <s v="***"/>
    <d v="2026-05-05T13:39:37"/>
    <n v="569"/>
    <x v="1"/>
    <d v="2026-05-05T06:39:37"/>
    <x v="92"/>
    <s v="Tuesday"/>
    <n v="6"/>
  </r>
  <r>
    <s v="24bbfb01-453d-4091-a031-1658f20bc619"/>
    <s v="***"/>
    <d v="2026-05-05T14:07:29"/>
    <n v="3"/>
    <x v="1"/>
    <d v="2026-05-05T07:07:29"/>
    <x v="92"/>
    <s v="Tuesday"/>
    <n v="7"/>
  </r>
  <r>
    <s v="feae5cc9-0079-499a-83c2-3c8dc6f4d020"/>
    <s v="***"/>
    <d v="2026-05-05T14:09:33"/>
    <n v="3"/>
    <x v="1"/>
    <d v="2026-05-05T07:09:33"/>
    <x v="92"/>
    <s v="Tuesday"/>
    <n v="7"/>
  </r>
  <r>
    <s v="38ac5bc8-b7d2-4b71-be03-a1365b5b52b7"/>
    <s v="***"/>
    <d v="2026-05-05T14:11:05"/>
    <n v="569"/>
    <x v="10"/>
    <d v="2026-05-05T07:11:05"/>
    <x v="92"/>
    <s v="Tuesday"/>
    <n v="7"/>
  </r>
  <r>
    <s v="7c10f4c3-bc2d-40b8-a1d0-0c359901aee1"/>
    <s v="***"/>
    <d v="2026-05-05T15:01:03"/>
    <n v="32"/>
    <x v="1"/>
    <d v="2026-05-05T08:01:03"/>
    <x v="92"/>
    <s v="Tuesday"/>
    <n v="8"/>
  </r>
  <r>
    <s v="1b9d7d8c-ad1a-40fc-912f-bed27aec9ed7"/>
    <s v="***"/>
    <d v="2026-05-05T15:04:09"/>
    <n v="569"/>
    <x v="10"/>
    <d v="2026-05-05T08:04:09"/>
    <x v="92"/>
    <s v="Tuesday"/>
    <n v="8"/>
  </r>
  <r>
    <s v="eeae9b4a-6dcd-465e-9fe8-36b1bfaeb1d2"/>
    <s v="***"/>
    <d v="2026-05-05T16:15:07"/>
    <n v="569"/>
    <x v="10"/>
    <d v="2026-05-05T09:15:07"/>
    <x v="92"/>
    <s v="Tuesday"/>
    <n v="9"/>
  </r>
  <r>
    <s v="3457bc82-39da-458a-a3f6-6645e484b993"/>
    <s v="***"/>
    <d v="2026-05-05T16:23:35"/>
    <n v="32"/>
    <x v="1"/>
    <d v="2026-05-05T09:23:35"/>
    <x v="92"/>
    <s v="Tuesday"/>
    <n v="9"/>
  </r>
  <r>
    <s v="542ce6c1-0524-4e58-ad29-7c37f52e292b"/>
    <s v="***"/>
    <d v="2026-05-05T16:48:23"/>
    <n v="3"/>
    <x v="1"/>
    <d v="2026-05-05T09:48:23"/>
    <x v="92"/>
    <s v="Tuesday"/>
    <n v="9"/>
  </r>
  <r>
    <s v="19e2cdd3-ee61-4080-886b-ed3654ea1173"/>
    <s v="***"/>
    <d v="2026-05-05T17:18:40"/>
    <n v="526"/>
    <x v="1"/>
    <d v="2026-05-05T10:18:40"/>
    <x v="92"/>
    <s v="Tuesday"/>
    <n v="10"/>
  </r>
  <r>
    <s v="17d5d56c-2e36-4577-9177-9429004af967"/>
    <s v="***"/>
    <d v="2026-05-05T17:25:31"/>
    <n v="1"/>
    <x v="1"/>
    <d v="2026-05-05T10:25:31"/>
    <x v="92"/>
    <s v="Tuesday"/>
    <n v="10"/>
  </r>
  <r>
    <s v="003ba2ec-0d15-4b52-aee6-a407afa2a8a4"/>
    <s v="***"/>
    <d v="2026-05-05T17:44:02"/>
    <n v="569"/>
    <x v="10"/>
    <d v="2026-05-05T10:44:02"/>
    <x v="92"/>
    <s v="Tuesday"/>
    <n v="10"/>
  </r>
  <r>
    <s v="4fea391d-d2af-41db-a7f1-0094d9101580"/>
    <s v="***"/>
    <d v="2026-05-05T18:02:13"/>
    <n v="569"/>
    <x v="10"/>
    <d v="2026-05-05T11:02:13"/>
    <x v="92"/>
    <s v="Tuesday"/>
    <n v="11"/>
  </r>
  <r>
    <s v="c371e252-e8f8-4565-91ac-9ef5afc2644d"/>
    <s v="***"/>
    <d v="2026-05-05T19:05:42"/>
    <n v="569"/>
    <x v="10"/>
    <d v="2026-05-05T12:05:42"/>
    <x v="92"/>
    <s v="Tuesday"/>
    <n v="12"/>
  </r>
  <r>
    <s v="a8bd1bbf-fb50-40ba-9aa4-1492bb37a3a9"/>
    <s v="***"/>
    <d v="2026-05-05T20:34:15"/>
    <n v="569"/>
    <x v="1"/>
    <d v="2026-05-05T13:34:15"/>
    <x v="92"/>
    <s v="Tuesday"/>
    <n v="13"/>
  </r>
  <r>
    <s v="356de267-f063-4ed6-93fc-6a9e587945eb"/>
    <s v="***"/>
    <d v="2026-05-05T20:43:48"/>
    <n v="526"/>
    <x v="1"/>
    <d v="2026-05-05T13:43:48"/>
    <x v="92"/>
    <s v="Tuesday"/>
    <n v="13"/>
  </r>
  <r>
    <s v="41d7ed8b-4c67-4e99-b5c3-616b22739916"/>
    <s v="***"/>
    <d v="2026-05-05T21:21:38"/>
    <n v="526"/>
    <x v="1"/>
    <d v="2026-05-05T14:21:38"/>
    <x v="92"/>
    <s v="Tuesday"/>
    <n v="14"/>
  </r>
  <r>
    <s v="ef532c3d-1785-4cb9-9593-b18ab1ee5bff"/>
    <s v="***"/>
    <d v="2026-05-05T21:32:30"/>
    <n v="569"/>
    <x v="171"/>
    <d v="2026-05-05T14:32:30"/>
    <x v="92"/>
    <s v="Tuesday"/>
    <n v="14"/>
  </r>
  <r>
    <s v="a5c4159f-86e9-4040-bc46-e66dc7e8354d"/>
    <s v="***"/>
    <d v="2026-05-05T21:44:30"/>
    <n v="3"/>
    <x v="44"/>
    <d v="2026-05-05T14:44:30"/>
    <x v="92"/>
    <s v="Tuesday"/>
    <n v="14"/>
  </r>
  <r>
    <s v="4e548e3c-0bed-45d7-a640-d399fe0c3050"/>
    <s v="***"/>
    <d v="2026-05-05T21:46:38"/>
    <n v="569"/>
    <x v="44"/>
    <d v="2026-05-05T14:46:38"/>
    <x v="92"/>
    <s v="Tuesday"/>
    <n v="14"/>
  </r>
  <r>
    <s v="1bcb5b03-0b87-478c-baf9-076654d761bd"/>
    <s v="***"/>
    <d v="2026-05-05T21:49:14"/>
    <n v="569"/>
    <x v="172"/>
    <d v="2026-05-05T14:49:14"/>
    <x v="92"/>
    <s v="Tuesday"/>
    <n v="14"/>
  </r>
  <r>
    <s v="b98a1185-4af1-4bb5-9d6e-4356e7723138"/>
    <s v="***"/>
    <d v="2026-05-05T22:01:31"/>
    <n v="3"/>
    <x v="172"/>
    <d v="2026-05-05T15:01:31"/>
    <x v="92"/>
    <s v="Tuesday"/>
    <n v="15"/>
  </r>
  <r>
    <s v="905abd92-b433-443d-945c-3fe7d7fe6dd9"/>
    <s v="***"/>
    <d v="2026-05-06T02:10:28"/>
    <n v="3"/>
    <x v="1"/>
    <d v="2026-05-05T19:10:28"/>
    <x v="92"/>
    <s v="Tuesday"/>
    <n v="19"/>
  </r>
  <r>
    <s v="a55c9a86-f4e6-4151-bc67-4242932f0d41"/>
    <s v="***"/>
    <d v="2026-05-06T03:30:50"/>
    <n v="3"/>
    <x v="1"/>
    <d v="2026-05-05T20:30:50"/>
    <x v="92"/>
    <s v="Tuesday"/>
    <n v="20"/>
  </r>
  <r>
    <s v="e2c23722-081d-4f4b-abe4-f17c2e360fc9"/>
    <s v="***"/>
    <d v="2026-05-06T06:45:58"/>
    <n v="493"/>
    <x v="1"/>
    <d v="2026-05-05T23:45:58"/>
    <x v="92"/>
    <s v="Tuesday"/>
    <n v="23"/>
  </r>
  <r>
    <s v="ba5e57bc-32d8-448f-9964-c57f95c33f68"/>
    <s v="***"/>
    <d v="2026-05-06T07:57:33"/>
    <n v="569"/>
    <x v="10"/>
    <d v="2026-05-06T00:57:33"/>
    <x v="93"/>
    <s v="Wednesday"/>
    <n v="0"/>
  </r>
  <r>
    <s v="a3b3439e-dd6e-4f77-81fa-8200c8d9ff21"/>
    <s v="***"/>
    <d v="2026-05-06T08:22:50"/>
    <n v="569"/>
    <x v="1"/>
    <d v="2026-05-06T01:22:50"/>
    <x v="93"/>
    <s v="Wednesday"/>
    <n v="1"/>
  </r>
  <r>
    <s v="b0eb6d53-7997-45b4-b1f2-0982c000124d"/>
    <s v="***"/>
    <d v="2026-05-06T08:51:41"/>
    <n v="569"/>
    <x v="1"/>
    <d v="2026-05-06T01:51:41"/>
    <x v="93"/>
    <s v="Wednesday"/>
    <n v="1"/>
  </r>
  <r>
    <s v="61fc7184-2c58-4bcf-888d-d21d11ff04be"/>
    <s v="***"/>
    <d v="2026-05-06T09:18:07"/>
    <n v="569"/>
    <x v="10"/>
    <d v="2026-05-06T02:18:07"/>
    <x v="93"/>
    <s v="Wednesday"/>
    <n v="2"/>
  </r>
  <r>
    <s v="a93de6b7-69e0-4b23-928f-a8847a623900"/>
    <s v="***"/>
    <d v="2026-05-06T09:19:19"/>
    <n v="3"/>
    <x v="1"/>
    <d v="2026-05-06T02:19:19"/>
    <x v="93"/>
    <s v="Wednesday"/>
    <n v="2"/>
  </r>
  <r>
    <s v="f30ba2b6-e846-4ace-bcc2-b7d84c0aae36"/>
    <s v="***"/>
    <d v="2026-05-06T09:39:17"/>
    <n v="526"/>
    <x v="1"/>
    <d v="2026-05-06T02:39:17"/>
    <x v="93"/>
    <s v="Wednesday"/>
    <n v="2"/>
  </r>
  <r>
    <s v="2bdeec4d-aa47-4bfd-a90a-20e165585ab3"/>
    <s v="***"/>
    <d v="2026-05-06T10:14:34"/>
    <n v="526"/>
    <x v="1"/>
    <d v="2026-05-06T03:14:34"/>
    <x v="93"/>
    <s v="Wednesday"/>
    <n v="3"/>
  </r>
  <r>
    <s v="836b58fa-3c3c-4450-9a81-c7aaf5530ef7"/>
    <s v="***"/>
    <d v="2026-05-06T10:18:03"/>
    <n v="3"/>
    <x v="1"/>
    <d v="2026-05-06T03:18:03"/>
    <x v="93"/>
    <s v="Wednesday"/>
    <n v="3"/>
  </r>
  <r>
    <s v="07c49b23-3299-4eca-86a1-fd9eea8daa3d"/>
    <s v="***"/>
    <d v="2026-05-06T10:24:51"/>
    <n v="493"/>
    <x v="1"/>
    <d v="2026-05-06T03:24:51"/>
    <x v="93"/>
    <s v="Wednesday"/>
    <n v="3"/>
  </r>
  <r>
    <s v="74542c05-d906-4447-91cf-4a0d448af607"/>
    <s v="***"/>
    <d v="2026-05-06T11:01:41"/>
    <n v="526"/>
    <x v="1"/>
    <d v="2026-05-06T04:01:41"/>
    <x v="93"/>
    <s v="Wednesday"/>
    <n v="4"/>
  </r>
  <r>
    <s v="62a16dca-1f6f-49b9-b8b1-744e5952fd8e"/>
    <s v="***"/>
    <d v="2026-05-06T11:20:14"/>
    <n v="3"/>
    <x v="1"/>
    <d v="2026-05-06T04:20:14"/>
    <x v="93"/>
    <s v="Wednesday"/>
    <n v="4"/>
  </r>
  <r>
    <s v="8e28abe7-f0ec-4f90-bfed-c3485e226f91"/>
    <s v="***"/>
    <d v="2026-05-06T11:21:02"/>
    <n v="1"/>
    <x v="1"/>
    <d v="2026-05-06T04:21:02"/>
    <x v="93"/>
    <s v="Wednesday"/>
    <n v="4"/>
  </r>
  <r>
    <s v="b7912ab8-d15e-4451-b990-a0c54e90b342"/>
    <s v="***"/>
    <d v="2026-05-06T11:29:45"/>
    <n v="3"/>
    <x v="1"/>
    <d v="2026-05-06T04:29:45"/>
    <x v="93"/>
    <s v="Wednesday"/>
    <n v="4"/>
  </r>
  <r>
    <s v="86433db1-c9d6-4876-983e-00c50a4f38c6"/>
    <s v="***"/>
    <d v="2026-05-06T11:35:16"/>
    <n v="3"/>
    <x v="173"/>
    <d v="2026-05-06T04:35:16"/>
    <x v="93"/>
    <s v="Wednesday"/>
    <n v="4"/>
  </r>
  <r>
    <s v="03be638f-4921-4a64-90f9-1b7655e339e2"/>
    <s v="***"/>
    <d v="2026-05-06T12:56:20"/>
    <n v="3"/>
    <x v="76"/>
    <d v="2026-05-06T05:56:20"/>
    <x v="93"/>
    <s v="Wednesday"/>
    <n v="5"/>
  </r>
  <r>
    <s v="64af5e9c-a57c-4837-b885-6b2057a6c8a7"/>
    <s v="***"/>
    <d v="2026-05-06T13:05:27"/>
    <n v="3"/>
    <x v="1"/>
    <d v="2026-05-06T06:05:27"/>
    <x v="93"/>
    <s v="Wednesday"/>
    <n v="6"/>
  </r>
  <r>
    <s v="dead0904-2c4d-4ef0-85db-3b75864a89c2"/>
    <s v="***"/>
    <d v="2026-05-06T14:11:21"/>
    <n v="493"/>
    <x v="1"/>
    <d v="2026-05-06T07:11:21"/>
    <x v="93"/>
    <s v="Wednesday"/>
    <n v="7"/>
  </r>
  <r>
    <s v="8d06d023-f41c-4cf6-863e-10795bf04c1c"/>
    <s v="***"/>
    <d v="2026-05-06T14:44:18"/>
    <n v="534"/>
    <x v="1"/>
    <d v="2026-05-06T07:44:18"/>
    <x v="93"/>
    <s v="Wednesday"/>
    <n v="7"/>
  </r>
  <r>
    <s v="865ff351-0922-4907-b46e-addbedab3dae"/>
    <s v="***"/>
    <d v="2026-05-06T19:18:29"/>
    <n v="3"/>
    <x v="17"/>
    <d v="2026-05-06T12:18:29"/>
    <x v="93"/>
    <s v="Wednesday"/>
    <n v="12"/>
  </r>
  <r>
    <s v="1e43a5ab-e571-4e20-b1c8-a75e1d64ca17"/>
    <s v="***"/>
    <d v="2026-05-06T20:57:28"/>
    <n v="569"/>
    <x v="174"/>
    <d v="2026-05-06T13:57:28"/>
    <x v="93"/>
    <s v="Wednesday"/>
    <n v="13"/>
  </r>
  <r>
    <s v="e3f98439-bf00-4039-94a2-ff99cf7bc0e0"/>
    <s v="***"/>
    <d v="2026-05-06T21:11:06"/>
    <n v="569"/>
    <x v="175"/>
    <d v="2026-05-06T14:11:06"/>
    <x v="93"/>
    <s v="Wednesday"/>
    <n v="14"/>
  </r>
  <r>
    <s v="5395d1f9-f6e4-402e-a232-07f6030a978d"/>
    <s v="***"/>
    <d v="2026-05-06T22:02:34"/>
    <n v="3"/>
    <x v="44"/>
    <d v="2026-05-06T15:02:34"/>
    <x v="93"/>
    <s v="Wednesday"/>
    <n v="15"/>
  </r>
  <r>
    <s v="ac75668f-e2ba-44f0-9b85-85674f5873fc"/>
    <s v="***"/>
    <d v="2026-05-07T08:32:27"/>
    <n v="526"/>
    <x v="1"/>
    <d v="2026-05-07T01:32:27"/>
    <x v="94"/>
    <s v="Thursday"/>
    <n v="1"/>
  </r>
  <r>
    <s v="68c3c80e-fb37-48b9-88d6-02b2d27482ad"/>
    <s v="***"/>
    <d v="2026-05-07T09:14:18"/>
    <n v="526"/>
    <x v="1"/>
    <d v="2026-05-07T02:14:18"/>
    <x v="94"/>
    <s v="Thursday"/>
    <n v="2"/>
  </r>
  <r>
    <s v="b66b2d09-6c4d-4178-bdba-e0c44e906a54"/>
    <s v="***"/>
    <d v="2026-05-07T10:29:59"/>
    <n v="526"/>
    <x v="5"/>
    <d v="2026-05-07T03:29:59"/>
    <x v="94"/>
    <s v="Thursday"/>
    <n v="3"/>
  </r>
  <r>
    <s v="c3f2b1a0-a160-4533-afb9-9e0d8537aaf4"/>
    <s v="***"/>
    <d v="2026-05-07T11:26:02"/>
    <n v="526"/>
    <x v="176"/>
    <d v="2026-05-07T04:26:02"/>
    <x v="94"/>
    <s v="Thursday"/>
    <n v="4"/>
  </r>
  <r>
    <s v="e92b7619-0590-489e-bdff-472ddad78219"/>
    <s v="***"/>
    <d v="2026-05-07T13:53:27"/>
    <n v="569"/>
    <x v="177"/>
    <d v="2026-05-07T06:53:27"/>
    <x v="94"/>
    <s v="Thursday"/>
    <n v="6"/>
  </r>
  <r>
    <s v="d0530bc2-b024-45e9-96b5-ed08d4fe1a23"/>
    <s v="***"/>
    <d v="2026-05-07T13:53:49"/>
    <n v="526"/>
    <x v="1"/>
    <d v="2026-05-07T06:53:49"/>
    <x v="94"/>
    <s v="Thursday"/>
    <n v="6"/>
  </r>
  <r>
    <s v="c887f4e4-f60f-4132-8731-bf80a8cd3906"/>
    <s v="***"/>
    <d v="2026-05-07T13:55:17"/>
    <n v="3"/>
    <x v="1"/>
    <d v="2026-05-07T06:55:17"/>
    <x v="94"/>
    <s v="Thursday"/>
    <n v="6"/>
  </r>
  <r>
    <s v="11947232-0781-4b88-89d4-0669a98cd2a9"/>
    <s v="***"/>
    <d v="2026-05-07T13:55:48"/>
    <n v="569"/>
    <x v="178"/>
    <d v="2026-05-07T06:55:48"/>
    <x v="94"/>
    <s v="Thursday"/>
    <n v="6"/>
  </r>
  <r>
    <s v="0c5b8904-fe10-4998-b479-33e3b863f0e3"/>
    <s v="***"/>
    <d v="2026-05-07T14:45:01"/>
    <n v="526"/>
    <x v="1"/>
    <d v="2026-05-07T07:45:01"/>
    <x v="94"/>
    <s v="Thursday"/>
    <n v="7"/>
  </r>
  <r>
    <s v="3d635db9-e42e-43c4-8103-ef1598678aa5"/>
    <s v="***"/>
    <d v="2026-05-07T15:14:15"/>
    <n v="3"/>
    <x v="1"/>
    <d v="2026-05-07T08:14:15"/>
    <x v="94"/>
    <s v="Thursday"/>
    <n v="8"/>
  </r>
  <r>
    <s v="2a0723a9-65b8-4425-9640-29747664b7f4"/>
    <s v="***"/>
    <d v="2026-05-07T15:16:54"/>
    <n v="3"/>
    <x v="179"/>
    <d v="2026-05-07T08:16:54"/>
    <x v="94"/>
    <s v="Thursday"/>
    <n v="8"/>
  </r>
  <r>
    <s v="f8345135-9554-4597-9ac9-42b88076bce6"/>
    <s v="***"/>
    <d v="2026-05-07T15:17:18"/>
    <n v="526"/>
    <x v="1"/>
    <d v="2026-05-07T08:17:18"/>
    <x v="94"/>
    <s v="Thursday"/>
    <n v="8"/>
  </r>
  <r>
    <s v="28c75e2c-53b1-4de0-ae65-279b533a8c0d"/>
    <s v="***"/>
    <d v="2026-05-07T18:01:55"/>
    <n v="3"/>
    <x v="180"/>
    <d v="2026-05-07T11:01:55"/>
    <x v="94"/>
    <s v="Thursday"/>
    <n v="11"/>
  </r>
  <r>
    <s v="73ad0d44-d0d7-4ae8-976a-6c5e97d652a1"/>
    <s v="***"/>
    <d v="2026-05-07T19:18:06"/>
    <n v="3"/>
    <x v="181"/>
    <d v="2026-05-07T12:18:06"/>
    <x v="94"/>
    <s v="Thursday"/>
    <n v="12"/>
  </r>
  <r>
    <s v="765363ae-a855-49db-9d33-62419dc05d8d"/>
    <s v="***"/>
    <d v="2026-05-07T20:05:45"/>
    <n v="3"/>
    <x v="181"/>
    <d v="2026-05-07T13:05:45"/>
    <x v="94"/>
    <s v="Thursday"/>
    <n v="13"/>
  </r>
  <r>
    <s v="4530d32c-1d6d-4b20-b9a4-a293c8e1f3fc"/>
    <s v="***"/>
    <d v="2026-05-07T20:09:34"/>
    <n v="570"/>
    <x v="1"/>
    <d v="2026-05-07T13:09:34"/>
    <x v="94"/>
    <s v="Thursday"/>
    <n v="13"/>
  </r>
  <r>
    <s v="263e85d7-9309-4917-a1b7-a7aa3ab63193"/>
    <s v="***"/>
    <d v="2026-05-07T20:31:07"/>
    <n v="570"/>
    <x v="50"/>
    <d v="2026-05-07T13:31:07"/>
    <x v="94"/>
    <s v="Thursday"/>
    <n v="13"/>
  </r>
  <r>
    <s v="9593be95-879d-4bf5-afbe-fe6bc8ecb8bd"/>
    <s v="***"/>
    <d v="2026-05-07T21:04:42"/>
    <n v="570"/>
    <x v="158"/>
    <d v="2026-05-07T14:04:42"/>
    <x v="94"/>
    <s v="Thursday"/>
    <n v="14"/>
  </r>
  <r>
    <s v="5b207aef-b4ce-4675-9903-3a4b3ce00df8"/>
    <s v="***"/>
    <d v="2026-05-07T22:52:06"/>
    <n v="570"/>
    <x v="1"/>
    <d v="2026-05-07T15:52:06"/>
    <x v="94"/>
    <s v="Thursday"/>
    <n v="15"/>
  </r>
  <r>
    <s v="e60023d9-8a3b-44f3-9ed2-cc3b3a1fe829"/>
    <s v="***"/>
    <d v="2026-05-07T23:02:41"/>
    <n v="570"/>
    <x v="50"/>
    <d v="2026-05-07T16:02:41"/>
    <x v="94"/>
    <s v="Thursday"/>
    <n v="16"/>
  </r>
  <r>
    <s v="d248c7fd-513b-481b-85aa-c1fdd6fb5e27"/>
    <s v="***"/>
    <d v="2026-05-07T23:19:30"/>
    <n v="527"/>
    <x v="5"/>
    <d v="2026-05-07T16:19:30"/>
    <x v="94"/>
    <s v="Thursday"/>
    <n v="16"/>
  </r>
  <r>
    <s v="e1c5bfc8-bdc3-48d2-bf1f-d8358a8b68a0"/>
    <s v="***"/>
    <d v="2026-05-08T00:14:53"/>
    <n v="527"/>
    <x v="181"/>
    <d v="2026-05-07T17:14:53"/>
    <x v="94"/>
    <s v="Thursday"/>
    <n v="17"/>
  </r>
  <r>
    <s v="4abfae8a-6740-42c3-86a3-b6b93448419b"/>
    <s v="***"/>
    <d v="2026-05-08T09:01:54"/>
    <n v="3"/>
    <x v="1"/>
    <d v="2026-05-08T02:01:54"/>
    <x v="95"/>
    <s v="Friday"/>
    <n v="2"/>
  </r>
  <r>
    <s v="0a658f26-bbd4-4ed9-a9f7-5af4f4590957"/>
    <s v="***"/>
    <d v="2026-05-08T09:24:10"/>
    <n v="527"/>
    <x v="1"/>
    <d v="2026-05-08T02:24:10"/>
    <x v="95"/>
    <s v="Friday"/>
    <n v="2"/>
  </r>
  <r>
    <s v="d9da8e6b-601c-47cb-9af2-c49bdba35363"/>
    <s v="***"/>
    <d v="2026-05-08T09:35:11"/>
    <n v="3"/>
    <x v="1"/>
    <d v="2026-05-08T02:35:11"/>
    <x v="95"/>
    <s v="Friday"/>
    <n v="2"/>
  </r>
  <r>
    <s v="d1ac4ae8-de94-4a37-a908-50e87a9375df"/>
    <s v="***"/>
    <d v="2026-05-08T09:57:47"/>
    <n v="570"/>
    <x v="182"/>
    <d v="2026-05-08T02:57:47"/>
    <x v="95"/>
    <s v="Friday"/>
    <n v="2"/>
  </r>
  <r>
    <s v="1c4d6303-d76e-4257-9d04-776788f79e57"/>
    <s v="***"/>
    <d v="2026-05-08T14:09:01"/>
    <n v="527"/>
    <x v="28"/>
    <d v="2026-05-08T07:09:01"/>
    <x v="95"/>
    <s v="Friday"/>
    <n v="7"/>
  </r>
  <r>
    <s v="794c0a5f-e8dc-47d4-8715-beeb840e24fc"/>
    <s v="***"/>
    <d v="2026-05-08T14:24:12"/>
    <n v="3"/>
    <x v="1"/>
    <d v="2026-05-08T07:24:12"/>
    <x v="95"/>
    <s v="Friday"/>
    <n v="7"/>
  </r>
  <r>
    <s v="f861e09b-1c5b-46a6-bc9f-72c879e8da61"/>
    <s v="***"/>
    <d v="2026-05-08T15:50:57"/>
    <n v="3"/>
    <x v="71"/>
    <d v="2026-05-08T08:50:57"/>
    <x v="95"/>
    <s v="Friday"/>
    <n v="8"/>
  </r>
  <r>
    <s v="8f22bcae-a5f1-4e62-af86-c7db1ea14aa2"/>
    <s v="***"/>
    <d v="2026-05-08T15:51:27"/>
    <n v="3"/>
    <x v="1"/>
    <d v="2026-05-08T08:51:27"/>
    <x v="95"/>
    <s v="Friday"/>
    <n v="8"/>
  </r>
  <r>
    <s v="0b904600-c49d-4a92-a014-8cea426d9dc2"/>
    <s v="***"/>
    <d v="2026-05-08T15:51:37"/>
    <n v="3"/>
    <x v="1"/>
    <d v="2026-05-08T08:51:37"/>
    <x v="95"/>
    <s v="Friday"/>
    <n v="8"/>
  </r>
  <r>
    <s v="af8eec3f-95f2-4d8e-89df-9446b256f774"/>
    <s v="***"/>
    <d v="2026-05-08T15:51:43"/>
    <n v="3"/>
    <x v="45"/>
    <d v="2026-05-08T08:51:43"/>
    <x v="95"/>
    <s v="Friday"/>
    <n v="8"/>
  </r>
  <r>
    <s v="67f7dcf6-3fda-45d5-90d8-02ecb19766b7"/>
    <s v="***"/>
    <d v="2026-05-08T16:26:26"/>
    <n v="570"/>
    <x v="71"/>
    <d v="2026-05-08T09:26:26"/>
    <x v="95"/>
    <s v="Friday"/>
    <n v="9"/>
  </r>
  <r>
    <s v="ff77baa9-4b66-4e02-a633-5e824482bc85"/>
    <s v="***"/>
    <d v="2026-05-09T12:19:42"/>
    <n v="527"/>
    <x v="1"/>
    <d v="2026-05-09T05:19:42"/>
    <x v="96"/>
    <s v="Saturday"/>
    <n v="5"/>
  </r>
  <r>
    <s v="5fdc53e2-c108-4690-ae0b-b2ac02abeba9"/>
    <s v="***"/>
    <d v="2026-05-09T14:21:10"/>
    <n v="527"/>
    <x v="5"/>
    <d v="2026-05-09T07:21:10"/>
    <x v="96"/>
    <s v="Saturday"/>
    <n v="7"/>
  </r>
  <r>
    <s v="1e5d8573-36ba-4ec4-bf86-132ec01d861f"/>
    <s v="***"/>
    <d v="2026-05-09T14:53:50"/>
    <n v="527"/>
    <x v="5"/>
    <d v="2026-05-09T07:53:50"/>
    <x v="96"/>
    <s v="Saturday"/>
    <n v="7"/>
  </r>
  <r>
    <s v="7f3cfd6f-ea60-4511-8ab0-790791fb644d"/>
    <s v="***"/>
    <d v="2026-05-09T15:12:20"/>
    <n v="3"/>
    <x v="1"/>
    <d v="2026-05-09T08:12:20"/>
    <x v="96"/>
    <s v="Saturday"/>
    <n v="8"/>
  </r>
  <r>
    <s v="5222167e-8ff0-4b3d-b3ce-bd74122f43b0"/>
    <s v="***"/>
    <d v="2026-05-09T20:11:12"/>
    <n v="527"/>
    <x v="1"/>
    <d v="2026-05-09T13:11:12"/>
    <x v="96"/>
    <s v="Saturday"/>
    <n v="13"/>
  </r>
  <r>
    <s v="b0454fe2-23eb-4481-9a0d-11405ccf5c5d"/>
    <s v="***"/>
    <d v="2026-05-09T22:27:49"/>
    <n v="570"/>
    <x v="183"/>
    <d v="2026-05-09T15:27:49"/>
    <x v="96"/>
    <s v="Saturday"/>
    <n v="15"/>
  </r>
  <r>
    <s v="181dd89e-46b6-49d0-a585-3276e65be37e"/>
    <s v="***"/>
    <d v="2026-05-10T11:25:31"/>
    <n v="1"/>
    <x v="1"/>
    <d v="2026-05-10T04:25:31"/>
    <x v="97"/>
    <s v="Sunday"/>
    <n v="4"/>
  </r>
  <r>
    <s v="6c823e48-f3d0-42de-ae69-4f49576dd6f5"/>
    <s v="***"/>
    <d v="2026-05-10T11:37:20"/>
    <n v="527"/>
    <x v="5"/>
    <d v="2026-05-10T04:37:20"/>
    <x v="97"/>
    <s v="Sunday"/>
    <n v="4"/>
  </r>
  <r>
    <s v="ad8cdbcf-0d41-468c-8c69-b7d360b371dd"/>
    <s v="***"/>
    <d v="2026-05-10T11:40:56"/>
    <n v="527"/>
    <x v="5"/>
    <d v="2026-05-10T04:40:56"/>
    <x v="97"/>
    <s v="Sunday"/>
    <n v="4"/>
  </r>
  <r>
    <s v="0d3cb786-05bd-4781-989f-e18175ea465c"/>
    <s v="***"/>
    <d v="2026-05-10T13:54:08"/>
    <n v="4"/>
    <x v="1"/>
    <d v="2026-05-10T06:54:08"/>
    <x v="97"/>
    <s v="Sunday"/>
    <n v="6"/>
  </r>
  <r>
    <s v="64a984b3-17be-4c2f-9acd-632e354d1842"/>
    <s v="***"/>
    <d v="2026-05-10T14:01:30"/>
    <n v="5"/>
    <x v="1"/>
    <d v="2026-05-10T07:01:30"/>
    <x v="97"/>
    <s v="Sunday"/>
    <n v="7"/>
  </r>
  <r>
    <s v="41bdbe4d-9142-4d6f-bcd1-478ac48e8084"/>
    <s v="***"/>
    <d v="2026-05-10T17:23:28"/>
    <n v="1"/>
    <x v="1"/>
    <d v="2026-05-10T10:23:28"/>
    <x v="97"/>
    <s v="Sunday"/>
    <n v="10"/>
  </r>
  <r>
    <s v="8f25665e-0729-4c81-b4cc-874c7b3e0ac4"/>
    <s v="***"/>
    <d v="2026-05-11T01:24:19"/>
    <n v="527"/>
    <x v="1"/>
    <d v="2026-05-10T18:24:19"/>
    <x v="97"/>
    <s v="Sunday"/>
    <n v="18"/>
  </r>
  <r>
    <s v="725112d0-9128-4a7d-96de-8569292e7ace"/>
    <s v="***"/>
    <d v="2026-05-11T01:25:17"/>
    <n v="3"/>
    <x v="17"/>
    <d v="2026-05-10T18:25:17"/>
    <x v="97"/>
    <s v="Sunday"/>
    <n v="18"/>
  </r>
  <r>
    <s v="6d7c7216-fd62-4987-a40a-097fe051cb52"/>
    <s v="***"/>
    <d v="2026-05-11T04:42:50"/>
    <n v="570"/>
    <x v="6"/>
    <d v="2026-05-10T21:42:50"/>
    <x v="97"/>
    <s v="Sunday"/>
    <n v="21"/>
  </r>
  <r>
    <s v="9fdc949b-897b-4e55-ba0e-5fdab6f81206"/>
    <s v="***"/>
    <d v="2026-05-11T09:42:03"/>
    <n v="527"/>
    <x v="5"/>
    <d v="2026-05-11T02:42:03"/>
    <x v="98"/>
    <s v="Monday"/>
    <n v="2"/>
  </r>
  <r>
    <s v="80230dc5-e88f-4889-8170-03e9878c09ef"/>
    <s v="***"/>
    <d v="2026-05-11T11:26:54"/>
    <n v="570"/>
    <x v="1"/>
    <d v="2026-05-11T04:26:54"/>
    <x v="98"/>
    <s v="Monday"/>
    <n v="4"/>
  </r>
  <r>
    <s v="fba8bb62-ede5-4a23-ad8b-bc80c49abec1"/>
    <s v="***"/>
    <d v="2026-05-11T12:25:25"/>
    <n v="3"/>
    <x v="1"/>
    <d v="2026-05-11T05:25:25"/>
    <x v="98"/>
    <s v="Monday"/>
    <n v="5"/>
  </r>
  <r>
    <s v="c48db57d-2f9c-443d-9f16-dde47cbde301"/>
    <s v="***"/>
    <d v="2026-05-11T12:57:16"/>
    <n v="570"/>
    <x v="1"/>
    <d v="2026-05-11T05:57:16"/>
    <x v="98"/>
    <s v="Monday"/>
    <n v="5"/>
  </r>
  <r>
    <s v="d21ec3d2-c5a0-423d-be4d-cfaddaaf2b9c"/>
    <s v="***"/>
    <d v="2026-05-11T13:04:29"/>
    <n v="3"/>
    <x v="1"/>
    <d v="2026-05-11T06:04:29"/>
    <x v="98"/>
    <s v="Monday"/>
    <n v="6"/>
  </r>
  <r>
    <s v="1384c3c8-7aea-414d-b677-518bfd44acc3"/>
    <s v="***"/>
    <d v="2026-05-11T13:15:47"/>
    <n v="570"/>
    <x v="1"/>
    <d v="2026-05-11T06:15:47"/>
    <x v="98"/>
    <s v="Monday"/>
    <n v="6"/>
  </r>
  <r>
    <s v="323a7e84-8b1d-4715-b938-702dad56fa29"/>
    <s v="***"/>
    <d v="2026-05-11T15:19:02"/>
    <n v="534"/>
    <x v="1"/>
    <d v="2026-05-11T08:19:02"/>
    <x v="98"/>
    <s v="Monday"/>
    <n v="8"/>
  </r>
  <r>
    <s v="c03e21c5-2088-40d9-b5f5-d3780e705d9e"/>
    <s v="***"/>
    <d v="2026-05-11T16:47:29"/>
    <n v="3"/>
    <x v="184"/>
    <d v="2026-05-11T09:47:29"/>
    <x v="98"/>
    <s v="Monday"/>
    <n v="9"/>
  </r>
  <r>
    <s v="50ee9e10-5384-4f02-8b9b-ba9a6eadd5e3"/>
    <s v="***"/>
    <d v="2026-05-11T17:02:47"/>
    <n v="3"/>
    <x v="184"/>
    <d v="2026-05-11T10:02:47"/>
    <x v="98"/>
    <s v="Monday"/>
    <n v="10"/>
  </r>
  <r>
    <s v="2543017b-2cda-4aa7-a925-ffa214cb9f62"/>
    <s v="***"/>
    <d v="2026-05-11T17:58:45"/>
    <n v="570"/>
    <x v="185"/>
    <d v="2026-05-11T10:58:45"/>
    <x v="98"/>
    <s v="Monday"/>
    <n v="10"/>
  </r>
  <r>
    <s v="9ff9818a-a2d1-4ce3-93ad-42b1e2db8a61"/>
    <s v="***"/>
    <d v="2026-05-11T19:48:05"/>
    <n v="493"/>
    <x v="1"/>
    <d v="2026-05-11T12:48:05"/>
    <x v="98"/>
    <s v="Monday"/>
    <n v="12"/>
  </r>
  <r>
    <s v="de043f04-077b-45c8-9b9f-253e64c6e0fc"/>
    <s v="***"/>
    <d v="2026-05-11T23:06:36"/>
    <n v="570"/>
    <x v="186"/>
    <d v="2026-05-11T16:06:36"/>
    <x v="98"/>
    <s v="Monday"/>
    <n v="16"/>
  </r>
  <r>
    <s v="f407607c-3d19-45b8-9dc7-ee9117d0ec54"/>
    <s v="***"/>
    <d v="2026-05-12T03:46:26"/>
    <n v="3"/>
    <x v="1"/>
    <d v="2026-05-11T20:46:26"/>
    <x v="98"/>
    <s v="Monday"/>
    <n v="20"/>
  </r>
  <r>
    <s v="6f0cd025-2cf8-429f-9407-bd23d67395f6"/>
    <s v="***"/>
    <d v="2026-05-12T05:33:11"/>
    <n v="1"/>
    <x v="1"/>
    <d v="2026-05-11T22:33:11"/>
    <x v="98"/>
    <s v="Monday"/>
    <n v="22"/>
  </r>
  <r>
    <s v="11973c7c-84bd-4eca-a318-cefbdfe615fd"/>
    <s v="***"/>
    <d v="2026-05-12T07:49:39"/>
    <n v="534"/>
    <x v="1"/>
    <d v="2026-05-12T00:49:39"/>
    <x v="99"/>
    <s v="Tuesday"/>
    <n v="0"/>
  </r>
  <r>
    <s v="0116dd6f-6eef-4ee9-8f7f-6dbb67d7f85d"/>
    <s v="***"/>
    <d v="2026-05-12T11:07:01"/>
    <n v="570"/>
    <x v="71"/>
    <d v="2026-05-12T04:07:01"/>
    <x v="99"/>
    <s v="Tuesday"/>
    <n v="4"/>
  </r>
  <r>
    <s v="f25538f0-28c5-44cb-bfdf-9870bfeb3d7b"/>
    <s v="***"/>
    <d v="2026-05-12T12:05:36"/>
    <n v="570"/>
    <x v="71"/>
    <d v="2026-05-12T05:05:36"/>
    <x v="99"/>
    <s v="Tuesday"/>
    <n v="5"/>
  </r>
  <r>
    <s v="6ee93118-c39a-445f-95d5-299c4e7876af"/>
    <s v="***"/>
    <d v="2026-05-12T12:25:32"/>
    <n v="1"/>
    <x v="135"/>
    <d v="2026-05-12T05:25:32"/>
    <x v="99"/>
    <s v="Tuesday"/>
    <n v="5"/>
  </r>
  <r>
    <s v="7d08c80d-4ddd-448a-b5c9-d6f591de2249"/>
    <s v="***"/>
    <d v="2026-05-12T13:29:23"/>
    <n v="3"/>
    <x v="71"/>
    <d v="2026-05-12T06:29:23"/>
    <x v="99"/>
    <s v="Tuesday"/>
    <n v="6"/>
  </r>
  <r>
    <s v="e52ed9d6-41e8-4268-9f03-33470263f31d"/>
    <s v="***"/>
    <d v="2026-05-12T13:29:59"/>
    <n v="527"/>
    <x v="5"/>
    <d v="2026-05-12T06:29:59"/>
    <x v="99"/>
    <s v="Tuesday"/>
    <n v="6"/>
  </r>
  <r>
    <s v="6084edc8-8fbd-4266-9dd4-65ab06653426"/>
    <s v="***"/>
    <d v="2026-05-12T14:34:36"/>
    <n v="570"/>
    <x v="187"/>
    <d v="2026-05-12T07:34:36"/>
    <x v="99"/>
    <s v="Tuesday"/>
    <n v="7"/>
  </r>
  <r>
    <s v="f4bd99c5-4c56-415b-a3c9-eba4c4539bea"/>
    <s v="***"/>
    <d v="2026-05-12T14:36:27"/>
    <n v="3"/>
    <x v="2"/>
    <d v="2026-05-12T07:36:27"/>
    <x v="99"/>
    <s v="Tuesday"/>
    <n v="7"/>
  </r>
  <r>
    <s v="6eb42081-eff4-4a80-8b94-a9addbd6cdef"/>
    <s v="***"/>
    <d v="2026-05-12T15:51:58"/>
    <n v="3"/>
    <x v="1"/>
    <d v="2026-05-12T08:51:58"/>
    <x v="99"/>
    <s v="Tuesday"/>
    <n v="8"/>
  </r>
  <r>
    <s v="426b2c87-157e-49b2-a2a7-9d81de15e6c3"/>
    <s v="***"/>
    <d v="2026-05-12T16:40:08"/>
    <n v="570"/>
    <x v="71"/>
    <d v="2026-05-12T09:40:08"/>
    <x v="99"/>
    <s v="Tuesday"/>
    <n v="9"/>
  </r>
  <r>
    <s v="cd760a5e-0338-436c-a3c5-e172d1af70f3"/>
    <s v="***"/>
    <d v="2026-05-12T16:43:55"/>
    <n v="570"/>
    <x v="188"/>
    <d v="2026-05-12T09:43:55"/>
    <x v="99"/>
    <s v="Tuesday"/>
    <n v="9"/>
  </r>
  <r>
    <s v="f55c3eb9-4fe9-4b4c-8998-d60d335431d1"/>
    <s v="***"/>
    <d v="2026-05-12T16:51:17"/>
    <n v="570"/>
    <x v="23"/>
    <d v="2026-05-12T09:51:17"/>
    <x v="99"/>
    <s v="Tuesday"/>
    <n v="9"/>
  </r>
  <r>
    <s v="8712bbe5-4c45-4b38-9f21-de01eb855fc6"/>
    <s v="***"/>
    <d v="2026-05-12T20:38:02"/>
    <n v="570"/>
    <x v="1"/>
    <d v="2026-05-12T13:38:02"/>
    <x v="99"/>
    <s v="Tuesday"/>
    <n v="13"/>
  </r>
  <r>
    <s v="109a2b21-f9a3-4687-81f0-56e91f666740"/>
    <s v="***"/>
    <d v="2026-05-12T21:01:26"/>
    <n v="570"/>
    <x v="1"/>
    <d v="2026-05-12T14:01:26"/>
    <x v="99"/>
    <s v="Tuesday"/>
    <n v="14"/>
  </r>
  <r>
    <s v="5275d740-4e6c-4fed-bb67-2f7304ad78c3"/>
    <s v="***"/>
    <d v="2026-05-13T01:39:05"/>
    <n v="570"/>
    <x v="1"/>
    <d v="2026-05-12T18:39:05"/>
    <x v="99"/>
    <s v="Tuesday"/>
    <n v="18"/>
  </r>
  <r>
    <s v="c8e8cf27-a826-4699-9c8b-0f3e4a593955"/>
    <s v="***"/>
    <d v="2026-05-13T07:48:45"/>
    <n v="3"/>
    <x v="1"/>
    <d v="2026-05-13T00:48:45"/>
    <x v="100"/>
    <s v="Wednesday"/>
    <n v="0"/>
  </r>
  <r>
    <s v="1c399ccd-bbe8-41f6-b759-e575e10f3319"/>
    <s v="***"/>
    <d v="2026-05-13T08:05:45"/>
    <n v="527"/>
    <x v="5"/>
    <d v="2026-05-13T01:05:45"/>
    <x v="100"/>
    <s v="Wednesday"/>
    <n v="1"/>
  </r>
  <r>
    <s v="73db1b34-f811-4309-972b-919528b50bcd"/>
    <s v="***"/>
    <d v="2026-05-13T08:11:17"/>
    <n v="570"/>
    <x v="1"/>
    <d v="2026-05-13T01:11:17"/>
    <x v="100"/>
    <s v="Wednesday"/>
    <n v="1"/>
  </r>
  <r>
    <s v="c8d2457d-8cf7-46d6-ae17-350a7449205a"/>
    <s v="***"/>
    <d v="2026-05-13T09:18:06"/>
    <n v="570"/>
    <x v="71"/>
    <d v="2026-05-13T02:18:06"/>
    <x v="100"/>
    <s v="Wednesday"/>
    <n v="2"/>
  </r>
  <r>
    <s v="871d27e3-2bcf-4d79-a095-5bb86fe53544"/>
    <s v="***"/>
    <d v="2026-05-13T09:36:53"/>
    <n v="527"/>
    <x v="5"/>
    <d v="2026-05-13T02:36:53"/>
    <x v="100"/>
    <s v="Wednesday"/>
    <n v="2"/>
  </r>
  <r>
    <s v="7f9c6833-91f3-4af2-9d6b-b61814f078ad"/>
    <s v="***"/>
    <d v="2026-05-13T10:00:40"/>
    <n v="527"/>
    <x v="5"/>
    <d v="2026-05-13T03:00:40"/>
    <x v="100"/>
    <s v="Wednesday"/>
    <n v="3"/>
  </r>
  <r>
    <s v="0251d794-6e32-43c9-ad4f-83d2f7b0b9ba"/>
    <s v="***"/>
    <d v="2026-05-13T10:08:43"/>
    <n v="3"/>
    <x v="45"/>
    <d v="2026-05-13T03:08:43"/>
    <x v="100"/>
    <s v="Wednesday"/>
    <n v="3"/>
  </r>
  <r>
    <s v="6d7438fa-1d52-4e68-92af-4450478b1279"/>
    <s v="***"/>
    <d v="2026-05-13T10:23:10"/>
    <n v="527"/>
    <x v="1"/>
    <d v="2026-05-13T03:23:10"/>
    <x v="100"/>
    <s v="Wednesday"/>
    <n v="3"/>
  </r>
  <r>
    <s v="10a6f8da-ab14-40d5-b5c7-aacea0d605ef"/>
    <s v="***"/>
    <d v="2026-05-13T12:03:00"/>
    <n v="527"/>
    <x v="1"/>
    <d v="2026-05-13T05:03:00"/>
    <x v="100"/>
    <s v="Wednesday"/>
    <n v="5"/>
  </r>
  <r>
    <s v="0e5beb4b-4c9e-4268-8f51-88a1f1a5b3ca"/>
    <s v="***"/>
    <d v="2026-05-14T11:29:59"/>
    <n v="3"/>
    <x v="1"/>
    <d v="2026-05-14T04:29:59"/>
    <x v="101"/>
    <s v="Thursday"/>
    <n v="4"/>
  </r>
  <r>
    <s v="ce8d7de5-0dbb-4b8f-8bc3-622c1b5e409f"/>
    <s v="***"/>
    <d v="2026-05-14T11:48:36"/>
    <n v="1"/>
    <x v="1"/>
    <d v="2026-05-14T04:48:36"/>
    <x v="101"/>
    <s v="Thursday"/>
    <n v="4"/>
  </r>
  <r>
    <s v="e16a73aa-f5ad-4c26-9627-a0d7a935e23e"/>
    <s v="***"/>
    <d v="2026-05-14T11:54:32"/>
    <n v="3"/>
    <x v="71"/>
    <d v="2026-05-14T04:54:32"/>
    <x v="101"/>
    <s v="Thursday"/>
    <n v="4"/>
  </r>
  <r>
    <s v="631eb5f6-2533-4b43-b307-248069c4f9ce"/>
    <s v="***"/>
    <d v="2026-05-14T12:09:40"/>
    <n v="527"/>
    <x v="71"/>
    <d v="2026-05-14T05:09:40"/>
    <x v="101"/>
    <s v="Thursday"/>
    <n v="5"/>
  </r>
  <r>
    <s v="a1f7070b-c184-49bd-8db9-2fdc4d369d0c"/>
    <s v="***"/>
    <d v="2026-05-14T13:08:51"/>
    <n v="783"/>
    <x v="1"/>
    <d v="2026-05-14T06:08:51"/>
    <x v="101"/>
    <s v="Thursday"/>
    <n v="6"/>
  </r>
  <r>
    <s v="70af97a7-2433-401e-a1fa-35248d847ebd"/>
    <s v="***"/>
    <d v="2026-05-14T14:17:03"/>
    <n v="527"/>
    <x v="71"/>
    <d v="2026-05-14T07:17:03"/>
    <x v="101"/>
    <s v="Thursday"/>
    <n v="7"/>
  </r>
  <r>
    <s v="1eea6294-37c4-4f9c-bd84-5d8ba105bd5d"/>
    <s v="***"/>
    <d v="2026-05-14T19:58:32"/>
    <n v="3"/>
    <x v="189"/>
    <d v="2026-05-14T12:58:32"/>
    <x v="101"/>
    <s v="Thursday"/>
    <n v="12"/>
  </r>
  <r>
    <s v="dfd51eff-8452-4506-91a7-9d9dbd37f3a8"/>
    <s v="***"/>
    <d v="2026-05-14T20:03:59"/>
    <n v="1"/>
    <x v="1"/>
    <d v="2026-05-14T13:03:59"/>
    <x v="101"/>
    <s v="Thursday"/>
    <n v="13"/>
  </r>
  <r>
    <s v="114bf0e6-64dc-4267-9e41-b73dd5897895"/>
    <s v="***"/>
    <d v="2026-05-14T20:48:44"/>
    <n v="570"/>
    <x v="37"/>
    <d v="2026-05-14T13:48:44"/>
    <x v="101"/>
    <s v="Thursday"/>
    <n v="13"/>
  </r>
  <r>
    <s v="2dbf89c1-0574-4aab-bd86-44c1490c5e99"/>
    <s v="***"/>
    <d v="2026-05-14T21:04:09"/>
    <n v="527"/>
    <x v="5"/>
    <d v="2026-05-14T14:04:09"/>
    <x v="101"/>
    <s v="Thursday"/>
    <n v="14"/>
  </r>
  <r>
    <s v="873f048c-8dc5-46b7-a499-7757efbb4a87"/>
    <s v="***"/>
    <d v="2026-05-15T08:20:42"/>
    <n v="570"/>
    <x v="71"/>
    <d v="2026-05-15T01:20:42"/>
    <x v="102"/>
    <s v="Friday"/>
    <n v="1"/>
  </r>
  <r>
    <s v="3d258da0-1a71-485f-9655-cfa3e94fe4bb"/>
    <s v="***"/>
    <d v="2026-05-15T08:37:53"/>
    <n v="3"/>
    <x v="190"/>
    <d v="2026-05-15T01:37:53"/>
    <x v="102"/>
    <s v="Friday"/>
    <n v="1"/>
  </r>
  <r>
    <s v="847b4389-b9a4-46ff-b42f-567967637f60"/>
    <s v="***"/>
    <d v="2026-05-15T09:52:43"/>
    <n v="527"/>
    <x v="5"/>
    <d v="2026-05-15T02:52:43"/>
    <x v="102"/>
    <s v="Friday"/>
    <n v="2"/>
  </r>
  <r>
    <s v="792220d8-b614-4bb9-bfa8-57264c9c8697"/>
    <s v="***"/>
    <d v="2026-05-15T15:03:58"/>
    <n v="527"/>
    <x v="1"/>
    <d v="2026-05-15T08:03:58"/>
    <x v="102"/>
    <s v="Friday"/>
    <n v="8"/>
  </r>
  <r>
    <s v="bfe429ba-0d65-4a9a-b6f0-00f61126dde0"/>
    <s v="***"/>
    <d v="2026-05-15T16:14:24"/>
    <n v="3"/>
    <x v="1"/>
    <d v="2026-05-15T09:14:24"/>
    <x v="102"/>
    <s v="Friday"/>
    <n v="9"/>
  </r>
  <r>
    <s v="726df8c2-d606-4cfd-ac24-c9324eeb8894"/>
    <s v="***"/>
    <d v="2026-05-15T22:58:49"/>
    <n v="570"/>
    <x v="1"/>
    <d v="2026-05-15T15:58:49"/>
    <x v="102"/>
    <s v="Friday"/>
    <n v="15"/>
  </r>
  <r>
    <s v="014a21d1-0336-48aa-a912-5470cc1e2b9e"/>
    <s v="***"/>
    <d v="2026-05-15T23:00:43"/>
    <n v="570"/>
    <x v="1"/>
    <d v="2026-05-15T16:00:43"/>
    <x v="102"/>
    <s v="Friday"/>
    <n v="16"/>
  </r>
  <r>
    <s v="5bf3a94d-e6c2-4d8a-82f2-e06dbb594f92"/>
    <s v="***"/>
    <d v="2026-05-15T23:03:41"/>
    <n v="3"/>
    <x v="49"/>
    <d v="2026-05-15T16:03:41"/>
    <x v="102"/>
    <s v="Friday"/>
    <n v="16"/>
  </r>
  <r>
    <s v="052500e2-e9d8-4a1b-a004-0e6fa3f1ef7d"/>
    <s v="***"/>
    <d v="2026-05-15T23:04:12"/>
    <n v="3"/>
    <x v="191"/>
    <d v="2026-05-15T16:04:12"/>
    <x v="102"/>
    <s v="Friday"/>
    <n v="16"/>
  </r>
  <r>
    <s v="6bee6a9e-64e0-4dcb-8803-b353b38670cb"/>
    <s v="***"/>
    <d v="2026-05-15T23:06:37"/>
    <n v="3"/>
    <x v="64"/>
    <d v="2026-05-15T16:06:37"/>
    <x v="102"/>
    <s v="Friday"/>
    <n v="16"/>
  </r>
  <r>
    <s v="3974d695-e66e-45d1-a30b-a0ef6c55ee5b"/>
    <s v="***"/>
    <d v="2026-05-15T23:15:38"/>
    <n v="570"/>
    <x v="37"/>
    <d v="2026-05-15T16:15:38"/>
    <x v="102"/>
    <s v="Friday"/>
    <n v="16"/>
  </r>
  <r>
    <s v="0e4451dc-4807-4b6f-bcec-dcb6000fcd4f"/>
    <s v="***"/>
    <d v="2026-05-15T23:18:37"/>
    <n v="3"/>
    <x v="1"/>
    <d v="2026-05-15T16:18:37"/>
    <x v="102"/>
    <s v="Friday"/>
    <n v="16"/>
  </r>
  <r>
    <s v="f6ccfd61-9483-4b6f-b264-b1eef3a59a1d"/>
    <s v="***"/>
    <d v="2026-05-16T00:33:17"/>
    <n v="527"/>
    <x v="191"/>
    <d v="2026-05-15T17:33:17"/>
    <x v="102"/>
    <s v="Friday"/>
    <n v="17"/>
  </r>
  <r>
    <s v="93e17d96-fa82-49d3-8699-decd746a1d18"/>
    <s v="***"/>
    <d v="2026-05-16T00:33:50"/>
    <n v="570"/>
    <x v="124"/>
    <d v="2026-05-15T17:33:50"/>
    <x v="102"/>
    <s v="Friday"/>
    <n v="17"/>
  </r>
  <r>
    <s v="5033a0b2-dce3-4201-a4af-5b889cda6a29"/>
    <s v="***"/>
    <d v="2026-05-16T00:35:52"/>
    <n v="527"/>
    <x v="1"/>
    <d v="2026-05-15T17:35:52"/>
    <x v="102"/>
    <s v="Friday"/>
    <n v="17"/>
  </r>
  <r>
    <s v="8aebced5-8974-47b1-aab8-6e78661910f0"/>
    <s v="***"/>
    <d v="2026-05-16T00:36:08"/>
    <n v="570"/>
    <x v="37"/>
    <d v="2026-05-15T17:36:08"/>
    <x v="102"/>
    <s v="Friday"/>
    <n v="17"/>
  </r>
  <r>
    <s v="343bacf2-9c14-4945-87d9-6775f5c752b4"/>
    <s v="***"/>
    <d v="2026-05-16T03:00:39"/>
    <n v="570"/>
    <x v="37"/>
    <d v="2026-05-15T20:00:39"/>
    <x v="102"/>
    <s v="Friday"/>
    <n v="20"/>
  </r>
  <r>
    <s v="a0970a25-d756-43eb-a41f-2e5f206b127e"/>
    <s v="***"/>
    <d v="2026-05-16T06:32:46"/>
    <n v="570"/>
    <x v="37"/>
    <d v="2026-05-15T23:32:46"/>
    <x v="102"/>
    <s v="Friday"/>
    <n v="23"/>
  </r>
  <r>
    <s v="e7ac8d02-043a-4531-b22c-eb613736c63d"/>
    <s v="***"/>
    <d v="2026-05-16T20:16:41"/>
    <n v="527"/>
    <x v="5"/>
    <d v="2026-05-16T13:16:41"/>
    <x v="103"/>
    <s v="Saturday"/>
    <n v="13"/>
  </r>
  <r>
    <s v="aa7d15fb-cbfd-4eea-9ff2-6773c365d018"/>
    <s v="***"/>
    <d v="2026-05-16T20:59:46"/>
    <n v="570"/>
    <x v="1"/>
    <d v="2026-05-16T13:59:46"/>
    <x v="103"/>
    <s v="Saturday"/>
    <n v="13"/>
  </r>
  <r>
    <s v="00c1c237-1ea0-4f83-9ae1-2fb3b6d893c0"/>
    <s v="***"/>
    <d v="2026-05-16T21:01:47"/>
    <n v="527"/>
    <x v="5"/>
    <d v="2026-05-16T14:01:47"/>
    <x v="103"/>
    <s v="Saturday"/>
    <n v="14"/>
  </r>
  <r>
    <s v="03e4c2eb-6b81-463d-87d9-437de04ae76b"/>
    <s v="***"/>
    <d v="2026-05-16T21:04:18"/>
    <n v="3"/>
    <x v="1"/>
    <d v="2026-05-16T14:04:18"/>
    <x v="103"/>
    <s v="Saturday"/>
    <n v="14"/>
  </r>
  <r>
    <s v="d1c68551-8cdc-4dbf-907d-5103ca38b1c2"/>
    <s v="***"/>
    <d v="2026-05-17T01:52:16"/>
    <n v="3"/>
    <x v="1"/>
    <d v="2026-05-16T18:52:16"/>
    <x v="103"/>
    <s v="Saturday"/>
    <n v="18"/>
  </r>
  <r>
    <s v="d8cdc5ba-bacb-4b78-ab74-66d8f8c29b7c"/>
    <s v="***"/>
    <d v="2026-05-17T06:44:45"/>
    <n v="3"/>
    <x v="1"/>
    <d v="2026-05-16T23:44:45"/>
    <x v="103"/>
    <s v="Saturday"/>
    <n v="23"/>
  </r>
  <r>
    <s v="d7e186cf-5b96-4040-94e0-a83a7d9ffabf"/>
    <s v="***"/>
    <d v="2026-05-17T14:18:00"/>
    <n v="570"/>
    <x v="1"/>
    <d v="2026-05-17T07:18:00"/>
    <x v="104"/>
    <s v="Sunday"/>
    <n v="7"/>
  </r>
  <r>
    <s v="fbd3a757-501b-429d-8ae9-d95791614097"/>
    <s v="***"/>
    <d v="2026-05-17T17:34:31"/>
    <n v="3"/>
    <x v="1"/>
    <d v="2026-05-17T10:34:31"/>
    <x v="104"/>
    <s v="Sunday"/>
    <n v="10"/>
  </r>
  <r>
    <s v="b554c49c-2a18-43fb-b64c-baf3b40ae92f"/>
    <s v="***"/>
    <d v="2026-05-17T17:53:18"/>
    <n v="570"/>
    <x v="1"/>
    <d v="2026-05-17T10:53:18"/>
    <x v="104"/>
    <s v="Sunday"/>
    <n v="10"/>
  </r>
  <r>
    <s v="cf5803fa-f50b-479d-a38f-310661b15e8c"/>
    <s v="***"/>
    <d v="2026-05-17T21:06:16"/>
    <n v="570"/>
    <x v="10"/>
    <d v="2026-05-17T14:06:16"/>
    <x v="104"/>
    <s v="Sunday"/>
    <n v="14"/>
  </r>
  <r>
    <s v="8fe4885e-af5e-4e14-85dc-e920be2f4061"/>
    <s v="***"/>
    <d v="2026-05-18T03:36:16"/>
    <n v="3"/>
    <x v="1"/>
    <d v="2026-05-17T20:36:16"/>
    <x v="104"/>
    <s v="Sunday"/>
    <n v="20"/>
  </r>
  <r>
    <s v="b9cc4dd5-6df9-451d-80ec-997796355531"/>
    <s v="***"/>
    <d v="2026-05-18T03:37:05"/>
    <n v="3"/>
    <x v="45"/>
    <d v="2026-05-17T20:37:05"/>
    <x v="104"/>
    <s v="Sunday"/>
    <n v="20"/>
  </r>
  <r>
    <s v="3dca0935-8076-4f02-9279-1ff945fd7372"/>
    <s v="***"/>
    <d v="2026-05-18T08:07:57"/>
    <n v="3"/>
    <x v="1"/>
    <d v="2026-05-18T01:07:57"/>
    <x v="105"/>
    <s v="Monday"/>
    <n v="1"/>
  </r>
  <r>
    <s v="fc376f8f-bfbc-431e-b7c1-1180fdd8c8c8"/>
    <s v="***"/>
    <d v="2026-05-18T09:05:51"/>
    <n v="3"/>
    <x v="1"/>
    <d v="2026-05-18T02:05:51"/>
    <x v="105"/>
    <s v="Monday"/>
    <n v="2"/>
  </r>
  <r>
    <s v="09343d92-3a5d-40d7-9f19-ac162c58235c"/>
    <s v="***"/>
    <d v="2026-05-18T09:06:16"/>
    <n v="3"/>
    <x v="2"/>
    <d v="2026-05-18T02:06:16"/>
    <x v="105"/>
    <s v="Monday"/>
    <n v="2"/>
  </r>
  <r>
    <s v="9e876c16-6524-4a82-ba36-3addeb08cd31"/>
    <s v="***"/>
    <d v="2026-05-18T09:12:20"/>
    <n v="3"/>
    <x v="1"/>
    <d v="2026-05-18T02:12:20"/>
    <x v="105"/>
    <s v="Monday"/>
    <n v="2"/>
  </r>
  <r>
    <s v="0fb8a458-ad35-4bed-b787-0d7fa7693e11"/>
    <s v="***"/>
    <d v="2026-05-18T11:02:33"/>
    <n v="493"/>
    <x v="1"/>
    <d v="2026-05-18T04:02:33"/>
    <x v="105"/>
    <s v="Monday"/>
    <n v="4"/>
  </r>
  <r>
    <s v="d744c955-9b96-41eb-8842-dc7446256ca6"/>
    <s v="***"/>
    <d v="2026-05-18T13:39:46"/>
    <n v="3"/>
    <x v="1"/>
    <d v="2026-05-18T06:39:46"/>
    <x v="105"/>
    <s v="Monday"/>
    <n v="6"/>
  </r>
  <r>
    <s v="5adaaf0d-ba37-4af2-930d-acd029b8a2cb"/>
    <s v="***"/>
    <d v="2026-05-18T14:04:37"/>
    <n v="1"/>
    <x v="111"/>
    <d v="2026-05-18T07:04:37"/>
    <x v="105"/>
    <s v="Monday"/>
    <n v="7"/>
  </r>
  <r>
    <s v="754706dd-87aa-4ec7-9ccd-81a86c486866"/>
    <s v="***"/>
    <d v="2026-05-18T14:39:57"/>
    <n v="570"/>
    <x v="1"/>
    <d v="2026-05-18T07:39:57"/>
    <x v="105"/>
    <s v="Monday"/>
    <n v="7"/>
  </r>
  <r>
    <s v="ac754e3b-26e7-406f-8b47-3b859431cd77"/>
    <s v="***"/>
    <d v="2026-05-18T17:08:14"/>
    <n v="527"/>
    <x v="1"/>
    <d v="2026-05-18T10:08:14"/>
    <x v="105"/>
    <s v="Monday"/>
    <n v="10"/>
  </r>
  <r>
    <s v="c79dd00d-c90b-434e-9298-afc8197c59f4"/>
    <s v="***"/>
    <d v="2026-05-18T17:11:58"/>
    <n v="3"/>
    <x v="44"/>
    <d v="2026-05-18T10:11:58"/>
    <x v="105"/>
    <s v="Monday"/>
    <n v="10"/>
  </r>
  <r>
    <s v="06022c38-6f6f-4aeb-a54e-208942321b87"/>
    <s v="***"/>
    <d v="2026-05-18T17:23:40"/>
    <n v="3"/>
    <x v="1"/>
    <d v="2026-05-18T10:23:40"/>
    <x v="105"/>
    <s v="Monday"/>
    <n v="10"/>
  </r>
  <r>
    <s v="bc720d86-9f3e-46d8-847b-fb06c7173185"/>
    <s v="***"/>
    <d v="2026-05-18T18:00:50"/>
    <n v="1"/>
    <x v="1"/>
    <d v="2026-05-18T11:00:50"/>
    <x v="105"/>
    <s v="Monday"/>
    <n v="11"/>
  </r>
  <r>
    <s v="ebe88556-1a1b-4eb1-afb5-cb452b20df6c"/>
    <s v="***"/>
    <d v="2026-05-18T21:42:40"/>
    <n v="3"/>
    <x v="152"/>
    <d v="2026-05-18T14:42:40"/>
    <x v="105"/>
    <s v="Monday"/>
    <n v="14"/>
  </r>
  <r>
    <s v="06adc5c5-0495-42fa-9825-731856d9e95e"/>
    <s v="***"/>
    <d v="2026-05-18T22:00:31"/>
    <n v="527"/>
    <x v="1"/>
    <d v="2026-05-18T15:00:31"/>
    <x v="105"/>
    <s v="Monday"/>
    <n v="15"/>
  </r>
  <r>
    <s v="a253f780-dd08-4f8a-b020-12e4ecb662fc"/>
    <s v="***"/>
    <d v="2026-05-18T22:01:22"/>
    <n v="3"/>
    <x v="1"/>
    <d v="2026-05-18T15:01:22"/>
    <x v="105"/>
    <s v="Monday"/>
    <n v="15"/>
  </r>
  <r>
    <s v="8ed251a9-c983-4923-b85e-266cc8e480f7"/>
    <s v="***"/>
    <d v="2026-05-18T22:06:46"/>
    <n v="3"/>
    <x v="152"/>
    <d v="2026-05-18T15:06:46"/>
    <x v="105"/>
    <s v="Monday"/>
    <n v="15"/>
  </r>
  <r>
    <s v="718a527c-b76b-4e3d-8eba-b2495661c313"/>
    <s v="***"/>
    <d v="2026-05-18T22:24:26"/>
    <n v="3"/>
    <x v="17"/>
    <d v="2026-05-18T15:24:26"/>
    <x v="105"/>
    <s v="Monday"/>
    <n v="15"/>
  </r>
  <r>
    <s v="378cc9e6-fac5-4d2f-a70e-b800dc709b72"/>
    <s v="***"/>
    <d v="2026-05-18T23:03:51"/>
    <n v="570"/>
    <x v="152"/>
    <d v="2026-05-18T16:03:51"/>
    <x v="105"/>
    <s v="Monday"/>
    <n v="16"/>
  </r>
  <r>
    <s v="0b11963a-db53-4800-94b2-81078735de42"/>
    <s v="***"/>
    <d v="2026-05-18T23:37:59"/>
    <n v="527"/>
    <x v="17"/>
    <d v="2026-05-18T16:37:59"/>
    <x v="105"/>
    <s v="Monday"/>
    <n v="16"/>
  </r>
  <r>
    <s v="2201b1ae-a6ae-4503-b15f-b97ee03f607b"/>
    <s v="***"/>
    <d v="2026-05-19T01:31:12"/>
    <n v="3"/>
    <x v="1"/>
    <d v="2026-05-18T18:31:12"/>
    <x v="105"/>
    <s v="Monday"/>
    <n v="18"/>
  </r>
  <r>
    <s v="e3f2a639-3780-4cf5-b4ea-348e870b0b8c"/>
    <s v="***"/>
    <d v="2026-05-19T03:06:48"/>
    <n v="3"/>
    <x v="1"/>
    <d v="2026-05-18T20:06:48"/>
    <x v="105"/>
    <s v="Monday"/>
    <n v="20"/>
  </r>
  <r>
    <s v="46ea695e-ba4c-4922-974d-5d340ad03336"/>
    <s v="***"/>
    <d v="2026-05-19T07:30:08"/>
    <n v="3"/>
    <x v="1"/>
    <d v="2026-05-19T00:30:08"/>
    <x v="106"/>
    <s v="Tuesday"/>
    <n v="0"/>
  </r>
  <r>
    <s v="b2fd6069-15ca-4722-9442-591a7ffd1c1b"/>
    <s v="***"/>
    <d v="2026-05-19T08:44:43"/>
    <n v="527"/>
    <x v="1"/>
    <d v="2026-05-19T01:44:43"/>
    <x v="106"/>
    <s v="Tuesday"/>
    <n v="1"/>
  </r>
  <r>
    <s v="0bc30fba-a9ef-4c35-b4cd-83119297def1"/>
    <s v="***"/>
    <d v="2026-05-19T10:49:11"/>
    <n v="570"/>
    <x v="1"/>
    <d v="2026-05-19T03:49:11"/>
    <x v="106"/>
    <s v="Tuesday"/>
    <n v="3"/>
  </r>
  <r>
    <s v="2538de59-7994-4cab-b9bf-511eec13abe8"/>
    <s v="***"/>
    <d v="2026-05-19T14:03:32"/>
    <n v="570"/>
    <x v="192"/>
    <d v="2026-05-19T07:03:32"/>
    <x v="106"/>
    <s v="Tuesday"/>
    <n v="7"/>
  </r>
  <r>
    <s v="7817d266-57c1-4b01-8852-62bc5b2567a5"/>
    <s v="***"/>
    <d v="2026-05-19T15:05:35"/>
    <n v="3"/>
    <x v="71"/>
    <d v="2026-05-19T08:05:35"/>
    <x v="106"/>
    <s v="Tuesday"/>
    <n v="8"/>
  </r>
  <r>
    <s v="60f4b66a-72e0-43cd-adb9-3bc3f3fb1418"/>
    <s v="***"/>
    <d v="2026-05-19T15:38:30"/>
    <n v="527"/>
    <x v="1"/>
    <d v="2026-05-19T08:38:30"/>
    <x v="106"/>
    <s v="Tuesday"/>
    <n v="8"/>
  </r>
  <r>
    <s v="77f603a1-75fd-4f4f-af0d-9061928a59e0"/>
    <s v="***"/>
    <d v="2026-05-19T16:03:48"/>
    <n v="527"/>
    <x v="5"/>
    <d v="2026-05-19T09:03:48"/>
    <x v="106"/>
    <s v="Tuesday"/>
    <n v="9"/>
  </r>
  <r>
    <s v="feb1368c-d154-4b5c-a9e8-f62e11440454"/>
    <s v="***"/>
    <d v="2026-05-19T19:48:42"/>
    <n v="570"/>
    <x v="192"/>
    <d v="2026-05-19T12:48:42"/>
    <x v="106"/>
    <s v="Tuesday"/>
    <n v="12"/>
  </r>
  <r>
    <s v="7047cb9a-33d3-458d-9aea-4fcd2baff485"/>
    <s v="***"/>
    <d v="2026-05-19T22:50:42"/>
    <n v="3"/>
    <x v="1"/>
    <d v="2026-05-19T15:50:42"/>
    <x v="106"/>
    <s v="Tuesday"/>
    <n v="15"/>
  </r>
  <r>
    <s v="006e28c2-f5e5-45b4-a224-b2edc99f789f"/>
    <s v="***"/>
    <d v="2026-05-20T06:01:35"/>
    <n v="527"/>
    <x v="1"/>
    <d v="2026-05-19T23:01:35"/>
    <x v="106"/>
    <s v="Tuesday"/>
    <n v="23"/>
  </r>
  <r>
    <s v="92bed27e-d2f3-4d16-b4f9-3809389c4a9c"/>
    <s v="***"/>
    <d v="2026-05-21T01:47:01"/>
    <n v="570"/>
    <x v="1"/>
    <d v="2026-05-20T18:47:01"/>
    <x v="107"/>
    <s v="Wednesday"/>
    <n v="18"/>
  </r>
  <r>
    <s v="cf91bd05-fee8-4f30-9d8a-72323493c92a"/>
    <s v="***"/>
    <d v="2026-05-21T06:09:39"/>
    <n v="527"/>
    <x v="71"/>
    <d v="2026-05-20T23:09:39"/>
    <x v="107"/>
    <s v="Wednesday"/>
    <n v="23"/>
  </r>
  <r>
    <s v="0e2b18c8-93f4-4769-907c-3d1061b0aac0"/>
    <s v="***"/>
    <d v="2026-05-21T07:20:33"/>
    <n v="527"/>
    <x v="5"/>
    <d v="2026-05-21T00:20:33"/>
    <x v="108"/>
    <s v="Thursday"/>
    <n v="0"/>
  </r>
  <r>
    <s v="4725fd0f-e25e-43df-bf1b-de3be9a100a5"/>
    <s v="***"/>
    <d v="2026-05-21T09:10:32"/>
    <n v="570"/>
    <x v="71"/>
    <d v="2026-05-21T02:10:32"/>
    <x v="108"/>
    <s v="Thursday"/>
    <n v="2"/>
  </r>
  <r>
    <s v="997b492a-4be0-4ec1-90b1-1eda0651ae23"/>
    <s v="***"/>
    <d v="2026-05-21T09:20:58"/>
    <n v="527"/>
    <x v="5"/>
    <d v="2026-05-21T02:20:58"/>
    <x v="108"/>
    <s v="Thursday"/>
    <n v="2"/>
  </r>
  <r>
    <s v="0a8f3726-e199-4a09-921f-21eefbb0c577"/>
    <s v="***"/>
    <d v="2026-05-21T09:34:09"/>
    <n v="527"/>
    <x v="71"/>
    <d v="2026-05-21T02:34:09"/>
    <x v="108"/>
    <s v="Thursday"/>
    <n v="2"/>
  </r>
  <r>
    <s v="dc0531ca-fd7e-41da-9d5c-d4819aec1ef3"/>
    <s v="***"/>
    <d v="2026-05-21T10:38:20"/>
    <n v="527"/>
    <x v="193"/>
    <d v="2026-05-21T03:38:20"/>
    <x v="108"/>
    <s v="Thursday"/>
    <n v="3"/>
  </r>
  <r>
    <s v="debccfb3-c47c-43c7-b86f-d5a4d664d7b0"/>
    <s v="***"/>
    <d v="2026-05-21T11:12:17"/>
    <n v="527"/>
    <x v="5"/>
    <d v="2026-05-21T04:12:17"/>
    <x v="108"/>
    <s v="Thursday"/>
    <n v="4"/>
  </r>
  <r>
    <s v="e477bdb4-c219-4344-b800-6d34ec9d3e69"/>
    <s v="***"/>
    <d v="2026-05-21T11:42:30"/>
    <n v="570"/>
    <x v="1"/>
    <d v="2026-05-21T04:42:30"/>
    <x v="108"/>
    <s v="Thursday"/>
    <n v="4"/>
  </r>
  <r>
    <s v="bf9cd93f-ab61-46e0-9d80-82c9b5e65aee"/>
    <s v="***"/>
    <d v="2026-05-21T12:08:59"/>
    <n v="527"/>
    <x v="5"/>
    <d v="2026-05-21T05:08:59"/>
    <x v="108"/>
    <s v="Thursday"/>
    <n v="5"/>
  </r>
  <r>
    <s v="a8654b2e-07e3-4da5-a3a4-8552b7269ea3"/>
    <s v="***"/>
    <d v="2026-05-21T14:00:26"/>
    <n v="527"/>
    <x v="5"/>
    <d v="2026-05-21T07:00:26"/>
    <x v="108"/>
    <s v="Thursday"/>
    <n v="7"/>
  </r>
  <r>
    <s v="6d1ceeef-1744-4c23-a868-cf05bc91faf3"/>
    <s v="***"/>
    <d v="2026-05-21T14:10:29"/>
    <n v="527"/>
    <x v="5"/>
    <d v="2026-05-21T07:10:29"/>
    <x v="108"/>
    <s v="Thursday"/>
    <n v="7"/>
  </r>
  <r>
    <s v="0a433e65-2e5b-41b4-baa5-70660fc66db5"/>
    <s v="***"/>
    <d v="2026-05-21T14:41:02"/>
    <n v="570"/>
    <x v="1"/>
    <d v="2026-05-21T07:41:02"/>
    <x v="108"/>
    <s v="Thursday"/>
    <n v="7"/>
  </r>
  <r>
    <s v="057f5d06-f3a8-492c-aed7-6329ee558d98"/>
    <s v="***"/>
    <d v="2026-05-21T15:12:20"/>
    <n v="527"/>
    <x v="5"/>
    <d v="2026-05-21T08:12:20"/>
    <x v="108"/>
    <s v="Thursday"/>
    <n v="8"/>
  </r>
  <r>
    <m/>
    <m/>
    <m/>
    <m/>
    <x v="1"/>
    <m/>
    <x v="109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1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outline="1" outlineData="1" multipleFieldFilters="0" chartFormat="7">
  <location ref="A3:B197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95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t="default"/>
      </items>
    </pivotField>
    <pivotField showAll="0"/>
    <pivotField showAll="0">
      <items count="11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showAll="0"/>
    <pivotField showAll="0"/>
  </pivotFields>
  <rowFields count="1">
    <field x="4"/>
  </rowFields>
  <rowItems count="1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</rowItems>
  <colItems count="1">
    <i/>
  </colItems>
  <dataFields count="1">
    <dataField name="Count of Search ID" fld="0" subtotal="count" baseField="0" baseItem="0"/>
  </dataFields>
  <chartFormats count="50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4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4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4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4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4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4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4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4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4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4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4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4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4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4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4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4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4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4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4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4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4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4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4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4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4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  <chartFormat chart="4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63"/>
          </reference>
        </references>
      </pivotArea>
    </chartFormat>
    <chartFormat chart="4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4"/>
          </reference>
        </references>
      </pivotArea>
    </chartFormat>
    <chartFormat chart="4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65"/>
          </reference>
        </references>
      </pivotArea>
    </chartFormat>
    <chartFormat chart="4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6"/>
          </reference>
        </references>
      </pivotArea>
    </chartFormat>
    <chartFormat chart="4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67"/>
          </reference>
        </references>
      </pivotArea>
    </chartFormat>
    <chartFormat chart="4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8"/>
          </reference>
        </references>
      </pivotArea>
    </chartFormat>
    <chartFormat chart="4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9"/>
          </reference>
        </references>
      </pivotArea>
    </chartFormat>
    <chartFormat chart="4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70"/>
          </reference>
        </references>
      </pivotArea>
    </chartFormat>
    <chartFormat chart="6" format="36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6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3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36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6" format="366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367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6" format="368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6" format="3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6" format="3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6" format="371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6" format="372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6" format="3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6" format="3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6" format="3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6" format="3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6" format="3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6" format="3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6" format="3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6" format="3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6" format="3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6" format="3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6" format="383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6" format="384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6" format="385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6" format="386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6" format="387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6" format="388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6" format="389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6" format="390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6" format="391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6" format="392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6" format="393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6" format="394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6" format="395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6" format="396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6" format="397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6" format="3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6" format="399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6" format="400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6" format="401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6" format="402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6" format="403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6" format="404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6" format="405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6" format="406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6" format="407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6" format="408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6" format="409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6" format="410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6" format="411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6" format="412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6" format="413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6" format="414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6" format="415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6" format="416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6" format="417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6" format="418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6" format="419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6" format="420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6" format="421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6" format="422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6" format="423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6" format="424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6" format="425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6" format="426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6" format="427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6" format="428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6" format="429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6" format="430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6" format="431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6" format="432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6" format="433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6" format="434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6" format="435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6" format="436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6" format="437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6" format="438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6" format="439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6" format="440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6" format="441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6" format="442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6" format="443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6" format="444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6" format="445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6" format="446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6" format="447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6" format="448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6" format="449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6" format="450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6" format="451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6" format="452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6" format="453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6" format="454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6" format="455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6" format="456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6" format="457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6" format="458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6" format="459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6" format="460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6" format="461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6" format="462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6" format="4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6" format="4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6" format="4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6" format="4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6" format="4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6" format="4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6" format="4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6" format="4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6" format="4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6" format="47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6" format="4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6" format="4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6" format="4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6" format="4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6" format="4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6" format="4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6" format="4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6" format="4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6" format="4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6" format="4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6" format="48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6" format="48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6" format="48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6" format="48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6" format="48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6" format="48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6" format="48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6" format="49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6" format="49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6" format="49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6" format="49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6" format="49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6" format="4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6" format="4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6" format="4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6" format="4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6" format="4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6" format="5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6" format="5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6" format="5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6" format="5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6" format="5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6" format="5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6" format="5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6" format="5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6" format="5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6" format="5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6" format="5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6" format="5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6" format="5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6" format="5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6" format="5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6" format="5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6" format="5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6" format="5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6" format="5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6" format="5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6" format="5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6" format="5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6" format="5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6" format="5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6" format="5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6" format="5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  <chartFormat chart="6" format="5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63"/>
          </reference>
        </references>
      </pivotArea>
    </chartFormat>
    <chartFormat chart="6" format="5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4"/>
          </reference>
        </references>
      </pivotArea>
    </chartFormat>
    <chartFormat chart="6" format="5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65"/>
          </reference>
        </references>
      </pivotArea>
    </chartFormat>
    <chartFormat chart="6" format="5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6"/>
          </reference>
        </references>
      </pivotArea>
    </chartFormat>
    <chartFormat chart="6" format="5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7"/>
          </reference>
        </references>
      </pivotArea>
    </chartFormat>
    <chartFormat chart="6" format="5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8"/>
          </reference>
        </references>
      </pivotArea>
    </chartFormat>
    <chartFormat chart="6" format="5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9"/>
          </reference>
        </references>
      </pivotArea>
    </chartFormat>
    <chartFormat chart="6" format="5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70"/>
          </reference>
        </references>
      </pivotArea>
    </chartFormat>
    <chartFormat chart="6" format="5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71"/>
          </reference>
        </references>
      </pivotArea>
    </chartFormat>
    <chartFormat chart="6" format="5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72"/>
          </reference>
        </references>
      </pivotArea>
    </chartFormat>
    <chartFormat chart="6" format="5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73"/>
          </reference>
        </references>
      </pivotArea>
    </chartFormat>
    <chartFormat chart="6" format="5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74"/>
          </reference>
        </references>
      </pivotArea>
    </chartFormat>
    <chartFormat chart="6" format="5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5"/>
          </reference>
        </references>
      </pivotArea>
    </chartFormat>
    <chartFormat chart="6" format="5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76"/>
          </reference>
        </references>
      </pivotArea>
    </chartFormat>
    <chartFormat chart="6" format="5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7"/>
          </reference>
        </references>
      </pivotArea>
    </chartFormat>
    <chartFormat chart="6" format="5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78"/>
          </reference>
        </references>
      </pivotArea>
    </chartFormat>
    <chartFormat chart="6" format="5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9"/>
          </reference>
        </references>
      </pivotArea>
    </chartFormat>
    <chartFormat chart="6" format="5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0"/>
          </reference>
        </references>
      </pivotArea>
    </chartFormat>
    <chartFormat chart="6" format="5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81"/>
          </reference>
        </references>
      </pivotArea>
    </chartFormat>
    <chartFormat chart="6" format="545">
      <pivotArea type="data" outline="0" fieldPosition="0">
        <references count="2">
          <reference field="4294967294" count="1" selected="0">
            <x v="0"/>
          </reference>
          <reference field="4" count="1" selected="0">
            <x v="182"/>
          </reference>
        </references>
      </pivotArea>
    </chartFormat>
    <chartFormat chart="6" format="5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83"/>
          </reference>
        </references>
      </pivotArea>
    </chartFormat>
    <chartFormat chart="6" format="547">
      <pivotArea type="data" outline="0" fieldPosition="0">
        <references count="2">
          <reference field="4294967294" count="1" selected="0">
            <x v="0"/>
          </reference>
          <reference field="4" count="1" selected="0">
            <x v="184"/>
          </reference>
        </references>
      </pivotArea>
    </chartFormat>
    <chartFormat chart="6" format="5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85"/>
          </reference>
        </references>
      </pivotArea>
    </chartFormat>
    <chartFormat chart="6" format="5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6"/>
          </reference>
        </references>
      </pivotArea>
    </chartFormat>
    <chartFormat chart="6" format="5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87"/>
          </reference>
        </references>
      </pivotArea>
    </chartFormat>
    <chartFormat chart="6" format="5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8"/>
          </reference>
        </references>
      </pivotArea>
    </chartFormat>
    <chartFormat chart="4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1"/>
          </reference>
        </references>
      </pivotArea>
    </chartFormat>
    <chartFormat chart="4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72"/>
          </reference>
        </references>
      </pivotArea>
    </chartFormat>
    <chartFormat chart="4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73"/>
          </reference>
        </references>
      </pivotArea>
    </chartFormat>
    <chartFormat chart="4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74"/>
          </reference>
        </references>
      </pivotArea>
    </chartFormat>
    <chartFormat chart="4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75"/>
          </reference>
        </references>
      </pivotArea>
    </chartFormat>
    <chartFormat chart="4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76"/>
          </reference>
        </references>
      </pivotArea>
    </chartFormat>
    <chartFormat chart="4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7"/>
          </reference>
        </references>
      </pivotArea>
    </chartFormat>
    <chartFormat chart="4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78"/>
          </reference>
        </references>
      </pivotArea>
    </chartFormat>
    <chartFormat chart="4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9"/>
          </reference>
        </references>
      </pivotArea>
    </chartFormat>
    <chartFormat chart="4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0"/>
          </reference>
        </references>
      </pivotArea>
    </chartFormat>
    <chartFormat chart="4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81"/>
          </reference>
        </references>
      </pivotArea>
    </chartFormat>
    <chartFormat chart="4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2"/>
          </reference>
        </references>
      </pivotArea>
    </chartFormat>
    <chartFormat chart="4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183"/>
          </reference>
        </references>
      </pivotArea>
    </chartFormat>
    <chartFormat chart="4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184"/>
          </reference>
        </references>
      </pivotArea>
    </chartFormat>
    <chartFormat chart="4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185"/>
          </reference>
        </references>
      </pivotArea>
    </chartFormat>
    <chartFormat chart="4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186"/>
          </reference>
        </references>
      </pivotArea>
    </chartFormat>
    <chartFormat chart="4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187"/>
          </reference>
        </references>
      </pivotArea>
    </chartFormat>
    <chartFormat chart="4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56" name="Date (Pacific)">
      <autoFilter ref="A1">
        <filterColumn colId="0">
          <customFilters and="1">
            <customFilter operator="greaterThanOrEqual" val="46054"/>
            <customFilter operator="lessThanOrEqual" val="4617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979" tableType="queryTable" totalsRowShown="0">
  <autoFilter ref="A1:I1979" xr:uid="{FC796341-236E-9446-B972-E05428A0FA8A}"/>
  <sortState xmlns:xlrd2="http://schemas.microsoft.com/office/spreadsheetml/2017/richdata2" ref="A2:I1979">
    <sortCondition ref="C1:C1979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3" tableType="queryTable" totalsRowShown="0">
  <autoFilter ref="A1:J3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5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64d28426-a6bc-4522-9e81-8b72231385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4A40-01A1-DF41-B909-2890BC68CB84}">
  <dimension ref="A1:V47"/>
  <sheetViews>
    <sheetView workbookViewId="0">
      <selection activeCell="Q61" sqref="Q61"/>
    </sheetView>
  </sheetViews>
  <sheetFormatPr baseColWidth="10" defaultRowHeight="15" x14ac:dyDescent="0.2"/>
  <cols>
    <col min="1" max="1" width="25.6640625" bestFit="1" customWidth="1"/>
  </cols>
  <sheetData>
    <row r="1" spans="1:22" ht="24" x14ac:dyDescent="0.3">
      <c r="A1" s="17" t="s">
        <v>2032</v>
      </c>
      <c r="B1" s="17"/>
      <c r="C1" s="17"/>
      <c r="D1" s="17"/>
      <c r="E1" s="17"/>
      <c r="F1" s="17"/>
      <c r="G1" s="17"/>
      <c r="H1" s="17"/>
      <c r="K1" s="17" t="s">
        <v>2169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</row>
    <row r="3" spans="1:22" ht="19" x14ac:dyDescent="0.25">
      <c r="A3" s="12" t="s">
        <v>688</v>
      </c>
      <c r="B3" s="12">
        <f>COUNTA('Search Audit'!A:A)-1</f>
        <v>1978</v>
      </c>
    </row>
    <row r="4" spans="1:22" ht="19" x14ac:dyDescent="0.25">
      <c r="A4" s="12"/>
      <c r="B4" s="12"/>
    </row>
    <row r="5" spans="1:22" ht="19" x14ac:dyDescent="0.25">
      <c r="A5" s="12" t="s">
        <v>2033</v>
      </c>
      <c r="B5" s="12">
        <f>COUNTIF('Search Audit'!E:E,"&lt;&gt;")-1</f>
        <v>851</v>
      </c>
    </row>
    <row r="6" spans="1:22" ht="19" x14ac:dyDescent="0.25">
      <c r="A6" s="12"/>
      <c r="B6" s="12"/>
    </row>
    <row r="7" spans="1:22" ht="19" x14ac:dyDescent="0.25">
      <c r="A7" s="12" t="s">
        <v>2034</v>
      </c>
      <c r="B7" s="12">
        <f>B3-B5</f>
        <v>1127</v>
      </c>
    </row>
    <row r="8" spans="1:22" ht="19" x14ac:dyDescent="0.25">
      <c r="A8" s="12"/>
      <c r="B8" s="12"/>
    </row>
    <row r="9" spans="1:22" ht="19" x14ac:dyDescent="0.25">
      <c r="A9" s="12" t="s">
        <v>1188</v>
      </c>
      <c r="B9" s="16">
        <f>B7/B3</f>
        <v>0.56976744186046513</v>
      </c>
    </row>
    <row r="10" spans="1:22" ht="19" x14ac:dyDescent="0.25">
      <c r="A10" s="12"/>
      <c r="B10" s="12"/>
    </row>
    <row r="11" spans="1:22" ht="19" x14ac:dyDescent="0.25">
      <c r="A11" s="12" t="s">
        <v>2170</v>
      </c>
      <c r="B11" s="12" cm="1">
        <f t="array" ref="B11">SUMPRODUCT(('Search Audit'!I2:I1770&lt;=5)+('Search Audit'!I2:I1770&gt;=22))</f>
        <v>723</v>
      </c>
    </row>
    <row r="12" spans="1:22" ht="19" x14ac:dyDescent="0.25">
      <c r="A12" s="12"/>
      <c r="B12" s="12"/>
    </row>
    <row r="13" spans="1:22" ht="19" x14ac:dyDescent="0.25">
      <c r="A13" s="12" t="s">
        <v>2171</v>
      </c>
      <c r="B13" s="16">
        <f>B11/B3</f>
        <v>0.36552072800808899</v>
      </c>
    </row>
    <row r="14" spans="1:22" ht="19" x14ac:dyDescent="0.25">
      <c r="A14" s="12"/>
      <c r="B14" s="12"/>
    </row>
    <row r="15" spans="1:22" ht="19" x14ac:dyDescent="0.25">
      <c r="A15" s="12" t="s">
        <v>2172</v>
      </c>
      <c r="B15" s="16" cm="1">
        <f t="array" ref="B15">SUMPRODUCT((('Search Audit'!I2:I1770&lt;=5)+('Search Audit'!I2:I1770&gt;=22))*('Search Audit'!E2:E1770=""))/B7</f>
        <v>0.38686779059449866</v>
      </c>
    </row>
    <row r="16" spans="1:22" ht="19" x14ac:dyDescent="0.25">
      <c r="A16" s="12"/>
      <c r="B16" s="12"/>
    </row>
    <row r="17" spans="1:8" ht="19" x14ac:dyDescent="0.25">
      <c r="A17" s="12" t="s">
        <v>1429</v>
      </c>
      <c r="B17" s="12">
        <f>flock_run_log!M2</f>
        <v>0</v>
      </c>
    </row>
    <row r="19" spans="1:8" ht="24" x14ac:dyDescent="0.3">
      <c r="A19" s="17" t="s">
        <v>2168</v>
      </c>
      <c r="B19" s="17"/>
      <c r="C19" s="17"/>
      <c r="D19" s="17"/>
      <c r="E19" s="17"/>
      <c r="F19" s="17"/>
      <c r="G19" s="17"/>
      <c r="H19" s="17"/>
    </row>
    <row r="45" spans="1:8" ht="24" x14ac:dyDescent="0.3">
      <c r="A45" s="17" t="s">
        <v>2173</v>
      </c>
      <c r="B45" s="17"/>
      <c r="C45" s="17"/>
      <c r="D45" s="17"/>
      <c r="E45" s="17"/>
      <c r="F45" s="17"/>
      <c r="G45" s="17"/>
      <c r="H45" s="17"/>
    </row>
    <row r="47" spans="1:8" x14ac:dyDescent="0.2">
      <c r="A47" s="8"/>
      <c r="B47" s="8"/>
      <c r="C47" s="8"/>
      <c r="D47" s="8"/>
      <c r="E47" s="8"/>
      <c r="F47" s="8"/>
      <c r="G47" s="8"/>
      <c r="H47" s="8"/>
    </row>
  </sheetData>
  <mergeCells count="4">
    <mergeCell ref="A1:H1"/>
    <mergeCell ref="A19:H19"/>
    <mergeCell ref="K1:V1"/>
    <mergeCell ref="A45:H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97"/>
  <sheetViews>
    <sheetView topLeftCell="A41" workbookViewId="0">
      <selection activeCell="C18" sqref="C18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8">
        <v>1</v>
      </c>
    </row>
    <row r="5" spans="1:2" x14ac:dyDescent="0.2">
      <c r="A5" s="5">
        <v>207</v>
      </c>
      <c r="B5" s="18">
        <v>6</v>
      </c>
    </row>
    <row r="6" spans="1:2" x14ac:dyDescent="0.2">
      <c r="A6" s="5">
        <v>242</v>
      </c>
      <c r="B6" s="18">
        <v>1</v>
      </c>
    </row>
    <row r="7" spans="1:2" x14ac:dyDescent="0.2">
      <c r="A7" s="5">
        <v>288</v>
      </c>
      <c r="B7" s="18">
        <v>3</v>
      </c>
    </row>
    <row r="8" spans="1:2" x14ac:dyDescent="0.2">
      <c r="A8" s="5">
        <v>836</v>
      </c>
      <c r="B8" s="18">
        <v>1</v>
      </c>
    </row>
    <row r="9" spans="1:2" x14ac:dyDescent="0.2">
      <c r="A9" s="5">
        <v>1036</v>
      </c>
      <c r="B9" s="18">
        <v>3</v>
      </c>
    </row>
    <row r="10" spans="1:2" x14ac:dyDescent="0.2">
      <c r="A10" s="5">
        <v>2800.2</v>
      </c>
      <c r="B10" s="18">
        <v>1</v>
      </c>
    </row>
    <row r="11" spans="1:2" x14ac:dyDescent="0.2">
      <c r="A11" s="5">
        <v>5150</v>
      </c>
      <c r="B11" s="18">
        <v>1</v>
      </c>
    </row>
    <row r="12" spans="1:2" x14ac:dyDescent="0.2">
      <c r="A12" s="5">
        <v>10851</v>
      </c>
      <c r="B12" s="18">
        <v>18</v>
      </c>
    </row>
    <row r="13" spans="1:2" x14ac:dyDescent="0.2">
      <c r="A13" s="5">
        <v>49949</v>
      </c>
      <c r="B13" s="18">
        <v>2</v>
      </c>
    </row>
    <row r="14" spans="1:2" x14ac:dyDescent="0.2">
      <c r="A14" s="5" t="s">
        <v>804</v>
      </c>
      <c r="B14" s="18">
        <v>2</v>
      </c>
    </row>
    <row r="15" spans="1:2" x14ac:dyDescent="0.2">
      <c r="A15" s="5" t="s">
        <v>397</v>
      </c>
      <c r="B15" s="18">
        <v>1</v>
      </c>
    </row>
    <row r="16" spans="1:2" x14ac:dyDescent="0.2">
      <c r="A16" s="5" t="s">
        <v>697</v>
      </c>
      <c r="B16" s="18">
        <v>3</v>
      </c>
    </row>
    <row r="17" spans="1:2" x14ac:dyDescent="0.2">
      <c r="A17" s="5" t="s">
        <v>121</v>
      </c>
      <c r="B17" s="18">
        <v>1</v>
      </c>
    </row>
    <row r="18" spans="1:2" x14ac:dyDescent="0.2">
      <c r="A18" s="5" t="s">
        <v>190</v>
      </c>
      <c r="B18" s="18">
        <v>8</v>
      </c>
    </row>
    <row r="19" spans="1:2" x14ac:dyDescent="0.2">
      <c r="A19" s="5" t="s">
        <v>651</v>
      </c>
      <c r="B19" s="18">
        <v>1</v>
      </c>
    </row>
    <row r="20" spans="1:2" x14ac:dyDescent="0.2">
      <c r="A20" s="5" t="s">
        <v>613</v>
      </c>
      <c r="B20" s="18">
        <v>4</v>
      </c>
    </row>
    <row r="21" spans="1:2" x14ac:dyDescent="0.2">
      <c r="A21" s="5" t="s">
        <v>104</v>
      </c>
      <c r="B21" s="18">
        <v>1</v>
      </c>
    </row>
    <row r="22" spans="1:2" x14ac:dyDescent="0.2">
      <c r="A22" s="5" t="s">
        <v>100</v>
      </c>
      <c r="B22" s="18">
        <v>1</v>
      </c>
    </row>
    <row r="23" spans="1:2" x14ac:dyDescent="0.2">
      <c r="A23" s="5" t="s">
        <v>83</v>
      </c>
      <c r="B23" s="18">
        <v>1</v>
      </c>
    </row>
    <row r="24" spans="1:2" x14ac:dyDescent="0.2">
      <c r="A24" s="5" t="s">
        <v>81</v>
      </c>
      <c r="B24" s="18">
        <v>1</v>
      </c>
    </row>
    <row r="25" spans="1:2" x14ac:dyDescent="0.2">
      <c r="A25" s="5" t="s">
        <v>605</v>
      </c>
      <c r="B25" s="18">
        <v>2</v>
      </c>
    </row>
    <row r="26" spans="1:2" x14ac:dyDescent="0.2">
      <c r="A26" s="5" t="s">
        <v>683</v>
      </c>
      <c r="B26" s="18">
        <v>1</v>
      </c>
    </row>
    <row r="27" spans="1:2" x14ac:dyDescent="0.2">
      <c r="A27" s="5" t="s">
        <v>289</v>
      </c>
      <c r="B27" s="18">
        <v>2</v>
      </c>
    </row>
    <row r="28" spans="1:2" x14ac:dyDescent="0.2">
      <c r="A28" s="5" t="s">
        <v>578</v>
      </c>
      <c r="B28" s="18">
        <v>1</v>
      </c>
    </row>
    <row r="29" spans="1:2" x14ac:dyDescent="0.2">
      <c r="A29" s="5" t="s">
        <v>260</v>
      </c>
      <c r="B29" s="18">
        <v>1</v>
      </c>
    </row>
    <row r="30" spans="1:2" x14ac:dyDescent="0.2">
      <c r="A30" s="5" t="s">
        <v>728</v>
      </c>
      <c r="B30" s="18">
        <v>2</v>
      </c>
    </row>
    <row r="31" spans="1:2" x14ac:dyDescent="0.2">
      <c r="A31" s="5" t="s">
        <v>620</v>
      </c>
      <c r="B31" s="18">
        <v>4</v>
      </c>
    </row>
    <row r="32" spans="1:2" x14ac:dyDescent="0.2">
      <c r="A32" s="5" t="s">
        <v>241</v>
      </c>
      <c r="B32" s="18">
        <v>1</v>
      </c>
    </row>
    <row r="33" spans="1:2" x14ac:dyDescent="0.2">
      <c r="A33" s="5" t="s">
        <v>301</v>
      </c>
      <c r="B33" s="18">
        <v>16</v>
      </c>
    </row>
    <row r="34" spans="1:2" x14ac:dyDescent="0.2">
      <c r="A34" s="5" t="s">
        <v>504</v>
      </c>
      <c r="B34" s="18">
        <v>2</v>
      </c>
    </row>
    <row r="35" spans="1:2" x14ac:dyDescent="0.2">
      <c r="A35" s="5" t="s">
        <v>140</v>
      </c>
      <c r="B35" s="18">
        <v>2</v>
      </c>
    </row>
    <row r="36" spans="1:2" x14ac:dyDescent="0.2">
      <c r="A36" s="5" t="s">
        <v>561</v>
      </c>
      <c r="B36" s="18">
        <v>6</v>
      </c>
    </row>
    <row r="37" spans="1:2" x14ac:dyDescent="0.2">
      <c r="A37" s="5" t="s">
        <v>536</v>
      </c>
      <c r="B37" s="18">
        <v>6</v>
      </c>
    </row>
    <row r="38" spans="1:2" x14ac:dyDescent="0.2">
      <c r="A38" s="5" t="s">
        <v>526</v>
      </c>
      <c r="B38" s="18">
        <v>5</v>
      </c>
    </row>
    <row r="39" spans="1:2" x14ac:dyDescent="0.2">
      <c r="A39" s="5" t="s">
        <v>31</v>
      </c>
      <c r="B39" s="18">
        <v>115</v>
      </c>
    </row>
    <row r="40" spans="1:2" x14ac:dyDescent="0.2">
      <c r="A40" s="5" t="s">
        <v>50</v>
      </c>
      <c r="B40" s="18">
        <v>2</v>
      </c>
    </row>
    <row r="41" spans="1:2" x14ac:dyDescent="0.2">
      <c r="A41" s="5" t="s">
        <v>584</v>
      </c>
      <c r="B41" s="18">
        <v>1</v>
      </c>
    </row>
    <row r="42" spans="1:2" x14ac:dyDescent="0.2">
      <c r="A42" s="5" t="s">
        <v>590</v>
      </c>
      <c r="B42" s="18">
        <v>8</v>
      </c>
    </row>
    <row r="43" spans="1:2" x14ac:dyDescent="0.2">
      <c r="A43" s="5" t="s">
        <v>252</v>
      </c>
      <c r="B43" s="18">
        <v>2</v>
      </c>
    </row>
    <row r="44" spans="1:2" x14ac:dyDescent="0.2">
      <c r="A44" s="5" t="s">
        <v>681</v>
      </c>
      <c r="B44" s="18">
        <v>1</v>
      </c>
    </row>
    <row r="45" spans="1:2" x14ac:dyDescent="0.2">
      <c r="A45" s="5" t="s">
        <v>79</v>
      </c>
      <c r="B45" s="18">
        <v>1</v>
      </c>
    </row>
    <row r="46" spans="1:2" x14ac:dyDescent="0.2">
      <c r="A46" s="5" t="s">
        <v>553</v>
      </c>
      <c r="B46" s="18">
        <v>1</v>
      </c>
    </row>
    <row r="47" spans="1:2" x14ac:dyDescent="0.2">
      <c r="A47" s="5" t="s">
        <v>551</v>
      </c>
      <c r="B47" s="18">
        <v>1</v>
      </c>
    </row>
    <row r="48" spans="1:2" x14ac:dyDescent="0.2">
      <c r="A48" s="5" t="s">
        <v>168</v>
      </c>
      <c r="B48" s="18">
        <v>1</v>
      </c>
    </row>
    <row r="49" spans="1:2" x14ac:dyDescent="0.2">
      <c r="A49" s="5" t="s">
        <v>280</v>
      </c>
      <c r="B49" s="18">
        <v>1</v>
      </c>
    </row>
    <row r="50" spans="1:2" x14ac:dyDescent="0.2">
      <c r="A50" s="5" t="s">
        <v>165</v>
      </c>
      <c r="B50" s="18">
        <v>6</v>
      </c>
    </row>
    <row r="51" spans="1:2" x14ac:dyDescent="0.2">
      <c r="A51" s="5" t="s">
        <v>507</v>
      </c>
      <c r="B51" s="18">
        <v>1</v>
      </c>
    </row>
    <row r="52" spans="1:2" x14ac:dyDescent="0.2">
      <c r="A52" s="5" t="s">
        <v>603</v>
      </c>
      <c r="B52" s="18">
        <v>1</v>
      </c>
    </row>
    <row r="53" spans="1:2" x14ac:dyDescent="0.2">
      <c r="A53" s="5" t="s">
        <v>147</v>
      </c>
      <c r="B53" s="18">
        <v>1</v>
      </c>
    </row>
    <row r="54" spans="1:2" x14ac:dyDescent="0.2">
      <c r="A54" s="5" t="s">
        <v>469</v>
      </c>
      <c r="B54" s="18">
        <v>1</v>
      </c>
    </row>
    <row r="55" spans="1:2" x14ac:dyDescent="0.2">
      <c r="A55" s="5" t="s">
        <v>267</v>
      </c>
      <c r="B55" s="18">
        <v>2</v>
      </c>
    </row>
    <row r="56" spans="1:2" x14ac:dyDescent="0.2">
      <c r="A56" s="5" t="s">
        <v>336</v>
      </c>
      <c r="B56" s="18">
        <v>1</v>
      </c>
    </row>
    <row r="57" spans="1:2" x14ac:dyDescent="0.2">
      <c r="A57" s="5" t="s">
        <v>108</v>
      </c>
      <c r="B57" s="18">
        <v>1</v>
      </c>
    </row>
    <row r="58" spans="1:2" x14ac:dyDescent="0.2">
      <c r="A58" s="5" t="s">
        <v>42</v>
      </c>
      <c r="B58" s="18">
        <v>1</v>
      </c>
    </row>
    <row r="59" spans="1:2" x14ac:dyDescent="0.2">
      <c r="A59" s="5" t="s">
        <v>17</v>
      </c>
      <c r="B59" s="18">
        <v>1</v>
      </c>
    </row>
    <row r="60" spans="1:2" x14ac:dyDescent="0.2">
      <c r="A60" s="5" t="s">
        <v>15</v>
      </c>
      <c r="B60" s="18">
        <v>8</v>
      </c>
    </row>
    <row r="61" spans="1:2" x14ac:dyDescent="0.2">
      <c r="A61" s="5" t="s">
        <v>744</v>
      </c>
      <c r="B61" s="18">
        <v>1</v>
      </c>
    </row>
    <row r="62" spans="1:2" x14ac:dyDescent="0.2">
      <c r="A62" s="5" t="s">
        <v>360</v>
      </c>
      <c r="B62" s="18">
        <v>2</v>
      </c>
    </row>
    <row r="63" spans="1:2" x14ac:dyDescent="0.2">
      <c r="A63" s="5" t="s">
        <v>305</v>
      </c>
      <c r="B63" s="18">
        <v>19</v>
      </c>
    </row>
    <row r="64" spans="1:2" x14ac:dyDescent="0.2">
      <c r="A64" s="5" t="s">
        <v>247</v>
      </c>
      <c r="B64" s="18">
        <v>6</v>
      </c>
    </row>
    <row r="65" spans="1:2" x14ac:dyDescent="0.2">
      <c r="A65" s="5" t="s">
        <v>522</v>
      </c>
      <c r="B65" s="18">
        <v>4</v>
      </c>
    </row>
    <row r="66" spans="1:2" x14ac:dyDescent="0.2">
      <c r="A66" s="5" t="s">
        <v>323</v>
      </c>
      <c r="B66" s="18">
        <v>8</v>
      </c>
    </row>
    <row r="67" spans="1:2" x14ac:dyDescent="0.2">
      <c r="A67" s="5" t="s">
        <v>705</v>
      </c>
      <c r="B67" s="18">
        <v>1</v>
      </c>
    </row>
    <row r="68" spans="1:2" x14ac:dyDescent="0.2">
      <c r="A68" s="5" t="s">
        <v>112</v>
      </c>
      <c r="B68" s="18">
        <v>3</v>
      </c>
    </row>
    <row r="69" spans="1:2" x14ac:dyDescent="0.2">
      <c r="A69" s="5" t="s">
        <v>89</v>
      </c>
      <c r="B69" s="18">
        <v>64</v>
      </c>
    </row>
    <row r="70" spans="1:2" x14ac:dyDescent="0.2">
      <c r="A70" s="5" t="s">
        <v>34</v>
      </c>
      <c r="B70" s="18">
        <v>108</v>
      </c>
    </row>
    <row r="71" spans="1:2" x14ac:dyDescent="0.2">
      <c r="A71" s="5" t="s">
        <v>68</v>
      </c>
      <c r="B71" s="18">
        <v>2</v>
      </c>
    </row>
    <row r="72" spans="1:2" x14ac:dyDescent="0.2">
      <c r="A72" s="5" t="s">
        <v>86</v>
      </c>
      <c r="B72" s="18">
        <v>4</v>
      </c>
    </row>
    <row r="73" spans="1:2" x14ac:dyDescent="0.2">
      <c r="A73" s="5" t="s">
        <v>135</v>
      </c>
      <c r="B73" s="18">
        <v>6</v>
      </c>
    </row>
    <row r="74" spans="1:2" x14ac:dyDescent="0.2">
      <c r="A74" s="5" t="s">
        <v>257</v>
      </c>
      <c r="B74" s="18">
        <v>1</v>
      </c>
    </row>
    <row r="75" spans="1:2" x14ac:dyDescent="0.2">
      <c r="A75" s="5" t="s">
        <v>137</v>
      </c>
      <c r="B75" s="18">
        <v>1</v>
      </c>
    </row>
    <row r="76" spans="1:2" x14ac:dyDescent="0.2">
      <c r="A76" s="5" t="s">
        <v>60</v>
      </c>
      <c r="B76" s="18">
        <v>68</v>
      </c>
    </row>
    <row r="77" spans="1:2" x14ac:dyDescent="0.2">
      <c r="A77" s="5" t="s">
        <v>175</v>
      </c>
      <c r="B77" s="18">
        <v>1</v>
      </c>
    </row>
    <row r="78" spans="1:2" x14ac:dyDescent="0.2">
      <c r="A78" s="5" t="s">
        <v>152</v>
      </c>
      <c r="B78" s="18">
        <v>3</v>
      </c>
    </row>
    <row r="79" spans="1:2" x14ac:dyDescent="0.2">
      <c r="A79" s="5" t="s">
        <v>325</v>
      </c>
      <c r="B79" s="18">
        <v>6</v>
      </c>
    </row>
    <row r="80" spans="1:2" x14ac:dyDescent="0.2">
      <c r="A80" s="5" t="s">
        <v>716</v>
      </c>
      <c r="B80" s="18">
        <v>1</v>
      </c>
    </row>
    <row r="81" spans="1:2" x14ac:dyDescent="0.2">
      <c r="A81" s="5" t="s">
        <v>517</v>
      </c>
      <c r="B81" s="18">
        <v>1</v>
      </c>
    </row>
    <row r="82" spans="1:2" x14ac:dyDescent="0.2">
      <c r="A82" s="5" t="s">
        <v>188</v>
      </c>
      <c r="B82" s="18">
        <v>2</v>
      </c>
    </row>
    <row r="83" spans="1:2" x14ac:dyDescent="0.2">
      <c r="A83" s="5" t="s">
        <v>477</v>
      </c>
      <c r="B83" s="18">
        <v>1</v>
      </c>
    </row>
    <row r="84" spans="1:2" x14ac:dyDescent="0.2">
      <c r="A84" s="5" t="s">
        <v>70</v>
      </c>
      <c r="B84" s="18">
        <v>13</v>
      </c>
    </row>
    <row r="85" spans="1:2" x14ac:dyDescent="0.2">
      <c r="A85" s="5" t="s">
        <v>383</v>
      </c>
      <c r="B85" s="18">
        <v>1</v>
      </c>
    </row>
    <row r="86" spans="1:2" x14ac:dyDescent="0.2">
      <c r="A86" s="5" t="s">
        <v>367</v>
      </c>
      <c r="B86" s="18">
        <v>12</v>
      </c>
    </row>
    <row r="87" spans="1:2" x14ac:dyDescent="0.2">
      <c r="A87" s="5" t="s">
        <v>409</v>
      </c>
      <c r="B87" s="18">
        <v>1</v>
      </c>
    </row>
    <row r="88" spans="1:2" x14ac:dyDescent="0.2">
      <c r="A88" s="5" t="s">
        <v>401</v>
      </c>
      <c r="B88" s="18">
        <v>11</v>
      </c>
    </row>
    <row r="89" spans="1:2" x14ac:dyDescent="0.2">
      <c r="A89" s="5" t="s">
        <v>128</v>
      </c>
      <c r="B89" s="18">
        <v>4</v>
      </c>
    </row>
    <row r="90" spans="1:2" x14ac:dyDescent="0.2">
      <c r="A90" s="5" t="s">
        <v>582</v>
      </c>
      <c r="B90" s="18">
        <v>50</v>
      </c>
    </row>
    <row r="91" spans="1:2" x14ac:dyDescent="0.2">
      <c r="A91" s="5" t="s">
        <v>829</v>
      </c>
      <c r="B91" s="18">
        <v>1127</v>
      </c>
    </row>
    <row r="92" spans="1:2" x14ac:dyDescent="0.2">
      <c r="A92" s="5" t="s">
        <v>853</v>
      </c>
      <c r="B92" s="18">
        <v>1</v>
      </c>
    </row>
    <row r="93" spans="1:2" x14ac:dyDescent="0.2">
      <c r="A93" s="5" t="s">
        <v>859</v>
      </c>
      <c r="B93" s="18">
        <v>3</v>
      </c>
    </row>
    <row r="94" spans="1:2" x14ac:dyDescent="0.2">
      <c r="A94" s="5" t="s">
        <v>874</v>
      </c>
      <c r="B94" s="18">
        <v>6</v>
      </c>
    </row>
    <row r="95" spans="1:2" x14ac:dyDescent="0.2">
      <c r="A95" s="5" t="s">
        <v>878</v>
      </c>
      <c r="B95" s="18">
        <v>3</v>
      </c>
    </row>
    <row r="96" spans="1:2" x14ac:dyDescent="0.2">
      <c r="A96" s="5" t="s">
        <v>880</v>
      </c>
      <c r="B96" s="18">
        <v>1</v>
      </c>
    </row>
    <row r="97" spans="1:2" x14ac:dyDescent="0.2">
      <c r="A97" s="5" t="s">
        <v>907</v>
      </c>
      <c r="B97" s="18">
        <v>1</v>
      </c>
    </row>
    <row r="98" spans="1:2" x14ac:dyDescent="0.2">
      <c r="A98" s="5" t="s">
        <v>910</v>
      </c>
      <c r="B98" s="18">
        <v>1</v>
      </c>
    </row>
    <row r="99" spans="1:2" x14ac:dyDescent="0.2">
      <c r="A99" s="5" t="s">
        <v>920</v>
      </c>
      <c r="B99" s="18">
        <v>3</v>
      </c>
    </row>
    <row r="100" spans="1:2" x14ac:dyDescent="0.2">
      <c r="A100" s="5" t="s">
        <v>939</v>
      </c>
      <c r="B100" s="18">
        <v>1</v>
      </c>
    </row>
    <row r="101" spans="1:2" x14ac:dyDescent="0.2">
      <c r="A101" s="5" t="s">
        <v>968</v>
      </c>
      <c r="B101" s="18">
        <v>1</v>
      </c>
    </row>
    <row r="102" spans="1:2" x14ac:dyDescent="0.2">
      <c r="A102" s="5" t="s">
        <v>973</v>
      </c>
      <c r="B102" s="18">
        <v>2</v>
      </c>
    </row>
    <row r="103" spans="1:2" x14ac:dyDescent="0.2">
      <c r="A103" s="5" t="s">
        <v>990</v>
      </c>
      <c r="B103" s="18">
        <v>2</v>
      </c>
    </row>
    <row r="104" spans="1:2" x14ac:dyDescent="0.2">
      <c r="A104" s="5" t="s">
        <v>1000</v>
      </c>
      <c r="B104" s="18">
        <v>1</v>
      </c>
    </row>
    <row r="105" spans="1:2" x14ac:dyDescent="0.2">
      <c r="A105" s="5" t="s">
        <v>1071</v>
      </c>
      <c r="B105" s="18">
        <v>1</v>
      </c>
    </row>
    <row r="106" spans="1:2" x14ac:dyDescent="0.2">
      <c r="A106" s="5" t="s">
        <v>1073</v>
      </c>
      <c r="B106" s="18">
        <v>1</v>
      </c>
    </row>
    <row r="107" spans="1:2" x14ac:dyDescent="0.2">
      <c r="A107" s="5" t="s">
        <v>1086</v>
      </c>
      <c r="B107" s="18">
        <v>1</v>
      </c>
    </row>
    <row r="108" spans="1:2" x14ac:dyDescent="0.2">
      <c r="A108" s="5" t="s">
        <v>1088</v>
      </c>
      <c r="B108" s="18">
        <v>2</v>
      </c>
    </row>
    <row r="109" spans="1:2" x14ac:dyDescent="0.2">
      <c r="A109" s="5" t="s">
        <v>1097</v>
      </c>
      <c r="B109" s="18">
        <v>1</v>
      </c>
    </row>
    <row r="110" spans="1:2" x14ac:dyDescent="0.2">
      <c r="A110" s="5" t="s">
        <v>1099</v>
      </c>
      <c r="B110" s="18">
        <v>2</v>
      </c>
    </row>
    <row r="111" spans="1:2" x14ac:dyDescent="0.2">
      <c r="A111" s="5" t="s">
        <v>1101</v>
      </c>
      <c r="B111" s="18">
        <v>2</v>
      </c>
    </row>
    <row r="112" spans="1:2" x14ac:dyDescent="0.2">
      <c r="A112" s="5" t="s">
        <v>1112</v>
      </c>
      <c r="B112" s="18">
        <v>1</v>
      </c>
    </row>
    <row r="113" spans="1:2" x14ac:dyDescent="0.2">
      <c r="A113" s="5" t="s">
        <v>1115</v>
      </c>
      <c r="B113" s="18">
        <v>10</v>
      </c>
    </row>
    <row r="114" spans="1:2" x14ac:dyDescent="0.2">
      <c r="A114" s="5" t="s">
        <v>1130</v>
      </c>
      <c r="B114" s="18">
        <v>1</v>
      </c>
    </row>
    <row r="115" spans="1:2" x14ac:dyDescent="0.2">
      <c r="A115" s="5" t="s">
        <v>1139</v>
      </c>
      <c r="B115" s="18">
        <v>6</v>
      </c>
    </row>
    <row r="116" spans="1:2" x14ac:dyDescent="0.2">
      <c r="A116" s="5" t="s">
        <v>1151</v>
      </c>
      <c r="B116" s="18">
        <v>2</v>
      </c>
    </row>
    <row r="117" spans="1:2" x14ac:dyDescent="0.2">
      <c r="A117" s="5" t="s">
        <v>1180</v>
      </c>
      <c r="B117" s="18">
        <v>1</v>
      </c>
    </row>
    <row r="118" spans="1:2" x14ac:dyDescent="0.2">
      <c r="A118" s="5" t="s">
        <v>1225</v>
      </c>
      <c r="B118" s="18">
        <v>1</v>
      </c>
    </row>
    <row r="119" spans="1:2" x14ac:dyDescent="0.2">
      <c r="A119" s="5" t="s">
        <v>1233</v>
      </c>
      <c r="B119" s="18">
        <v>1</v>
      </c>
    </row>
    <row r="120" spans="1:2" x14ac:dyDescent="0.2">
      <c r="A120" s="5" t="s">
        <v>1265</v>
      </c>
      <c r="B120" s="18">
        <v>1</v>
      </c>
    </row>
    <row r="121" spans="1:2" x14ac:dyDescent="0.2">
      <c r="A121" s="5" t="s">
        <v>1308</v>
      </c>
      <c r="B121" s="18">
        <v>2</v>
      </c>
    </row>
    <row r="122" spans="1:2" x14ac:dyDescent="0.2">
      <c r="A122" s="5" t="s">
        <v>1314</v>
      </c>
      <c r="B122" s="18">
        <v>1</v>
      </c>
    </row>
    <row r="123" spans="1:2" x14ac:dyDescent="0.2">
      <c r="A123" s="5" t="s">
        <v>1323</v>
      </c>
      <c r="B123" s="18">
        <v>1</v>
      </c>
    </row>
    <row r="124" spans="1:2" x14ac:dyDescent="0.2">
      <c r="A124" s="5" t="s">
        <v>1325</v>
      </c>
      <c r="B124" s="18">
        <v>1</v>
      </c>
    </row>
    <row r="125" spans="1:2" x14ac:dyDescent="0.2">
      <c r="A125" s="5" t="s">
        <v>1336</v>
      </c>
      <c r="B125" s="18">
        <v>2</v>
      </c>
    </row>
    <row r="126" spans="1:2" x14ac:dyDescent="0.2">
      <c r="A126" s="5" t="s">
        <v>1338</v>
      </c>
      <c r="B126" s="18">
        <v>2</v>
      </c>
    </row>
    <row r="127" spans="1:2" x14ac:dyDescent="0.2">
      <c r="A127" s="5" t="s">
        <v>1349</v>
      </c>
      <c r="B127" s="18">
        <v>1</v>
      </c>
    </row>
    <row r="128" spans="1:2" x14ac:dyDescent="0.2">
      <c r="A128" s="5" t="s">
        <v>1375</v>
      </c>
      <c r="B128" s="18">
        <v>3</v>
      </c>
    </row>
    <row r="129" spans="1:2" x14ac:dyDescent="0.2">
      <c r="A129" s="5" t="s">
        <v>1390</v>
      </c>
      <c r="B129" s="18">
        <v>3</v>
      </c>
    </row>
    <row r="130" spans="1:2" x14ac:dyDescent="0.2">
      <c r="A130" s="5" t="s">
        <v>1395</v>
      </c>
      <c r="B130" s="18">
        <v>1</v>
      </c>
    </row>
    <row r="131" spans="1:2" x14ac:dyDescent="0.2">
      <c r="A131" s="5" t="s">
        <v>1399</v>
      </c>
      <c r="B131" s="18">
        <v>1</v>
      </c>
    </row>
    <row r="132" spans="1:2" x14ac:dyDescent="0.2">
      <c r="A132" s="5" t="s">
        <v>1412</v>
      </c>
      <c r="B132" s="18">
        <v>3</v>
      </c>
    </row>
    <row r="133" spans="1:2" x14ac:dyDescent="0.2">
      <c r="A133" s="5" t="s">
        <v>1417</v>
      </c>
      <c r="B133" s="18">
        <v>3</v>
      </c>
    </row>
    <row r="134" spans="1:2" x14ac:dyDescent="0.2">
      <c r="A134" s="5" t="s">
        <v>1425</v>
      </c>
      <c r="B134" s="18">
        <v>1</v>
      </c>
    </row>
    <row r="135" spans="1:2" x14ac:dyDescent="0.2">
      <c r="A135" s="5" t="s">
        <v>1439</v>
      </c>
      <c r="B135" s="18">
        <v>1</v>
      </c>
    </row>
    <row r="136" spans="1:2" x14ac:dyDescent="0.2">
      <c r="A136" s="5" t="s">
        <v>1458</v>
      </c>
      <c r="B136" s="18">
        <v>1</v>
      </c>
    </row>
    <row r="137" spans="1:2" x14ac:dyDescent="0.2">
      <c r="A137" s="5" t="s">
        <v>1461</v>
      </c>
      <c r="B137" s="18">
        <v>2</v>
      </c>
    </row>
    <row r="138" spans="1:2" x14ac:dyDescent="0.2">
      <c r="A138" s="5" t="s">
        <v>1475</v>
      </c>
      <c r="B138" s="18">
        <v>1</v>
      </c>
    </row>
    <row r="139" spans="1:2" x14ac:dyDescent="0.2">
      <c r="A139" s="5" t="s">
        <v>1478</v>
      </c>
      <c r="B139" s="18">
        <v>2</v>
      </c>
    </row>
    <row r="140" spans="1:2" x14ac:dyDescent="0.2">
      <c r="A140" s="5" t="s">
        <v>1483</v>
      </c>
      <c r="B140" s="18">
        <v>1</v>
      </c>
    </row>
    <row r="141" spans="1:2" x14ac:dyDescent="0.2">
      <c r="A141" s="5" t="s">
        <v>1485</v>
      </c>
      <c r="B141" s="18">
        <v>1</v>
      </c>
    </row>
    <row r="142" spans="1:2" x14ac:dyDescent="0.2">
      <c r="A142" s="5" t="s">
        <v>1513</v>
      </c>
      <c r="B142" s="18">
        <v>1</v>
      </c>
    </row>
    <row r="143" spans="1:2" x14ac:dyDescent="0.2">
      <c r="A143" s="5" t="s">
        <v>1515</v>
      </c>
      <c r="B143" s="18">
        <v>1</v>
      </c>
    </row>
    <row r="144" spans="1:2" x14ac:dyDescent="0.2">
      <c r="A144" s="5" t="s">
        <v>1517</v>
      </c>
      <c r="B144" s="18">
        <v>1</v>
      </c>
    </row>
    <row r="145" spans="1:2" x14ac:dyDescent="0.2">
      <c r="A145" s="5" t="s">
        <v>1531</v>
      </c>
      <c r="B145" s="18">
        <v>4</v>
      </c>
    </row>
    <row r="146" spans="1:2" x14ac:dyDescent="0.2">
      <c r="A146" s="5" t="s">
        <v>1550</v>
      </c>
      <c r="B146" s="18">
        <v>1</v>
      </c>
    </row>
    <row r="147" spans="1:2" x14ac:dyDescent="0.2">
      <c r="A147" s="5" t="s">
        <v>1607</v>
      </c>
      <c r="B147" s="18">
        <v>3</v>
      </c>
    </row>
    <row r="148" spans="1:2" x14ac:dyDescent="0.2">
      <c r="A148" s="5" t="s">
        <v>1625</v>
      </c>
      <c r="B148" s="18">
        <v>2</v>
      </c>
    </row>
    <row r="149" spans="1:2" x14ac:dyDescent="0.2">
      <c r="A149" s="5" t="s">
        <v>1647</v>
      </c>
      <c r="B149" s="18">
        <v>1</v>
      </c>
    </row>
    <row r="150" spans="1:2" x14ac:dyDescent="0.2">
      <c r="A150" s="5" t="s">
        <v>1670</v>
      </c>
      <c r="B150" s="18">
        <v>1</v>
      </c>
    </row>
    <row r="151" spans="1:2" x14ac:dyDescent="0.2">
      <c r="A151" s="5" t="s">
        <v>1697</v>
      </c>
      <c r="B151" s="18">
        <v>1</v>
      </c>
    </row>
    <row r="152" spans="1:2" x14ac:dyDescent="0.2">
      <c r="A152" s="5" t="s">
        <v>1710</v>
      </c>
      <c r="B152" s="18">
        <v>2</v>
      </c>
    </row>
    <row r="153" spans="1:2" x14ac:dyDescent="0.2">
      <c r="A153" s="5" t="s">
        <v>1761</v>
      </c>
      <c r="B153" s="18">
        <v>1</v>
      </c>
    </row>
    <row r="154" spans="1:2" x14ac:dyDescent="0.2">
      <c r="A154" s="5" t="s">
        <v>1788</v>
      </c>
      <c r="B154" s="18">
        <v>1</v>
      </c>
    </row>
    <row r="155" spans="1:2" x14ac:dyDescent="0.2">
      <c r="A155" s="5" t="s">
        <v>1808</v>
      </c>
      <c r="B155" s="18">
        <v>1</v>
      </c>
    </row>
    <row r="156" spans="1:2" x14ac:dyDescent="0.2">
      <c r="A156" s="5" t="s">
        <v>1814</v>
      </c>
      <c r="B156" s="18">
        <v>4</v>
      </c>
    </row>
    <row r="157" spans="1:2" x14ac:dyDescent="0.2">
      <c r="A157" s="5" t="s">
        <v>1816</v>
      </c>
      <c r="B157" s="18">
        <v>2</v>
      </c>
    </row>
    <row r="158" spans="1:2" x14ac:dyDescent="0.2">
      <c r="A158" s="5" t="s">
        <v>1826</v>
      </c>
      <c r="B158" s="18">
        <v>2</v>
      </c>
    </row>
    <row r="159" spans="1:2" x14ac:dyDescent="0.2">
      <c r="A159" s="5" t="s">
        <v>1853</v>
      </c>
      <c r="B159" s="18">
        <v>1</v>
      </c>
    </row>
    <row r="160" spans="1:2" x14ac:dyDescent="0.2">
      <c r="A160" s="5" t="s">
        <v>1857</v>
      </c>
      <c r="B160" s="18">
        <v>1</v>
      </c>
    </row>
    <row r="161" spans="1:2" x14ac:dyDescent="0.2">
      <c r="A161" s="5" t="s">
        <v>1871</v>
      </c>
      <c r="B161" s="18">
        <v>2</v>
      </c>
    </row>
    <row r="162" spans="1:2" x14ac:dyDescent="0.2">
      <c r="A162" s="5" t="s">
        <v>1885</v>
      </c>
      <c r="B162" s="18">
        <v>2</v>
      </c>
    </row>
    <row r="163" spans="1:2" x14ac:dyDescent="0.2">
      <c r="A163" s="5" t="s">
        <v>1900</v>
      </c>
      <c r="B163" s="18">
        <v>1</v>
      </c>
    </row>
    <row r="164" spans="1:2" x14ac:dyDescent="0.2">
      <c r="A164" s="5" t="s">
        <v>1902</v>
      </c>
      <c r="B164" s="18">
        <v>1</v>
      </c>
    </row>
    <row r="165" spans="1:2" x14ac:dyDescent="0.2">
      <c r="A165" s="5" t="s">
        <v>1904</v>
      </c>
      <c r="B165" s="18">
        <v>1</v>
      </c>
    </row>
    <row r="166" spans="1:2" x14ac:dyDescent="0.2">
      <c r="A166" s="5" t="s">
        <v>1910</v>
      </c>
      <c r="B166" s="18">
        <v>3</v>
      </c>
    </row>
    <row r="167" spans="1:2" x14ac:dyDescent="0.2">
      <c r="A167" s="5" t="s">
        <v>1927</v>
      </c>
      <c r="B167" s="18">
        <v>1</v>
      </c>
    </row>
    <row r="168" spans="1:2" x14ac:dyDescent="0.2">
      <c r="A168" s="5" t="s">
        <v>1943</v>
      </c>
      <c r="B168" s="18">
        <v>3</v>
      </c>
    </row>
    <row r="169" spans="1:2" x14ac:dyDescent="0.2">
      <c r="A169" s="5" t="s">
        <v>1951</v>
      </c>
      <c r="B169" s="18">
        <v>1</v>
      </c>
    </row>
    <row r="170" spans="1:2" x14ac:dyDescent="0.2">
      <c r="A170" s="5" t="s">
        <v>1965</v>
      </c>
      <c r="B170" s="18">
        <v>1</v>
      </c>
    </row>
    <row r="171" spans="1:2" x14ac:dyDescent="0.2">
      <c r="A171" s="5" t="s">
        <v>1968</v>
      </c>
      <c r="B171" s="18">
        <v>1</v>
      </c>
    </row>
    <row r="172" spans="1:2" x14ac:dyDescent="0.2">
      <c r="A172" s="5" t="s">
        <v>1980</v>
      </c>
      <c r="B172" s="18">
        <v>2</v>
      </c>
    </row>
    <row r="173" spans="1:2" x14ac:dyDescent="0.2">
      <c r="A173" s="5" t="s">
        <v>1985</v>
      </c>
      <c r="B173" s="18">
        <v>2</v>
      </c>
    </row>
    <row r="174" spans="1:2" x14ac:dyDescent="0.2">
      <c r="A174" s="5" t="s">
        <v>2010</v>
      </c>
      <c r="B174" s="18">
        <v>1</v>
      </c>
    </row>
    <row r="175" spans="1:2" x14ac:dyDescent="0.2">
      <c r="A175" s="5" t="s">
        <v>2044</v>
      </c>
      <c r="B175" s="18">
        <v>1</v>
      </c>
    </row>
    <row r="176" spans="1:2" x14ac:dyDescent="0.2">
      <c r="A176" s="5" t="s">
        <v>2048</v>
      </c>
      <c r="B176" s="18">
        <v>2</v>
      </c>
    </row>
    <row r="177" spans="1:2" x14ac:dyDescent="0.2">
      <c r="A177" s="5" t="s">
        <v>2067</v>
      </c>
      <c r="B177" s="18">
        <v>1</v>
      </c>
    </row>
    <row r="178" spans="1:2" x14ac:dyDescent="0.2">
      <c r="A178" s="5" t="s">
        <v>2074</v>
      </c>
      <c r="B178" s="18">
        <v>1</v>
      </c>
    </row>
    <row r="179" spans="1:2" x14ac:dyDescent="0.2">
      <c r="A179" s="5" t="s">
        <v>2076</v>
      </c>
      <c r="B179" s="18">
        <v>1</v>
      </c>
    </row>
    <row r="180" spans="1:2" x14ac:dyDescent="0.2">
      <c r="A180" s="5" t="s">
        <v>2082</v>
      </c>
      <c r="B180" s="18">
        <v>1</v>
      </c>
    </row>
    <row r="181" spans="1:2" x14ac:dyDescent="0.2">
      <c r="A181" s="5" t="s">
        <v>2084</v>
      </c>
      <c r="B181" s="18">
        <v>1</v>
      </c>
    </row>
    <row r="182" spans="1:2" x14ac:dyDescent="0.2">
      <c r="A182" s="5" t="s">
        <v>2088</v>
      </c>
      <c r="B182" s="18">
        <v>1</v>
      </c>
    </row>
    <row r="183" spans="1:2" x14ac:dyDescent="0.2">
      <c r="A183" s="5" t="s">
        <v>2092</v>
      </c>
      <c r="B183" s="18">
        <v>1</v>
      </c>
    </row>
    <row r="184" spans="1:2" x14ac:dyDescent="0.2">
      <c r="A184" s="5" t="s">
        <v>2095</v>
      </c>
      <c r="B184" s="18">
        <v>1</v>
      </c>
    </row>
    <row r="185" spans="1:2" x14ac:dyDescent="0.2">
      <c r="A185" s="5" t="s">
        <v>2097</v>
      </c>
      <c r="B185" s="18">
        <v>3</v>
      </c>
    </row>
    <row r="186" spans="1:2" x14ac:dyDescent="0.2">
      <c r="A186" s="5" t="s">
        <v>2110</v>
      </c>
      <c r="B186" s="18">
        <v>1</v>
      </c>
    </row>
    <row r="187" spans="1:2" x14ac:dyDescent="0.2">
      <c r="A187" s="5" t="s">
        <v>2124</v>
      </c>
      <c r="B187" s="18">
        <v>1</v>
      </c>
    </row>
    <row r="188" spans="1:2" x14ac:dyDescent="0.2">
      <c r="A188" s="5" t="s">
        <v>2142</v>
      </c>
      <c r="B188" s="18">
        <v>2</v>
      </c>
    </row>
    <row r="189" spans="1:2" x14ac:dyDescent="0.2">
      <c r="A189" s="5" t="s">
        <v>2145</v>
      </c>
      <c r="B189" s="18">
        <v>1</v>
      </c>
    </row>
    <row r="190" spans="1:2" x14ac:dyDescent="0.2">
      <c r="A190" s="5" t="s">
        <v>2148</v>
      </c>
      <c r="B190" s="18">
        <v>1</v>
      </c>
    </row>
    <row r="191" spans="1:2" x14ac:dyDescent="0.2">
      <c r="A191" s="5" t="s">
        <v>2158</v>
      </c>
      <c r="B191" s="18">
        <v>1</v>
      </c>
    </row>
    <row r="192" spans="1:2" x14ac:dyDescent="0.2">
      <c r="A192" s="5" t="s">
        <v>2163</v>
      </c>
      <c r="B192" s="18">
        <v>1</v>
      </c>
    </row>
    <row r="193" spans="1:2" x14ac:dyDescent="0.2">
      <c r="A193" s="5" t="s">
        <v>2193</v>
      </c>
      <c r="B193" s="18">
        <v>1</v>
      </c>
    </row>
    <row r="194" spans="1:2" x14ac:dyDescent="0.2">
      <c r="A194" s="5" t="s">
        <v>2200</v>
      </c>
      <c r="B194" s="18">
        <v>1</v>
      </c>
    </row>
    <row r="195" spans="1:2" x14ac:dyDescent="0.2">
      <c r="A195" s="5" t="s">
        <v>2208</v>
      </c>
      <c r="B195" s="18">
        <v>2</v>
      </c>
    </row>
    <row r="196" spans="1:2" x14ac:dyDescent="0.2">
      <c r="A196" s="5" t="s">
        <v>2258</v>
      </c>
      <c r="B196" s="18">
        <v>2</v>
      </c>
    </row>
    <row r="197" spans="1:2" x14ac:dyDescent="0.2">
      <c r="A197" s="5" t="s">
        <v>2272</v>
      </c>
      <c r="B197" s="18">
        <v>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S25"/>
  <sheetViews>
    <sheetView workbookViewId="0">
      <selection activeCell="J33" sqref="J33"/>
    </sheetView>
  </sheetViews>
  <sheetFormatPr baseColWidth="10" defaultRowHeight="15" x14ac:dyDescent="0.2"/>
  <cols>
    <col min="1" max="1" width="16" bestFit="1" customWidth="1"/>
    <col min="2" max="2" width="9.6640625" bestFit="1" customWidth="1"/>
    <col min="3" max="3" width="11.1640625" bestFit="1" customWidth="1"/>
    <col min="4" max="4" width="7" bestFit="1" customWidth="1"/>
    <col min="18" max="18" width="16" bestFit="1" customWidth="1"/>
  </cols>
  <sheetData>
    <row r="1" spans="1:19" x14ac:dyDescent="0.2">
      <c r="A1" s="9" t="s">
        <v>6</v>
      </c>
      <c r="B1" s="9" t="s">
        <v>1013</v>
      </c>
      <c r="C1" s="9" t="s">
        <v>1014</v>
      </c>
      <c r="D1" s="9" t="s">
        <v>1015</v>
      </c>
      <c r="R1" s="8" t="s">
        <v>2165</v>
      </c>
      <c r="S1">
        <f>SUM(B2:B25)</f>
        <v>851</v>
      </c>
    </row>
    <row r="2" spans="1:19" x14ac:dyDescent="0.2">
      <c r="A2" s="11" t="s">
        <v>1017</v>
      </c>
      <c r="B2">
        <f>COUNTIFS('Search Audit'!I:I,1,'Search Audit'!E:E,"&lt;&gt;")</f>
        <v>47</v>
      </c>
      <c r="C2">
        <f>COUNTIFS('Search Audit'!I:I,1,'Search Audit'!E:E,"")</f>
        <v>61</v>
      </c>
      <c r="D2" s="10">
        <f t="shared" ref="D2:D25" si="0">IF((B2+C2)=0,0,C2/(B2+C2))</f>
        <v>0.56481481481481477</v>
      </c>
    </row>
    <row r="3" spans="1:19" x14ac:dyDescent="0.2">
      <c r="A3" s="11" t="s">
        <v>1029</v>
      </c>
      <c r="B3">
        <f>COUNTIFS('Search Audit'!I:I,13,'Search Audit'!E:E,"&lt;&gt;")</f>
        <v>37</v>
      </c>
      <c r="C3">
        <f>COUNTIFS('Search Audit'!I:I,13,'Search Audit'!E:E,"")</f>
        <v>42</v>
      </c>
      <c r="D3" s="10">
        <f t="shared" si="0"/>
        <v>0.53164556962025311</v>
      </c>
      <c r="R3" s="8" t="s">
        <v>2166</v>
      </c>
      <c r="S3">
        <f>SUM(C2:C25)</f>
        <v>1127</v>
      </c>
    </row>
    <row r="4" spans="1:19" x14ac:dyDescent="0.2">
      <c r="A4" s="11" t="s">
        <v>1026</v>
      </c>
      <c r="B4">
        <f>COUNTIFS('Search Audit'!I:I,10,'Search Audit'!E:E,"&lt;&gt;")</f>
        <v>53</v>
      </c>
      <c r="C4">
        <f>COUNTIFS('Search Audit'!I:I,10,'Search Audit'!E:E,"")</f>
        <v>64</v>
      </c>
      <c r="D4" s="10">
        <f t="shared" si="0"/>
        <v>0.54700854700854706</v>
      </c>
    </row>
    <row r="5" spans="1:19" x14ac:dyDescent="0.2">
      <c r="A5" s="11" t="s">
        <v>1038</v>
      </c>
      <c r="B5">
        <f>COUNTIFS('Search Audit'!I:I,22,'Search Audit'!E:E,"&lt;&gt;")</f>
        <v>10</v>
      </c>
      <c r="C5">
        <f>COUNTIFS('Search Audit'!I:I,22,'Search Audit'!E:E,"")</f>
        <v>12</v>
      </c>
      <c r="D5" s="10">
        <f t="shared" si="0"/>
        <v>0.54545454545454541</v>
      </c>
      <c r="R5" s="8" t="s">
        <v>2167</v>
      </c>
      <c r="S5" s="10">
        <f>AVERAGE(D2:D25)</f>
        <v>0.58266303776861428</v>
      </c>
    </row>
    <row r="6" spans="1:19" x14ac:dyDescent="0.2">
      <c r="A6" s="11" t="s">
        <v>1027</v>
      </c>
      <c r="B6">
        <f>COUNTIFS('Search Audit'!I:I,11,'Search Audit'!E:E,"&lt;&gt;")</f>
        <v>32</v>
      </c>
      <c r="C6">
        <f>COUNTIFS('Search Audit'!I:I,11,'Search Audit'!E:E,"")</f>
        <v>37</v>
      </c>
      <c r="D6" s="10">
        <f t="shared" si="0"/>
        <v>0.53623188405797106</v>
      </c>
    </row>
    <row r="7" spans="1:19" x14ac:dyDescent="0.2">
      <c r="A7" s="11" t="s">
        <v>1039</v>
      </c>
      <c r="B7">
        <f>COUNTIFS('Search Audit'!I:I,23,'Search Audit'!E:E,"&lt;&gt;")</f>
        <v>7</v>
      </c>
      <c r="C7">
        <f>COUNTIFS('Search Audit'!I:I,23,'Search Audit'!E:E,"")</f>
        <v>30</v>
      </c>
      <c r="D7" s="10">
        <f t="shared" si="0"/>
        <v>0.81081081081081086</v>
      </c>
      <c r="R7" s="8" t="s">
        <v>752</v>
      </c>
      <c r="S7">
        <f>SUM(B2:C25)</f>
        <v>1978</v>
      </c>
    </row>
    <row r="8" spans="1:19" x14ac:dyDescent="0.2">
      <c r="A8" s="11" t="s">
        <v>1016</v>
      </c>
      <c r="B8">
        <f>COUNTIFS('Search Audit'!I:I,0,'Search Audit'!E:E,"&lt;&gt;")</f>
        <v>24</v>
      </c>
      <c r="C8">
        <f>COUNTIFS('Search Audit'!I:I,0,'Search Audit'!E:E,"")</f>
        <v>49</v>
      </c>
      <c r="D8" s="10">
        <f t="shared" si="0"/>
        <v>0.67123287671232879</v>
      </c>
    </row>
    <row r="9" spans="1:19" x14ac:dyDescent="0.2">
      <c r="A9" s="11" t="s">
        <v>1028</v>
      </c>
      <c r="B9">
        <f>COUNTIFS('Search Audit'!I:I,12,'Search Audit'!E:E,"&lt;&gt;")</f>
        <v>29</v>
      </c>
      <c r="C9">
        <f>COUNTIFS('Search Audit'!I:I,12,'Search Audit'!E:E,"")</f>
        <v>49</v>
      </c>
      <c r="D9" s="10">
        <f t="shared" si="0"/>
        <v>0.62820512820512819</v>
      </c>
    </row>
    <row r="10" spans="1:19" x14ac:dyDescent="0.2">
      <c r="A10" s="11" t="s">
        <v>1018</v>
      </c>
      <c r="B10">
        <f>COUNTIFS('Search Audit'!I:I,2,'Search Audit'!E:E,"&lt;&gt;")</f>
        <v>61</v>
      </c>
      <c r="C10">
        <f>COUNTIFS('Search Audit'!I:I,2,'Search Audit'!E:E,"")</f>
        <v>69</v>
      </c>
      <c r="D10" s="10">
        <f t="shared" si="0"/>
        <v>0.53076923076923077</v>
      </c>
    </row>
    <row r="11" spans="1:19" x14ac:dyDescent="0.2">
      <c r="A11" s="11" t="s">
        <v>1030</v>
      </c>
      <c r="B11">
        <f>COUNTIFS('Search Audit'!I:I,14,'Search Audit'!E:E,"&lt;&gt;")</f>
        <v>46</v>
      </c>
      <c r="C11">
        <f>COUNTIFS('Search Audit'!I:I,14,'Search Audit'!E:E,"")</f>
        <v>38</v>
      </c>
      <c r="D11" s="10">
        <f t="shared" si="0"/>
        <v>0.45238095238095238</v>
      </c>
    </row>
    <row r="12" spans="1:19" x14ac:dyDescent="0.2">
      <c r="A12" s="11" t="s">
        <v>1019</v>
      </c>
      <c r="B12">
        <f>COUNTIFS('Search Audit'!I:I,3,'Search Audit'!E:E,"&lt;&gt;")</f>
        <v>66</v>
      </c>
      <c r="C12">
        <f>COUNTIFS('Search Audit'!I:I,3,'Search Audit'!E:E,"")</f>
        <v>86</v>
      </c>
      <c r="D12" s="10">
        <f t="shared" si="0"/>
        <v>0.56578947368421051</v>
      </c>
    </row>
    <row r="13" spans="1:19" x14ac:dyDescent="0.2">
      <c r="A13" s="11" t="s">
        <v>1031</v>
      </c>
      <c r="B13">
        <f>COUNTIFS('Search Audit'!I:I,15,'Search Audit'!E:E,"&lt;&gt;")</f>
        <v>35</v>
      </c>
      <c r="C13">
        <f>COUNTIFS('Search Audit'!I:I,15,'Search Audit'!E:E,"")</f>
        <v>37</v>
      </c>
      <c r="D13" s="10">
        <f t="shared" si="0"/>
        <v>0.51388888888888884</v>
      </c>
    </row>
    <row r="14" spans="1:19" x14ac:dyDescent="0.2">
      <c r="A14" s="11" t="s">
        <v>1020</v>
      </c>
      <c r="B14">
        <f>COUNTIFS('Search Audit'!I:I,4,'Search Audit'!E:E,"&lt;&gt;")</f>
        <v>63</v>
      </c>
      <c r="C14">
        <f>COUNTIFS('Search Audit'!I:I,4,'Search Audit'!E:E,"")</f>
        <v>94</v>
      </c>
      <c r="D14" s="10">
        <f t="shared" si="0"/>
        <v>0.59872611464968151</v>
      </c>
    </row>
    <row r="15" spans="1:19" x14ac:dyDescent="0.2">
      <c r="A15" s="11" t="s">
        <v>1032</v>
      </c>
      <c r="B15">
        <f>COUNTIFS('Search Audit'!I:I,16,'Search Audit'!E:E,"&lt;&gt;")</f>
        <v>22</v>
      </c>
      <c r="C15">
        <f>COUNTIFS('Search Audit'!I:I,16,'Search Audit'!E:E,"")</f>
        <v>21</v>
      </c>
      <c r="D15" s="10">
        <f t="shared" si="0"/>
        <v>0.48837209302325579</v>
      </c>
    </row>
    <row r="16" spans="1:19" x14ac:dyDescent="0.2">
      <c r="A16" s="11" t="s">
        <v>1021</v>
      </c>
      <c r="B16">
        <f>COUNTIFS('Search Audit'!I:I,5,'Search Audit'!E:E,"&lt;&gt;")</f>
        <v>42</v>
      </c>
      <c r="C16">
        <f>COUNTIFS('Search Audit'!I:I,5,'Search Audit'!E:E,"")</f>
        <v>75</v>
      </c>
      <c r="D16" s="10">
        <f t="shared" si="0"/>
        <v>0.64102564102564108</v>
      </c>
    </row>
    <row r="17" spans="1:4" x14ac:dyDescent="0.2">
      <c r="A17" s="11" t="s">
        <v>1033</v>
      </c>
      <c r="B17">
        <f>COUNTIFS('Search Audit'!I:I,17,'Search Audit'!E:E,"&lt;&gt;")</f>
        <v>20</v>
      </c>
      <c r="C17">
        <f>COUNTIFS('Search Audit'!I:I,17,'Search Audit'!E:E,"")</f>
        <v>18</v>
      </c>
      <c r="D17" s="10">
        <f t="shared" si="0"/>
        <v>0.47368421052631576</v>
      </c>
    </row>
    <row r="18" spans="1:4" x14ac:dyDescent="0.2">
      <c r="A18" s="11" t="s">
        <v>1022</v>
      </c>
      <c r="B18">
        <f>COUNTIFS('Search Audit'!I:I,6,'Search Audit'!E:E,"&lt;&gt;")</f>
        <v>46</v>
      </c>
      <c r="C18">
        <f>COUNTIFS('Search Audit'!I:I,6,'Search Audit'!E:E,"")</f>
        <v>72</v>
      </c>
      <c r="D18" s="10">
        <f t="shared" si="0"/>
        <v>0.61016949152542377</v>
      </c>
    </row>
    <row r="19" spans="1:4" x14ac:dyDescent="0.2">
      <c r="A19" s="11" t="s">
        <v>1034</v>
      </c>
      <c r="B19">
        <f>COUNTIFS('Search Audit'!I:I,18,'Search Audit'!E:E,"&lt;&gt;")</f>
        <v>12</v>
      </c>
      <c r="C19">
        <f>COUNTIFS('Search Audit'!I:I,18,'Search Audit'!E:E,"")</f>
        <v>19</v>
      </c>
      <c r="D19" s="10">
        <f t="shared" si="0"/>
        <v>0.61290322580645162</v>
      </c>
    </row>
    <row r="20" spans="1:4" x14ac:dyDescent="0.2">
      <c r="A20" s="11" t="s">
        <v>1023</v>
      </c>
      <c r="B20">
        <f>COUNTIFS('Search Audit'!I:I,7,'Search Audit'!E:E,"&lt;&gt;")</f>
        <v>68</v>
      </c>
      <c r="C20">
        <f>COUNTIFS('Search Audit'!I:I,7,'Search Audit'!E:E,"")</f>
        <v>79</v>
      </c>
      <c r="D20" s="10">
        <f t="shared" si="0"/>
        <v>0.5374149659863946</v>
      </c>
    </row>
    <row r="21" spans="1:4" x14ac:dyDescent="0.2">
      <c r="A21" s="11" t="s">
        <v>1035</v>
      </c>
      <c r="B21">
        <f>COUNTIFS('Search Audit'!I:I,19,'Search Audit'!E:E,"&lt;&gt;")</f>
        <v>9</v>
      </c>
      <c r="C21">
        <f>COUNTIFS('Search Audit'!I:I,19,'Search Audit'!E:E,"")</f>
        <v>15</v>
      </c>
      <c r="D21" s="10">
        <f t="shared" si="0"/>
        <v>0.625</v>
      </c>
    </row>
    <row r="22" spans="1:4" x14ac:dyDescent="0.2">
      <c r="A22" s="11" t="s">
        <v>1024</v>
      </c>
      <c r="B22">
        <f>COUNTIFS('Search Audit'!I:I,8,'Search Audit'!E:E,"&lt;&gt;")</f>
        <v>59</v>
      </c>
      <c r="C22">
        <f>COUNTIFS('Search Audit'!I:I,8,'Search Audit'!E:E,"")</f>
        <v>74</v>
      </c>
      <c r="D22" s="10">
        <f t="shared" si="0"/>
        <v>0.55639097744360899</v>
      </c>
    </row>
    <row r="23" spans="1:4" x14ac:dyDescent="0.2">
      <c r="A23" s="11" t="s">
        <v>1036</v>
      </c>
      <c r="B23">
        <f>COUNTIFS('Search Audit'!I:I,20,'Search Audit'!E:E,"&lt;&gt;")</f>
        <v>7</v>
      </c>
      <c r="C23">
        <f>COUNTIFS('Search Audit'!I:I,20,'Search Audit'!E:E,"")</f>
        <v>17</v>
      </c>
      <c r="D23" s="10">
        <f t="shared" si="0"/>
        <v>0.70833333333333337</v>
      </c>
    </row>
    <row r="24" spans="1:4" x14ac:dyDescent="0.2">
      <c r="A24" s="11" t="s">
        <v>1025</v>
      </c>
      <c r="B24">
        <f>COUNTIFS('Search Audit'!I:I,9,'Search Audit'!E:E,"&lt;&gt;")</f>
        <v>51</v>
      </c>
      <c r="C24">
        <f>COUNTIFS('Search Audit'!I:I,9,'Search Audit'!E:E,"")</f>
        <v>57</v>
      </c>
      <c r="D24" s="10">
        <f t="shared" si="0"/>
        <v>0.52777777777777779</v>
      </c>
    </row>
    <row r="25" spans="1:4" x14ac:dyDescent="0.2">
      <c r="A25" s="11" t="s">
        <v>1037</v>
      </c>
      <c r="B25">
        <f>COUNTIFS('Search Audit'!I:I,21,'Search Audit'!E:E,"&lt;&gt;")</f>
        <v>5</v>
      </c>
      <c r="C25">
        <f>COUNTIFS('Search Audit'!I:I,21,'Search Audit'!E:E,"")</f>
        <v>12</v>
      </c>
      <c r="D25" s="10">
        <f t="shared" si="0"/>
        <v>0.70588235294117652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F37" sqref="F37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73</v>
      </c>
      <c r="F2" s="6"/>
    </row>
    <row r="3" spans="1:6" x14ac:dyDescent="0.2">
      <c r="A3">
        <v>1</v>
      </c>
      <c r="B3">
        <f>COUNTIF('Search Audit'!I:I,1)</f>
        <v>108</v>
      </c>
    </row>
    <row r="4" spans="1:6" x14ac:dyDescent="0.2">
      <c r="A4">
        <v>2</v>
      </c>
      <c r="B4">
        <f>COUNTIF('Search Audit'!I:I,2)</f>
        <v>130</v>
      </c>
    </row>
    <row r="5" spans="1:6" x14ac:dyDescent="0.2">
      <c r="A5">
        <v>3</v>
      </c>
      <c r="B5">
        <f>COUNTIF('Search Audit'!I:I,3)</f>
        <v>152</v>
      </c>
    </row>
    <row r="6" spans="1:6" x14ac:dyDescent="0.2">
      <c r="A6">
        <v>4</v>
      </c>
      <c r="B6">
        <f>COUNTIF('Search Audit'!I:I,4)</f>
        <v>157</v>
      </c>
    </row>
    <row r="7" spans="1:6" x14ac:dyDescent="0.2">
      <c r="A7">
        <v>5</v>
      </c>
      <c r="B7">
        <f>COUNTIF('Search Audit'!I:I,5)</f>
        <v>117</v>
      </c>
    </row>
    <row r="8" spans="1:6" x14ac:dyDescent="0.2">
      <c r="A8">
        <v>6</v>
      </c>
      <c r="B8">
        <f>COUNTIF('Search Audit'!I:I,6)</f>
        <v>118</v>
      </c>
    </row>
    <row r="9" spans="1:6" x14ac:dyDescent="0.2">
      <c r="A9">
        <v>7</v>
      </c>
      <c r="B9">
        <f>COUNTIF('Search Audit'!I:I,7)</f>
        <v>147</v>
      </c>
    </row>
    <row r="10" spans="1:6" x14ac:dyDescent="0.2">
      <c r="A10">
        <v>8</v>
      </c>
      <c r="B10">
        <f>COUNTIF('Search Audit'!I:I,8)</f>
        <v>133</v>
      </c>
    </row>
    <row r="11" spans="1:6" x14ac:dyDescent="0.2">
      <c r="A11">
        <v>9</v>
      </c>
      <c r="B11">
        <f>COUNTIF('Search Audit'!I:I,9)</f>
        <v>108</v>
      </c>
    </row>
    <row r="12" spans="1:6" x14ac:dyDescent="0.2">
      <c r="A12">
        <v>10</v>
      </c>
      <c r="B12">
        <f>COUNTIF('Search Audit'!I:I,10)</f>
        <v>117</v>
      </c>
    </row>
    <row r="13" spans="1:6" x14ac:dyDescent="0.2">
      <c r="A13">
        <v>11</v>
      </c>
      <c r="B13">
        <f>COUNTIF('Search Audit'!I:I,11)</f>
        <v>69</v>
      </c>
    </row>
    <row r="14" spans="1:6" x14ac:dyDescent="0.2">
      <c r="A14">
        <v>12</v>
      </c>
      <c r="B14">
        <f>COUNTIF('Search Audit'!I:I,12)</f>
        <v>78</v>
      </c>
    </row>
    <row r="15" spans="1:6" x14ac:dyDescent="0.2">
      <c r="A15">
        <v>13</v>
      </c>
      <c r="B15">
        <f>COUNTIF('Search Audit'!I:I,13)</f>
        <v>79</v>
      </c>
    </row>
    <row r="16" spans="1:6" x14ac:dyDescent="0.2">
      <c r="A16">
        <v>14</v>
      </c>
      <c r="B16">
        <f>COUNTIF('Search Audit'!I:I,14)</f>
        <v>84</v>
      </c>
    </row>
    <row r="17" spans="1:2" x14ac:dyDescent="0.2">
      <c r="A17">
        <v>15</v>
      </c>
      <c r="B17">
        <f>COUNTIF('Search Audit'!I:I,15)</f>
        <v>72</v>
      </c>
    </row>
    <row r="18" spans="1:2" x14ac:dyDescent="0.2">
      <c r="A18">
        <v>16</v>
      </c>
      <c r="B18">
        <f>COUNTIF('Search Audit'!I:I,16)</f>
        <v>43</v>
      </c>
    </row>
    <row r="19" spans="1:2" x14ac:dyDescent="0.2">
      <c r="A19">
        <v>17</v>
      </c>
      <c r="B19">
        <f>COUNTIF('Search Audit'!I:I,17)</f>
        <v>38</v>
      </c>
    </row>
    <row r="20" spans="1:2" x14ac:dyDescent="0.2">
      <c r="A20">
        <v>18</v>
      </c>
      <c r="B20">
        <f>COUNTIF('Search Audit'!I:I,18)</f>
        <v>31</v>
      </c>
    </row>
    <row r="21" spans="1:2" x14ac:dyDescent="0.2">
      <c r="A21">
        <v>19</v>
      </c>
      <c r="B21">
        <f>COUNTIF('Search Audit'!I:I,19)</f>
        <v>24</v>
      </c>
    </row>
    <row r="22" spans="1:2" x14ac:dyDescent="0.2">
      <c r="A22">
        <v>20</v>
      </c>
      <c r="B22">
        <f>COUNTIF('Search Audit'!I:I,20)</f>
        <v>24</v>
      </c>
    </row>
    <row r="23" spans="1:2" x14ac:dyDescent="0.2">
      <c r="A23">
        <v>21</v>
      </c>
      <c r="B23">
        <f>COUNTIF('Search Audit'!I:I,21)</f>
        <v>17</v>
      </c>
    </row>
    <row r="24" spans="1:2" x14ac:dyDescent="0.2">
      <c r="A24">
        <v>22</v>
      </c>
      <c r="B24">
        <f>COUNTIF('Search Audit'!I:I,22)</f>
        <v>22</v>
      </c>
    </row>
    <row r="25" spans="1:2" x14ac:dyDescent="0.2">
      <c r="A25">
        <v>23</v>
      </c>
      <c r="B25">
        <f>COUNTIF('Search Audit'!I:I,23)</f>
        <v>37</v>
      </c>
    </row>
    <row r="28" spans="1:2" x14ac:dyDescent="0.2">
      <c r="A28" s="8" t="s">
        <v>1012</v>
      </c>
      <c r="B28">
        <f>SUM(B2:B25)</f>
        <v>1978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topLeftCell="A9"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229</v>
      </c>
      <c r="C4">
        <f>COUNTIFS('Search Audit'!D:D,A4,'Search Audit'!E:E,"")</f>
        <v>142</v>
      </c>
      <c r="D4">
        <f t="shared" ref="D4:D34" si="0">B4-C4</f>
        <v>87</v>
      </c>
      <c r="E4" s="10">
        <f t="shared" ref="E4:E35" si="1">IF(B4=0,0,C4/B4)</f>
        <v>0.62008733624454149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506</v>
      </c>
      <c r="C5">
        <f>COUNTIFS('Search Audit'!D:D,A5,'Search Audit'!E:E,"")</f>
        <v>267</v>
      </c>
      <c r="D5">
        <f t="shared" si="0"/>
        <v>239</v>
      </c>
      <c r="E5" s="10">
        <f t="shared" si="1"/>
        <v>0.52766798418972327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81</v>
      </c>
      <c r="C9">
        <f>COUNTIFS('Search Audit'!D:D,A9,'Search Audit'!E:E,"")</f>
        <v>48</v>
      </c>
      <c r="D9">
        <f t="shared" si="0"/>
        <v>33</v>
      </c>
      <c r="E9" s="10">
        <f t="shared" si="1"/>
        <v>0.59259259259259256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31</v>
      </c>
      <c r="C15">
        <f>COUNTIFS('Search Audit'!D:D,A15,'Search Audit'!E:E,"")</f>
        <v>21</v>
      </c>
      <c r="D15">
        <f t="shared" si="0"/>
        <v>10</v>
      </c>
      <c r="E15" s="10">
        <f t="shared" si="1"/>
        <v>0.67741935483870963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8</v>
      </c>
      <c r="C25">
        <f>COUNTIFS('Search Audit'!D:D,A25,'Search Audit'!E:E,"")</f>
        <v>2</v>
      </c>
      <c r="D25">
        <f t="shared" si="0"/>
        <v>6</v>
      </c>
      <c r="E25" s="10">
        <f t="shared" si="1"/>
        <v>0.25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1604</v>
      </c>
      <c r="C35" s="13">
        <f>SUM(C4:C34)</f>
        <v>890</v>
      </c>
      <c r="D35" s="13">
        <f>SUM(D4:D34)</f>
        <v>714</v>
      </c>
      <c r="E35" s="14">
        <f t="shared" si="1"/>
        <v>0.5548628428927681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87</v>
      </c>
      <c r="C40">
        <f t="shared" ref="C40:C49" si="3">C4</f>
        <v>142</v>
      </c>
    </row>
    <row r="41" spans="1:7" x14ac:dyDescent="0.2">
      <c r="A41" t="s">
        <v>1049</v>
      </c>
      <c r="B41">
        <f t="shared" si="2"/>
        <v>239</v>
      </c>
      <c r="C41">
        <f t="shared" si="3"/>
        <v>267</v>
      </c>
    </row>
    <row r="42" spans="1:7" x14ac:dyDescent="0.2">
      <c r="A42" t="s">
        <v>1050</v>
      </c>
      <c r="B42">
        <f t="shared" si="2"/>
        <v>15</v>
      </c>
      <c r="C42">
        <f t="shared" si="3"/>
        <v>89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67</v>
      </c>
      <c r="C44">
        <f t="shared" si="3"/>
        <v>87</v>
      </c>
    </row>
    <row r="45" spans="1:7" x14ac:dyDescent="0.2">
      <c r="A45" t="s">
        <v>1053</v>
      </c>
      <c r="B45">
        <f t="shared" si="2"/>
        <v>33</v>
      </c>
      <c r="C45">
        <f t="shared" si="3"/>
        <v>48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20</v>
      </c>
      <c r="C47">
        <f t="shared" si="3"/>
        <v>21</v>
      </c>
    </row>
    <row r="48" spans="1:7" x14ac:dyDescent="0.2">
      <c r="A48" t="s">
        <v>1056</v>
      </c>
      <c r="B48">
        <f t="shared" si="2"/>
        <v>36</v>
      </c>
      <c r="C48">
        <f t="shared" si="3"/>
        <v>5</v>
      </c>
    </row>
    <row r="49" spans="1:3" x14ac:dyDescent="0.2">
      <c r="A49" t="s">
        <v>1057</v>
      </c>
      <c r="B49">
        <f t="shared" si="2"/>
        <v>11</v>
      </c>
      <c r="C49">
        <f t="shared" si="3"/>
        <v>37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0.62008733624454149</v>
      </c>
    </row>
    <row r="55" spans="1:3" x14ac:dyDescent="0.2">
      <c r="A55">
        <v>3</v>
      </c>
      <c r="B55" s="10">
        <f t="shared" si="4"/>
        <v>0.52766798418972327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0.59259259259259256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979"/>
  <sheetViews>
    <sheetView tabSelected="1" workbookViewId="0">
      <pane xSplit="3" ySplit="1" topLeftCell="D1774" activePane="bottomRight" state="frozen"/>
      <selection pane="topRight" activeCell="D1" sqref="D1"/>
      <selection pane="bottomLeft" activeCell="A2" sqref="A2"/>
      <selection pane="bottomRight" activeCell="A1630" sqref="A1630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8" t="s">
        <v>9</v>
      </c>
      <c r="B2" s="18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8" t="s">
        <v>12</v>
      </c>
      <c r="B3" s="18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8" t="s">
        <v>13</v>
      </c>
      <c r="B4" s="18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8" t="s">
        <v>14</v>
      </c>
      <c r="B5" s="18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8" t="s">
        <v>16</v>
      </c>
      <c r="B6" s="18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8" t="s">
        <v>18</v>
      </c>
      <c r="B7" s="18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8" t="s">
        <v>19</v>
      </c>
      <c r="B8" s="18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8" t="s">
        <v>20</v>
      </c>
      <c r="B9" s="18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8" t="s">
        <v>21</v>
      </c>
      <c r="B10" s="18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8" t="s">
        <v>22</v>
      </c>
      <c r="B11" s="18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8" t="s">
        <v>23</v>
      </c>
      <c r="B12" s="18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8" t="s">
        <v>24</v>
      </c>
      <c r="B13" s="18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8" t="s">
        <v>25</v>
      </c>
      <c r="B14" s="18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8" t="s">
        <v>26</v>
      </c>
      <c r="B15" s="18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8" t="s">
        <v>27</v>
      </c>
      <c r="B16" s="18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8" t="s">
        <v>29</v>
      </c>
      <c r="B17" s="18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8" t="s">
        <v>30</v>
      </c>
      <c r="B18" s="18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8" t="s">
        <v>32</v>
      </c>
      <c r="B19" s="18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8" t="s">
        <v>33</v>
      </c>
      <c r="B20" s="18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8" t="s">
        <v>35</v>
      </c>
      <c r="B21" s="18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8" t="s">
        <v>36</v>
      </c>
      <c r="B22" s="18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8" t="s">
        <v>37</v>
      </c>
      <c r="B23" s="18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8" t="s">
        <v>38</v>
      </c>
      <c r="B24" s="18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8" t="s">
        <v>39</v>
      </c>
      <c r="B25" s="18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8" t="s">
        <v>40</v>
      </c>
      <c r="B26" s="18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8" t="s">
        <v>41</v>
      </c>
      <c r="B27" s="18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8" t="s">
        <v>43</v>
      </c>
      <c r="B28" s="18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8" t="s">
        <v>44</v>
      </c>
      <c r="B29" s="18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8" t="s">
        <v>46</v>
      </c>
      <c r="B30" s="18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8" t="s">
        <v>47</v>
      </c>
      <c r="B31" s="18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8" t="s">
        <v>48</v>
      </c>
      <c r="B32" s="18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8" t="s">
        <v>49</v>
      </c>
      <c r="B33" s="18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8" t="s">
        <v>51</v>
      </c>
      <c r="B34" s="18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8" t="s">
        <v>52</v>
      </c>
      <c r="B35" s="18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8" t="s">
        <v>53</v>
      </c>
      <c r="B36" s="18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8" t="s">
        <v>54</v>
      </c>
      <c r="B37" s="18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8" t="s">
        <v>55</v>
      </c>
      <c r="B38" s="18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8" t="s">
        <v>56</v>
      </c>
      <c r="B39" s="18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8" t="s">
        <v>57</v>
      </c>
      <c r="B40" s="18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8" t="s">
        <v>58</v>
      </c>
      <c r="B41" s="18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8" t="s">
        <v>59</v>
      </c>
      <c r="B42" s="18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8" t="s">
        <v>61</v>
      </c>
      <c r="B43" s="18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8" t="s">
        <v>62</v>
      </c>
      <c r="B44" s="18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8" t="s">
        <v>64</v>
      </c>
      <c r="B45" s="18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8" t="s">
        <v>65</v>
      </c>
      <c r="B46" s="18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8" t="s">
        <v>66</v>
      </c>
      <c r="B47" s="18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8" t="s">
        <v>67</v>
      </c>
      <c r="B48" s="18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8" t="s">
        <v>69</v>
      </c>
      <c r="B49" s="18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8" t="s">
        <v>71</v>
      </c>
      <c r="B50" s="18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8" t="s">
        <v>72</v>
      </c>
      <c r="B51" s="18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8" t="s">
        <v>73</v>
      </c>
      <c r="B52" s="18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8" t="s">
        <v>74</v>
      </c>
      <c r="B53" s="18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8" t="s">
        <v>75</v>
      </c>
      <c r="B54" s="18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8" t="s">
        <v>76</v>
      </c>
      <c r="B55" s="18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8" t="s">
        <v>77</v>
      </c>
      <c r="B56" s="18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8" t="s">
        <v>78</v>
      </c>
      <c r="B57" s="18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8" t="s">
        <v>80</v>
      </c>
      <c r="B58" s="18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8" t="s">
        <v>82</v>
      </c>
      <c r="B59" s="18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8" t="s">
        <v>84</v>
      </c>
      <c r="B60" s="18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8" t="s">
        <v>85</v>
      </c>
      <c r="B61" s="18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8" t="s">
        <v>87</v>
      </c>
      <c r="B62" s="18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8" t="s">
        <v>88</v>
      </c>
      <c r="B63" s="18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8" t="s">
        <v>90</v>
      </c>
      <c r="B64" s="18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8" t="s">
        <v>91</v>
      </c>
      <c r="B65" s="18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8" t="s">
        <v>92</v>
      </c>
      <c r="B66" s="18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8" t="s">
        <v>93</v>
      </c>
      <c r="B67" s="18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8" t="s">
        <v>94</v>
      </c>
      <c r="B68" s="18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8" t="s">
        <v>96</v>
      </c>
      <c r="B69" s="18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8" t="s">
        <v>97</v>
      </c>
      <c r="B70" s="18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8" t="s">
        <v>98</v>
      </c>
      <c r="B71" s="18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8" t="s">
        <v>99</v>
      </c>
      <c r="B72" s="18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8" t="s">
        <v>101</v>
      </c>
      <c r="B73" s="18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8" t="s">
        <v>102</v>
      </c>
      <c r="B74" s="18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8" t="s">
        <v>103</v>
      </c>
      <c r="B75" s="18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8" t="s">
        <v>105</v>
      </c>
      <c r="B76" s="18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8" t="s">
        <v>106</v>
      </c>
      <c r="B77" s="18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8" t="s">
        <v>107</v>
      </c>
      <c r="B78" s="18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8" t="s">
        <v>109</v>
      </c>
      <c r="B79" s="18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8" t="s">
        <v>110</v>
      </c>
      <c r="B80" s="18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8" t="s">
        <v>111</v>
      </c>
      <c r="B81" s="18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8" t="s">
        <v>113</v>
      </c>
      <c r="B82" s="18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8" t="s">
        <v>114</v>
      </c>
      <c r="B83" s="18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8" t="s">
        <v>116</v>
      </c>
      <c r="B84" s="18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8" t="s">
        <v>117</v>
      </c>
      <c r="B85" s="18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8" t="s">
        <v>118</v>
      </c>
      <c r="B86" s="18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8" t="s">
        <v>119</v>
      </c>
      <c r="B87" s="18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8" t="s">
        <v>122</v>
      </c>
      <c r="B88" s="18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8" t="s">
        <v>123</v>
      </c>
      <c r="B89" s="18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8" t="s">
        <v>124</v>
      </c>
      <c r="B90" s="18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8" t="s">
        <v>126</v>
      </c>
      <c r="B91" s="18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8" t="s">
        <v>127</v>
      </c>
      <c r="B92" s="18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8" t="s">
        <v>129</v>
      </c>
      <c r="B93" s="18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8" t="s">
        <v>130</v>
      </c>
      <c r="B94" s="18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8" t="s">
        <v>131</v>
      </c>
      <c r="B95" s="18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8" t="s">
        <v>132</v>
      </c>
      <c r="B96" s="18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8" t="s">
        <v>133</v>
      </c>
      <c r="B97" s="18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8" t="s">
        <v>134</v>
      </c>
      <c r="B98" s="18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8" t="s">
        <v>136</v>
      </c>
      <c r="B99" s="18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8" t="s">
        <v>138</v>
      </c>
      <c r="B100" s="18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8" t="s">
        <v>139</v>
      </c>
      <c r="B101" s="18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8" t="s">
        <v>141</v>
      </c>
      <c r="B102" s="18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8" t="s">
        <v>142</v>
      </c>
      <c r="B103" s="18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8" t="s">
        <v>143</v>
      </c>
      <c r="B104" s="18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8" t="s">
        <v>144</v>
      </c>
      <c r="B105" s="18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8" t="s">
        <v>145</v>
      </c>
      <c r="B106" s="18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8" t="s">
        <v>146</v>
      </c>
      <c r="B107" s="18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8" t="s">
        <v>148</v>
      </c>
      <c r="B108" s="18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8" t="s">
        <v>149</v>
      </c>
      <c r="B109" s="18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8" t="s">
        <v>151</v>
      </c>
      <c r="B110" s="18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8" t="s">
        <v>153</v>
      </c>
      <c r="B111" s="18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8" t="s">
        <v>154</v>
      </c>
      <c r="B112" s="18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8" t="s">
        <v>155</v>
      </c>
      <c r="B113" s="18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8" t="s">
        <v>156</v>
      </c>
      <c r="B114" s="18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8" t="s">
        <v>157</v>
      </c>
      <c r="B115" s="18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8" t="s">
        <v>158</v>
      </c>
      <c r="B116" s="18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8" t="s">
        <v>159</v>
      </c>
      <c r="B117" s="18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8" t="s">
        <v>160</v>
      </c>
      <c r="B118" s="18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8" t="s">
        <v>161</v>
      </c>
      <c r="B119" s="18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8" t="s">
        <v>162</v>
      </c>
      <c r="B120" s="18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8" t="s">
        <v>163</v>
      </c>
      <c r="B121" s="18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8" t="s">
        <v>164</v>
      </c>
      <c r="B122" s="18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8" t="s">
        <v>166</v>
      </c>
      <c r="B123" s="18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8" t="s">
        <v>167</v>
      </c>
      <c r="B124" s="18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8" t="s">
        <v>169</v>
      </c>
      <c r="B125" s="18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8" t="s">
        <v>170</v>
      </c>
      <c r="B126" s="18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8" t="s">
        <v>171</v>
      </c>
      <c r="B127" s="18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8" t="s">
        <v>172</v>
      </c>
      <c r="B128" s="18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8" t="s">
        <v>173</v>
      </c>
      <c r="B129" s="18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8" t="s">
        <v>174</v>
      </c>
      <c r="B130" s="18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8" t="s">
        <v>176</v>
      </c>
      <c r="B131" s="18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8" t="s">
        <v>177</v>
      </c>
      <c r="B132" s="18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8" t="s">
        <v>178</v>
      </c>
      <c r="B133" s="18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8" t="s">
        <v>179</v>
      </c>
      <c r="B134" s="18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8" t="s">
        <v>180</v>
      </c>
      <c r="B135" s="18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8" t="s">
        <v>181</v>
      </c>
      <c r="B136" s="18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8" t="s">
        <v>182</v>
      </c>
      <c r="B137" s="18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8" t="s">
        <v>183</v>
      </c>
      <c r="B138" s="18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8" t="s">
        <v>184</v>
      </c>
      <c r="B139" s="18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8" t="s">
        <v>185</v>
      </c>
      <c r="B140" s="18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8" t="s">
        <v>186</v>
      </c>
      <c r="B141" s="18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8" t="s">
        <v>187</v>
      </c>
      <c r="B142" s="18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8" t="s">
        <v>189</v>
      </c>
      <c r="B143" s="18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8" t="s">
        <v>191</v>
      </c>
      <c r="B144" s="18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8" t="s">
        <v>192</v>
      </c>
      <c r="B145" s="18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8" t="s">
        <v>193</v>
      </c>
      <c r="B146" s="18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8" t="s">
        <v>194</v>
      </c>
      <c r="B147" s="18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8" t="s">
        <v>195</v>
      </c>
      <c r="B148" s="18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8" t="s">
        <v>196</v>
      </c>
      <c r="B149" s="18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8" t="s">
        <v>197</v>
      </c>
      <c r="B150" s="18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8" t="s">
        <v>198</v>
      </c>
      <c r="B151" s="18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8" t="s">
        <v>199</v>
      </c>
      <c r="B152" s="18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8" t="s">
        <v>200</v>
      </c>
      <c r="B153" s="18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8" t="s">
        <v>201</v>
      </c>
      <c r="B154" s="18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8" t="s">
        <v>202</v>
      </c>
      <c r="B155" s="18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8" t="s">
        <v>203</v>
      </c>
      <c r="B156" s="18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8" t="s">
        <v>788</v>
      </c>
      <c r="B157" s="18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8" t="s">
        <v>204</v>
      </c>
      <c r="B158" s="18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8" t="s">
        <v>205</v>
      </c>
      <c r="B159" s="18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8" t="s">
        <v>206</v>
      </c>
      <c r="B160" s="18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8" t="s">
        <v>207</v>
      </c>
      <c r="B161" s="18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8" t="s">
        <v>208</v>
      </c>
      <c r="B162" s="18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8" t="s">
        <v>209</v>
      </c>
      <c r="B163" s="18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8" t="s">
        <v>210</v>
      </c>
      <c r="B164" s="18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8" t="s">
        <v>789</v>
      </c>
      <c r="B165" s="18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8" t="s">
        <v>211</v>
      </c>
      <c r="B166" s="18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8" t="s">
        <v>212</v>
      </c>
      <c r="B167" s="18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8" t="s">
        <v>213</v>
      </c>
      <c r="B168" s="18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8" t="s">
        <v>214</v>
      </c>
      <c r="B169" s="18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8" t="s">
        <v>215</v>
      </c>
      <c r="B170" s="18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8" t="s">
        <v>216</v>
      </c>
      <c r="B171" s="18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8" t="s">
        <v>217</v>
      </c>
      <c r="B172" s="18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8" t="s">
        <v>218</v>
      </c>
      <c r="B173" s="18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8" t="s">
        <v>219</v>
      </c>
      <c r="B174" s="18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8" t="s">
        <v>220</v>
      </c>
      <c r="B175" s="18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8" t="s">
        <v>221</v>
      </c>
      <c r="B176" s="18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8" t="s">
        <v>222</v>
      </c>
      <c r="B177" s="18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8" t="s">
        <v>223</v>
      </c>
      <c r="B178" s="18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8" t="s">
        <v>224</v>
      </c>
      <c r="B179" s="18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8" t="s">
        <v>225</v>
      </c>
      <c r="B180" s="18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8" t="s">
        <v>226</v>
      </c>
      <c r="B181" s="18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8" t="s">
        <v>227</v>
      </c>
      <c r="B182" s="18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8" t="s">
        <v>228</v>
      </c>
      <c r="B183" s="18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8" t="s">
        <v>229</v>
      </c>
      <c r="B184" s="18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8" t="s">
        <v>230</v>
      </c>
      <c r="B185" s="18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8" t="s">
        <v>231</v>
      </c>
      <c r="B186" s="18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8" t="s">
        <v>232</v>
      </c>
      <c r="B187" s="18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8" t="s">
        <v>233</v>
      </c>
      <c r="B188" s="18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8" t="s">
        <v>234</v>
      </c>
      <c r="B189" s="18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8" t="s">
        <v>235</v>
      </c>
      <c r="B190" s="18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8" t="s">
        <v>236</v>
      </c>
      <c r="B191" s="18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8" t="s">
        <v>237</v>
      </c>
      <c r="B192" s="18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8" t="s">
        <v>238</v>
      </c>
      <c r="B193" s="18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8" t="s">
        <v>239</v>
      </c>
      <c r="B194" s="18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8" t="s">
        <v>240</v>
      </c>
      <c r="B195" s="18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8" t="s">
        <v>242</v>
      </c>
      <c r="B196" s="18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8" t="s">
        <v>243</v>
      </c>
      <c r="B197" s="18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8" t="s">
        <v>244</v>
      </c>
      <c r="B198" s="18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8" t="s">
        <v>245</v>
      </c>
      <c r="B199" s="18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8" t="s">
        <v>246</v>
      </c>
      <c r="B200" s="18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8" t="s">
        <v>248</v>
      </c>
      <c r="B201" s="18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8" t="s">
        <v>249</v>
      </c>
      <c r="B202" s="18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8" t="s">
        <v>250</v>
      </c>
      <c r="B203" s="18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8" t="s">
        <v>251</v>
      </c>
      <c r="B204" s="18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8" t="s">
        <v>253</v>
      </c>
      <c r="B205" s="18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8" t="s">
        <v>254</v>
      </c>
      <c r="B206" s="18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8" t="s">
        <v>255</v>
      </c>
      <c r="B207" s="18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8" t="s">
        <v>256</v>
      </c>
      <c r="B208" s="18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8" t="s">
        <v>258</v>
      </c>
      <c r="B209" s="18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8" t="s">
        <v>259</v>
      </c>
      <c r="B210" s="18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8" t="s">
        <v>261</v>
      </c>
      <c r="B211" s="18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8" t="s">
        <v>262</v>
      </c>
      <c r="B212" s="18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8" t="s">
        <v>263</v>
      </c>
      <c r="B213" s="18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8" t="s">
        <v>264</v>
      </c>
      <c r="B214" s="18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8" t="s">
        <v>265</v>
      </c>
      <c r="B215" s="18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8" t="s">
        <v>266</v>
      </c>
      <c r="B216" s="18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8" t="s">
        <v>268</v>
      </c>
      <c r="B217" s="18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8" t="s">
        <v>269</v>
      </c>
      <c r="B218" s="18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8" t="s">
        <v>270</v>
      </c>
      <c r="B219" s="18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8" t="s">
        <v>271</v>
      </c>
      <c r="B220" s="18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8" t="s">
        <v>272</v>
      </c>
      <c r="B221" s="18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8" t="s">
        <v>273</v>
      </c>
      <c r="B222" s="18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8" t="s">
        <v>274</v>
      </c>
      <c r="B223" s="18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8" t="s">
        <v>854</v>
      </c>
      <c r="B224" s="18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8" t="s">
        <v>276</v>
      </c>
      <c r="B225" s="18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8" t="s">
        <v>277</v>
      </c>
      <c r="B226" s="18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8" t="s">
        <v>278</v>
      </c>
      <c r="B227" s="18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8" t="s">
        <v>279</v>
      </c>
      <c r="B228" s="18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8" t="s">
        <v>281</v>
      </c>
      <c r="B229" s="18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8" t="s">
        <v>282</v>
      </c>
      <c r="B230" s="18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8" t="s">
        <v>283</v>
      </c>
      <c r="B231" s="18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8" t="s">
        <v>284</v>
      </c>
      <c r="B232" s="18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8" t="s">
        <v>285</v>
      </c>
      <c r="B233" s="18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8" t="s">
        <v>286</v>
      </c>
      <c r="B234" s="18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8" t="s">
        <v>287</v>
      </c>
      <c r="B235" s="18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8" t="s">
        <v>288</v>
      </c>
      <c r="B236" s="18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8" t="s">
        <v>290</v>
      </c>
      <c r="B237" s="18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8" t="s">
        <v>291</v>
      </c>
      <c r="B238" s="18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8" t="s">
        <v>292</v>
      </c>
      <c r="B239" s="18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8" t="s">
        <v>293</v>
      </c>
      <c r="B240" s="18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8" t="s">
        <v>294</v>
      </c>
      <c r="B241" s="18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8" t="s">
        <v>295</v>
      </c>
      <c r="B242" s="18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8" t="s">
        <v>296</v>
      </c>
      <c r="B243" s="18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8" t="s">
        <v>298</v>
      </c>
      <c r="B244" s="18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8" t="s">
        <v>299</v>
      </c>
      <c r="B245" s="18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8" t="s">
        <v>300</v>
      </c>
      <c r="B246" s="18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8" t="s">
        <v>302</v>
      </c>
      <c r="B247" s="18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8" t="s">
        <v>303</v>
      </c>
      <c r="B248" s="18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8" t="s">
        <v>304</v>
      </c>
      <c r="B249" s="18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8" t="s">
        <v>306</v>
      </c>
      <c r="B250" s="18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8" t="s">
        <v>307</v>
      </c>
      <c r="B251" s="18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8" t="s">
        <v>308</v>
      </c>
      <c r="B252" s="18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8" t="s">
        <v>309</v>
      </c>
      <c r="B253" s="18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8" t="s">
        <v>310</v>
      </c>
      <c r="B254" s="18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8" t="s">
        <v>311</v>
      </c>
      <c r="B255" s="18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8" t="s">
        <v>312</v>
      </c>
      <c r="B256" s="18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8" t="s">
        <v>313</v>
      </c>
      <c r="B257" s="18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8" t="s">
        <v>314</v>
      </c>
      <c r="B258" s="18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8" t="s">
        <v>315</v>
      </c>
      <c r="B259" s="18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8" t="s">
        <v>316</v>
      </c>
      <c r="B260" s="18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8" t="s">
        <v>317</v>
      </c>
      <c r="B261" s="18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8" t="s">
        <v>318</v>
      </c>
      <c r="B262" s="18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8" t="s">
        <v>319</v>
      </c>
      <c r="B263" s="18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8" t="s">
        <v>320</v>
      </c>
      <c r="B264" s="18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8" t="s">
        <v>321</v>
      </c>
      <c r="B265" s="18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8" t="s">
        <v>322</v>
      </c>
      <c r="B266" s="18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8" t="s">
        <v>324</v>
      </c>
      <c r="B267" s="18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8" t="s">
        <v>894</v>
      </c>
      <c r="B268" s="18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8" t="s">
        <v>326</v>
      </c>
      <c r="B269" s="18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8" t="s">
        <v>327</v>
      </c>
      <c r="B270" s="18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8" t="s">
        <v>328</v>
      </c>
      <c r="B271" s="18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8" t="s">
        <v>329</v>
      </c>
      <c r="B272" s="18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8" t="s">
        <v>330</v>
      </c>
      <c r="B273" s="18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8" t="s">
        <v>331</v>
      </c>
      <c r="B274" s="18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8" t="s">
        <v>332</v>
      </c>
      <c r="B275" s="18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8" t="s">
        <v>333</v>
      </c>
      <c r="B276" s="18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8" t="s">
        <v>334</v>
      </c>
      <c r="B277" s="18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8" t="s">
        <v>335</v>
      </c>
      <c r="B278" s="18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8" t="s">
        <v>337</v>
      </c>
      <c r="B279" s="18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8" t="s">
        <v>867</v>
      </c>
      <c r="B280" s="18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8" t="s">
        <v>868</v>
      </c>
      <c r="B281" s="18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8" t="s">
        <v>869</v>
      </c>
      <c r="B282" s="18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8" t="s">
        <v>338</v>
      </c>
      <c r="B283" s="18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8" t="s">
        <v>339</v>
      </c>
      <c r="B284" s="18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8" t="s">
        <v>340</v>
      </c>
      <c r="B285" s="18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8" t="s">
        <v>341</v>
      </c>
      <c r="B286" s="18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8" t="s">
        <v>342</v>
      </c>
      <c r="B287" s="18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8" t="s">
        <v>343</v>
      </c>
      <c r="B288" s="18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8" t="s">
        <v>344</v>
      </c>
      <c r="B289" s="18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8" t="s">
        <v>345</v>
      </c>
      <c r="B290" s="18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8" t="s">
        <v>346</v>
      </c>
      <c r="B291" s="18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8" t="s">
        <v>347</v>
      </c>
      <c r="B292" s="18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8" t="s">
        <v>348</v>
      </c>
      <c r="B293" s="18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8" t="s">
        <v>349</v>
      </c>
      <c r="B294" s="18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8" t="s">
        <v>350</v>
      </c>
      <c r="B295" s="18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8" t="s">
        <v>351</v>
      </c>
      <c r="B296" s="18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8" t="s">
        <v>352</v>
      </c>
      <c r="B297" s="18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8" t="s">
        <v>353</v>
      </c>
      <c r="B298" s="18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8" t="s">
        <v>354</v>
      </c>
      <c r="B299" s="18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8" t="s">
        <v>355</v>
      </c>
      <c r="B300" s="18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8" t="s">
        <v>356</v>
      </c>
      <c r="B301" s="18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8" t="s">
        <v>357</v>
      </c>
      <c r="B302" s="18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8" t="s">
        <v>358</v>
      </c>
      <c r="B303" s="18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8" t="s">
        <v>359</v>
      </c>
      <c r="B304" s="18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8" t="s">
        <v>361</v>
      </c>
      <c r="B305" s="18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8" t="s">
        <v>362</v>
      </c>
      <c r="B306" s="18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8" t="s">
        <v>363</v>
      </c>
      <c r="B307" s="18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8" t="s">
        <v>364</v>
      </c>
      <c r="B308" s="18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8" t="s">
        <v>365</v>
      </c>
      <c r="B309" s="18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8" t="s">
        <v>366</v>
      </c>
      <c r="B310" s="18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8" t="s">
        <v>943</v>
      </c>
      <c r="B311" s="18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8" t="s">
        <v>368</v>
      </c>
      <c r="B312" s="18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8" t="s">
        <v>369</v>
      </c>
      <c r="B313" s="18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8" t="s">
        <v>370</v>
      </c>
      <c r="B314" s="18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8" t="s">
        <v>371</v>
      </c>
      <c r="B315" s="18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8" t="s">
        <v>372</v>
      </c>
      <c r="B316" s="18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8" t="s">
        <v>373</v>
      </c>
      <c r="B317" s="18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8" t="s">
        <v>374</v>
      </c>
      <c r="B318" s="18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8" t="s">
        <v>375</v>
      </c>
      <c r="B319" s="18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8" t="s">
        <v>376</v>
      </c>
      <c r="B320" s="18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8" t="s">
        <v>377</v>
      </c>
      <c r="B321" s="18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8" t="s">
        <v>378</v>
      </c>
      <c r="B322" s="18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8" t="s">
        <v>379</v>
      </c>
      <c r="B323" s="18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8" t="s">
        <v>380</v>
      </c>
      <c r="B324" s="18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8" t="s">
        <v>790</v>
      </c>
      <c r="B325" s="18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8" t="s">
        <v>381</v>
      </c>
      <c r="B326" s="18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8" t="s">
        <v>382</v>
      </c>
      <c r="B327" s="18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8" t="s">
        <v>384</v>
      </c>
      <c r="B328" s="18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8" t="s">
        <v>386</v>
      </c>
      <c r="B329" s="18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8" t="s">
        <v>387</v>
      </c>
      <c r="B330" s="18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8" t="s">
        <v>388</v>
      </c>
      <c r="B331" s="18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8" t="s">
        <v>389</v>
      </c>
      <c r="B332" s="18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8" t="s">
        <v>390</v>
      </c>
      <c r="B333" s="18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8" t="s">
        <v>392</v>
      </c>
      <c r="B334" s="18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8" t="s">
        <v>393</v>
      </c>
      <c r="B335" s="18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8" t="s">
        <v>394</v>
      </c>
      <c r="B336" s="18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8" t="s">
        <v>395</v>
      </c>
      <c r="B337" s="18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8" t="s">
        <v>396</v>
      </c>
      <c r="B338" s="18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8" t="s">
        <v>398</v>
      </c>
      <c r="B339" s="18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8" t="s">
        <v>399</v>
      </c>
      <c r="B340" s="18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8" t="s">
        <v>400</v>
      </c>
      <c r="B341" s="18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8" t="s">
        <v>402</v>
      </c>
      <c r="B342" s="18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8" t="s">
        <v>403</v>
      </c>
      <c r="B343" s="18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8" t="s">
        <v>895</v>
      </c>
      <c r="B344" s="18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8" t="s">
        <v>896</v>
      </c>
      <c r="B345" s="18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8" t="s">
        <v>404</v>
      </c>
      <c r="B346" s="18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8" t="s">
        <v>405</v>
      </c>
      <c r="B347" s="18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8" t="s">
        <v>406</v>
      </c>
      <c r="B348" s="18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8" t="s">
        <v>407</v>
      </c>
      <c r="B349" s="18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8" t="s">
        <v>855</v>
      </c>
      <c r="B350" s="18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8" t="s">
        <v>856</v>
      </c>
      <c r="B351" s="18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8" t="s">
        <v>1152</v>
      </c>
      <c r="B352" s="18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8" t="s">
        <v>1153</v>
      </c>
      <c r="B353" s="18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8" t="s">
        <v>1154</v>
      </c>
      <c r="B354" s="18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8" t="s">
        <v>408</v>
      </c>
      <c r="B355" s="18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8" t="s">
        <v>944</v>
      </c>
      <c r="B356" s="18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8" t="s">
        <v>945</v>
      </c>
      <c r="B357" s="18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8" t="s">
        <v>410</v>
      </c>
      <c r="B358" s="18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8" t="s">
        <v>411</v>
      </c>
      <c r="B359" s="18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8" t="s">
        <v>1192</v>
      </c>
      <c r="B360" s="18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8" t="s">
        <v>830</v>
      </c>
      <c r="B361" s="18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8" t="s">
        <v>831</v>
      </c>
      <c r="B362" s="18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8" t="s">
        <v>412</v>
      </c>
      <c r="B363" s="18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8" t="s">
        <v>413</v>
      </c>
      <c r="B364" s="18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8" t="s">
        <v>414</v>
      </c>
      <c r="B365" s="18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8" t="s">
        <v>415</v>
      </c>
      <c r="B366" s="18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8" t="s">
        <v>416</v>
      </c>
      <c r="B367" s="18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8" t="s">
        <v>417</v>
      </c>
      <c r="B368" s="18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8" t="s">
        <v>418</v>
      </c>
      <c r="B369" s="18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8" t="s">
        <v>799</v>
      </c>
      <c r="B370" s="18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8" t="s">
        <v>800</v>
      </c>
      <c r="B371" s="18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8" t="s">
        <v>801</v>
      </c>
      <c r="B372" s="18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8" t="s">
        <v>802</v>
      </c>
      <c r="B373" s="18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8" t="s">
        <v>803</v>
      </c>
      <c r="B374" s="18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8" t="s">
        <v>419</v>
      </c>
      <c r="B375" s="18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8" t="s">
        <v>805</v>
      </c>
      <c r="B376" s="18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8" t="s">
        <v>420</v>
      </c>
      <c r="B377" s="18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8" t="s">
        <v>421</v>
      </c>
      <c r="B378" s="18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8" t="s">
        <v>422</v>
      </c>
      <c r="B379" s="18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8" t="s">
        <v>423</v>
      </c>
      <c r="B380" s="18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8" t="s">
        <v>424</v>
      </c>
      <c r="B381" s="18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8" t="s">
        <v>425</v>
      </c>
      <c r="B382" s="18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8" t="s">
        <v>1059</v>
      </c>
      <c r="B383" s="18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8" t="s">
        <v>426</v>
      </c>
      <c r="B384" s="18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8" t="s">
        <v>1060</v>
      </c>
      <c r="B385" s="18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8" t="s">
        <v>1061</v>
      </c>
      <c r="B386" s="18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8" t="s">
        <v>1062</v>
      </c>
      <c r="B387" s="18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8" t="s">
        <v>427</v>
      </c>
      <c r="B388" s="18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8" t="s">
        <v>1080</v>
      </c>
      <c r="B389" s="18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8" t="s">
        <v>428</v>
      </c>
      <c r="B390" s="18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8" t="s">
        <v>430</v>
      </c>
      <c r="B391" s="18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8" t="s">
        <v>431</v>
      </c>
      <c r="B392" s="18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8" t="s">
        <v>432</v>
      </c>
      <c r="B393" s="18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8" t="s">
        <v>433</v>
      </c>
      <c r="B394" s="18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8" t="s">
        <v>434</v>
      </c>
      <c r="B395" s="18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8" t="s">
        <v>435</v>
      </c>
      <c r="B396" s="18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8" t="s">
        <v>436</v>
      </c>
      <c r="B397" s="18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8" t="s">
        <v>437</v>
      </c>
      <c r="B398" s="18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8" t="s">
        <v>438</v>
      </c>
      <c r="B399" s="18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8" t="s">
        <v>439</v>
      </c>
      <c r="B400" s="18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8" t="s">
        <v>440</v>
      </c>
      <c r="B401" s="18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8" t="s">
        <v>441</v>
      </c>
      <c r="B402" s="18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8" t="s">
        <v>442</v>
      </c>
      <c r="B403" s="18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8" t="s">
        <v>443</v>
      </c>
      <c r="B404" s="18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8" t="s">
        <v>444</v>
      </c>
      <c r="B405" s="18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8" t="s">
        <v>445</v>
      </c>
      <c r="B406" s="18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8" t="s">
        <v>446</v>
      </c>
      <c r="B407" s="18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8" t="s">
        <v>447</v>
      </c>
      <c r="B408" s="18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8" t="s">
        <v>448</v>
      </c>
      <c r="B409" s="18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8" t="s">
        <v>449</v>
      </c>
      <c r="B410" s="18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8" t="s">
        <v>450</v>
      </c>
      <c r="B411" s="18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8" t="s">
        <v>451</v>
      </c>
      <c r="B412" s="18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8" t="s">
        <v>453</v>
      </c>
      <c r="B413" s="18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8" t="s">
        <v>454</v>
      </c>
      <c r="B414" s="18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8" t="s">
        <v>455</v>
      </c>
      <c r="B415" s="18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8" t="s">
        <v>791</v>
      </c>
      <c r="B416" s="18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8" t="s">
        <v>456</v>
      </c>
      <c r="B417" s="18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8" t="s">
        <v>457</v>
      </c>
      <c r="B418" s="18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8" t="s">
        <v>458</v>
      </c>
      <c r="B419" s="18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8" t="s">
        <v>459</v>
      </c>
      <c r="B420" s="18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8" t="s">
        <v>460</v>
      </c>
      <c r="B421" s="18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8" t="s">
        <v>461</v>
      </c>
      <c r="B422" s="18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8" t="s">
        <v>462</v>
      </c>
      <c r="B423" s="18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8" t="s">
        <v>463</v>
      </c>
      <c r="B424" s="18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8" t="s">
        <v>464</v>
      </c>
      <c r="B425" s="18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8" t="s">
        <v>465</v>
      </c>
      <c r="B426" s="18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8" t="s">
        <v>466</v>
      </c>
      <c r="B427" s="18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8" t="s">
        <v>468</v>
      </c>
      <c r="B428" s="18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8" t="s">
        <v>470</v>
      </c>
      <c r="B429" s="18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8" t="s">
        <v>471</v>
      </c>
      <c r="B430" s="18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8" t="s">
        <v>472</v>
      </c>
      <c r="B431" s="18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8" t="s">
        <v>473</v>
      </c>
      <c r="B432" s="18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8" t="s">
        <v>474</v>
      </c>
      <c r="B433" s="18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8" t="s">
        <v>475</v>
      </c>
      <c r="B434" s="18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8" t="s">
        <v>476</v>
      </c>
      <c r="B435" s="18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8" t="s">
        <v>478</v>
      </c>
      <c r="B436" s="18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8" t="s">
        <v>479</v>
      </c>
      <c r="B437" s="18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8" t="s">
        <v>480</v>
      </c>
      <c r="B438" s="18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8" t="s">
        <v>481</v>
      </c>
      <c r="B439" s="18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8" t="s">
        <v>1193</v>
      </c>
      <c r="B440" s="18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8" t="s">
        <v>482</v>
      </c>
      <c r="B441" s="18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8" t="s">
        <v>483</v>
      </c>
      <c r="B442" s="18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8" t="s">
        <v>946</v>
      </c>
      <c r="B443" s="18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8" t="s">
        <v>484</v>
      </c>
      <c r="B444" s="18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8" t="s">
        <v>485</v>
      </c>
      <c r="B445" s="18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8" t="s">
        <v>486</v>
      </c>
      <c r="B446" s="18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8" t="s">
        <v>487</v>
      </c>
      <c r="B447" s="18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8" t="s">
        <v>488</v>
      </c>
      <c r="B448" s="18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8" t="s">
        <v>489</v>
      </c>
      <c r="B449" s="18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8" t="s">
        <v>490</v>
      </c>
      <c r="B450" s="18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8" t="s">
        <v>491</v>
      </c>
      <c r="B451" s="18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8" t="s">
        <v>492</v>
      </c>
      <c r="B452" s="18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8" t="s">
        <v>493</v>
      </c>
      <c r="B453" s="18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8" t="s">
        <v>494</v>
      </c>
      <c r="B454" s="18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8" t="s">
        <v>495</v>
      </c>
      <c r="B455" s="18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8" t="s">
        <v>496</v>
      </c>
      <c r="B456" s="18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8" t="s">
        <v>1081</v>
      </c>
      <c r="B457" s="18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8" t="s">
        <v>1206</v>
      </c>
      <c r="B458" s="18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8" t="s">
        <v>897</v>
      </c>
      <c r="B459" s="18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8" t="s">
        <v>497</v>
      </c>
      <c r="B460" s="18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8" t="s">
        <v>498</v>
      </c>
      <c r="B461" s="18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8" t="s">
        <v>499</v>
      </c>
      <c r="B462" s="18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8" t="s">
        <v>500</v>
      </c>
      <c r="B463" s="18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8" t="s">
        <v>792</v>
      </c>
      <c r="B464" s="18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8" t="s">
        <v>501</v>
      </c>
      <c r="B465" s="18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8" t="s">
        <v>502</v>
      </c>
      <c r="B466" s="18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8" t="s">
        <v>503</v>
      </c>
      <c r="B467" s="18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8" t="s">
        <v>505</v>
      </c>
      <c r="B468" s="18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8" t="s">
        <v>506</v>
      </c>
      <c r="B469" s="18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8" t="s">
        <v>508</v>
      </c>
      <c r="B470" s="18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8" t="s">
        <v>509</v>
      </c>
      <c r="B471" s="18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8" t="s">
        <v>510</v>
      </c>
      <c r="B472" s="18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8" t="s">
        <v>511</v>
      </c>
      <c r="B473" s="18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8" t="s">
        <v>512</v>
      </c>
      <c r="B474" s="18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8" t="s">
        <v>513</v>
      </c>
      <c r="B475" s="18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8" t="s">
        <v>514</v>
      </c>
      <c r="B476" s="18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8" t="s">
        <v>515</v>
      </c>
      <c r="B477" s="18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8" t="s">
        <v>516</v>
      </c>
      <c r="B478" s="18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8" t="s">
        <v>518</v>
      </c>
      <c r="B479" s="18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8" t="s">
        <v>519</v>
      </c>
      <c r="B480" s="18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8" t="s">
        <v>520</v>
      </c>
      <c r="B481" s="18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8" t="s">
        <v>521</v>
      </c>
      <c r="B482" s="18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8" t="s">
        <v>523</v>
      </c>
      <c r="B483" s="18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8" t="s">
        <v>524</v>
      </c>
      <c r="B484" s="18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8" t="s">
        <v>525</v>
      </c>
      <c r="B485" s="18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8" t="s">
        <v>527</v>
      </c>
      <c r="B486" s="18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8" t="s">
        <v>528</v>
      </c>
      <c r="B487" s="18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8" t="s">
        <v>832</v>
      </c>
      <c r="B488" s="18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8" t="s">
        <v>529</v>
      </c>
      <c r="B489" s="18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8" t="s">
        <v>530</v>
      </c>
      <c r="B490" s="18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8" t="s">
        <v>531</v>
      </c>
      <c r="B491" s="18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8" t="s">
        <v>532</v>
      </c>
      <c r="B492" s="18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8" t="s">
        <v>533</v>
      </c>
      <c r="B493" s="18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8" t="s">
        <v>534</v>
      </c>
      <c r="B494" s="18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8" t="s">
        <v>535</v>
      </c>
      <c r="B495" s="18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8" t="s">
        <v>1155</v>
      </c>
      <c r="B496" s="18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8" t="s">
        <v>537</v>
      </c>
      <c r="B497" s="18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8" t="s">
        <v>538</v>
      </c>
      <c r="B498" s="18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8" t="s">
        <v>539</v>
      </c>
      <c r="B499" s="18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8" t="s">
        <v>540</v>
      </c>
      <c r="B500" s="18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8" t="s">
        <v>541</v>
      </c>
      <c r="B501" s="18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8" t="s">
        <v>542</v>
      </c>
      <c r="B502" s="18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8" t="s">
        <v>1362</v>
      </c>
      <c r="B503" s="18" t="s">
        <v>10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11</v>
      </c>
      <c r="I503">
        <v>23</v>
      </c>
    </row>
    <row r="504" spans="1:9" x14ac:dyDescent="0.2">
      <c r="A504" s="18" t="s">
        <v>543</v>
      </c>
      <c r="B504" s="18" t="s">
        <v>10</v>
      </c>
      <c r="C504" s="2">
        <v>46084.342814722222</v>
      </c>
      <c r="D504">
        <v>432</v>
      </c>
      <c r="E504" s="7" t="s">
        <v>34</v>
      </c>
      <c r="F504" s="2">
        <v>46084.009481388886</v>
      </c>
      <c r="G504" s="3">
        <v>46084</v>
      </c>
      <c r="H504" t="s">
        <v>28</v>
      </c>
      <c r="I504">
        <v>0</v>
      </c>
    </row>
    <row r="505" spans="1:9" x14ac:dyDescent="0.2">
      <c r="A505" s="18" t="s">
        <v>544</v>
      </c>
      <c r="B505" s="18" t="s">
        <v>10</v>
      </c>
      <c r="C505" s="2">
        <v>46084.413972824077</v>
      </c>
      <c r="D505">
        <v>432</v>
      </c>
      <c r="E505" s="7" t="s">
        <v>31</v>
      </c>
      <c r="F505" s="2">
        <v>46084.080639490741</v>
      </c>
      <c r="G505" s="3">
        <v>46084</v>
      </c>
      <c r="H505" t="s">
        <v>28</v>
      </c>
      <c r="I505">
        <v>1</v>
      </c>
    </row>
    <row r="506" spans="1:9" x14ac:dyDescent="0.2">
      <c r="A506" s="18" t="s">
        <v>545</v>
      </c>
      <c r="B506" s="18" t="s">
        <v>10</v>
      </c>
      <c r="C506" s="2">
        <v>46084.473117893518</v>
      </c>
      <c r="D506">
        <v>471</v>
      </c>
      <c r="E506" s="7" t="s">
        <v>536</v>
      </c>
      <c r="F506" s="2">
        <v>46084.139784560182</v>
      </c>
      <c r="G506" s="3">
        <v>46084</v>
      </c>
      <c r="H506" t="s">
        <v>28</v>
      </c>
      <c r="I506">
        <v>3</v>
      </c>
    </row>
    <row r="507" spans="1:9" x14ac:dyDescent="0.2">
      <c r="A507" s="18" t="s">
        <v>546</v>
      </c>
      <c r="B507" s="18" t="s">
        <v>10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28</v>
      </c>
      <c r="I507">
        <v>3</v>
      </c>
    </row>
    <row r="508" spans="1:9" x14ac:dyDescent="0.2">
      <c r="A508" s="18" t="s">
        <v>898</v>
      </c>
      <c r="B508" s="18" t="s">
        <v>10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28</v>
      </c>
      <c r="I508">
        <v>3</v>
      </c>
    </row>
    <row r="509" spans="1:9" x14ac:dyDescent="0.2">
      <c r="A509" s="18" t="s">
        <v>547</v>
      </c>
      <c r="B509" s="18" t="s">
        <v>10</v>
      </c>
      <c r="C509" s="2">
        <v>46084.512245625003</v>
      </c>
      <c r="D509">
        <v>432</v>
      </c>
      <c r="E509" s="7" t="s">
        <v>34</v>
      </c>
      <c r="F509" s="2">
        <v>46084.178912291667</v>
      </c>
      <c r="G509" s="3">
        <v>46084</v>
      </c>
      <c r="H509" t="s">
        <v>28</v>
      </c>
      <c r="I509">
        <v>4</v>
      </c>
    </row>
    <row r="510" spans="1:9" x14ac:dyDescent="0.2">
      <c r="A510" s="18" t="s">
        <v>548</v>
      </c>
      <c r="B510" s="18" t="s">
        <v>10</v>
      </c>
      <c r="C510" s="2">
        <v>46084.548051377315</v>
      </c>
      <c r="D510">
        <v>36</v>
      </c>
      <c r="F510" s="2">
        <v>46084.214718043979</v>
      </c>
      <c r="G510" s="3">
        <v>46084</v>
      </c>
      <c r="H510" t="s">
        <v>28</v>
      </c>
      <c r="I510">
        <v>5</v>
      </c>
    </row>
    <row r="511" spans="1:9" x14ac:dyDescent="0.2">
      <c r="A511" s="18" t="s">
        <v>947</v>
      </c>
      <c r="B511" s="18" t="s">
        <v>10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28</v>
      </c>
      <c r="I511">
        <v>5</v>
      </c>
    </row>
    <row r="512" spans="1:9" x14ac:dyDescent="0.2">
      <c r="A512" s="18" t="s">
        <v>549</v>
      </c>
      <c r="B512" s="18" t="s">
        <v>10</v>
      </c>
      <c r="C512" s="2">
        <v>46084.61635275463</v>
      </c>
      <c r="D512">
        <v>3</v>
      </c>
      <c r="E512" s="7" t="s">
        <v>34</v>
      </c>
      <c r="F512" s="2">
        <v>46084.283019421295</v>
      </c>
      <c r="G512" s="3">
        <v>46084</v>
      </c>
      <c r="H512" t="s">
        <v>28</v>
      </c>
      <c r="I512">
        <v>6</v>
      </c>
    </row>
    <row r="513" spans="1:9" x14ac:dyDescent="0.2">
      <c r="A513" s="18" t="s">
        <v>550</v>
      </c>
      <c r="B513" s="18" t="s">
        <v>10</v>
      </c>
      <c r="C513" s="2">
        <v>46084.623468680555</v>
      </c>
      <c r="D513">
        <v>35</v>
      </c>
      <c r="E513" s="7" t="s">
        <v>551</v>
      </c>
      <c r="F513" s="2">
        <v>46084.290135347219</v>
      </c>
      <c r="G513" s="3">
        <v>46084</v>
      </c>
      <c r="H513" t="s">
        <v>28</v>
      </c>
      <c r="I513">
        <v>6</v>
      </c>
    </row>
    <row r="514" spans="1:9" x14ac:dyDescent="0.2">
      <c r="A514" s="18" t="s">
        <v>552</v>
      </c>
      <c r="B514" s="18" t="s">
        <v>10</v>
      </c>
      <c r="C514" s="2">
        <v>46084.624403877315</v>
      </c>
      <c r="D514">
        <v>35</v>
      </c>
      <c r="E514" s="7" t="s">
        <v>553</v>
      </c>
      <c r="F514" s="2">
        <v>46084.291070543979</v>
      </c>
      <c r="G514" s="3">
        <v>46084</v>
      </c>
      <c r="H514" t="s">
        <v>28</v>
      </c>
      <c r="I514">
        <v>6</v>
      </c>
    </row>
    <row r="515" spans="1:9" x14ac:dyDescent="0.2">
      <c r="A515" s="18" t="s">
        <v>554</v>
      </c>
      <c r="B515" s="18" t="s">
        <v>10</v>
      </c>
      <c r="C515" s="2">
        <v>46084.624748877315</v>
      </c>
      <c r="D515">
        <v>16</v>
      </c>
      <c r="F515" s="2">
        <v>46084.291415543979</v>
      </c>
      <c r="G515" s="3">
        <v>46084</v>
      </c>
      <c r="H515" t="s">
        <v>28</v>
      </c>
      <c r="I515">
        <v>6</v>
      </c>
    </row>
    <row r="516" spans="1:9" x14ac:dyDescent="0.2">
      <c r="A516" s="18" t="s">
        <v>555</v>
      </c>
      <c r="B516" s="18" t="s">
        <v>10</v>
      </c>
      <c r="C516" s="2">
        <v>46084.625270358796</v>
      </c>
      <c r="D516">
        <v>471</v>
      </c>
      <c r="E516" s="7" t="s">
        <v>536</v>
      </c>
      <c r="F516" s="2">
        <v>46084.29193702546</v>
      </c>
      <c r="G516" s="3">
        <v>46084</v>
      </c>
      <c r="H516" t="s">
        <v>28</v>
      </c>
      <c r="I516">
        <v>7</v>
      </c>
    </row>
    <row r="517" spans="1:9" x14ac:dyDescent="0.2">
      <c r="A517" s="18" t="s">
        <v>556</v>
      </c>
      <c r="B517" s="18" t="s">
        <v>10</v>
      </c>
      <c r="C517" s="2">
        <v>46084.626833310183</v>
      </c>
      <c r="D517">
        <v>16</v>
      </c>
      <c r="F517" s="2">
        <v>46084.293499976855</v>
      </c>
      <c r="G517" s="3">
        <v>46084</v>
      </c>
      <c r="H517" t="s">
        <v>28</v>
      </c>
      <c r="I517">
        <v>7</v>
      </c>
    </row>
    <row r="518" spans="1:9" x14ac:dyDescent="0.2">
      <c r="A518" s="18" t="s">
        <v>557</v>
      </c>
      <c r="B518" s="18" t="s">
        <v>10</v>
      </c>
      <c r="C518" s="2">
        <v>46084.641122824076</v>
      </c>
      <c r="D518">
        <v>471</v>
      </c>
      <c r="E518" s="7" t="s">
        <v>34</v>
      </c>
      <c r="F518" s="2">
        <v>46084.30778949074</v>
      </c>
      <c r="G518" s="3">
        <v>46084</v>
      </c>
      <c r="H518" t="s">
        <v>28</v>
      </c>
      <c r="I518">
        <v>7</v>
      </c>
    </row>
    <row r="519" spans="1:9" x14ac:dyDescent="0.2">
      <c r="A519" s="18" t="s">
        <v>558</v>
      </c>
      <c r="B519" s="18" t="s">
        <v>10</v>
      </c>
      <c r="C519" s="2">
        <v>46084.686362569446</v>
      </c>
      <c r="D519">
        <v>1</v>
      </c>
      <c r="F519" s="2">
        <v>46084.35302923611</v>
      </c>
      <c r="G519" s="3">
        <v>46084</v>
      </c>
      <c r="H519" t="s">
        <v>28</v>
      </c>
      <c r="I519">
        <v>8</v>
      </c>
    </row>
    <row r="520" spans="1:9" x14ac:dyDescent="0.2">
      <c r="A520" s="18" t="s">
        <v>559</v>
      </c>
      <c r="B520" s="18" t="s">
        <v>10</v>
      </c>
      <c r="C520" s="2">
        <v>46084.696196898149</v>
      </c>
      <c r="D520">
        <v>1</v>
      </c>
      <c r="E520" s="7" t="s">
        <v>135</v>
      </c>
      <c r="F520" s="2">
        <v>46084.362863564813</v>
      </c>
      <c r="G520" s="3">
        <v>46084</v>
      </c>
      <c r="H520" t="s">
        <v>28</v>
      </c>
      <c r="I520">
        <v>8</v>
      </c>
    </row>
    <row r="521" spans="1:9" x14ac:dyDescent="0.2">
      <c r="A521" s="18" t="s">
        <v>560</v>
      </c>
      <c r="B521" s="18" t="s">
        <v>10</v>
      </c>
      <c r="C521" s="2">
        <v>46084.779296157409</v>
      </c>
      <c r="D521">
        <v>432</v>
      </c>
      <c r="E521" s="7" t="s">
        <v>561</v>
      </c>
      <c r="F521" s="2">
        <v>46084.445962824073</v>
      </c>
      <c r="G521" s="3">
        <v>46084</v>
      </c>
      <c r="H521" t="s">
        <v>28</v>
      </c>
      <c r="I521">
        <v>10</v>
      </c>
    </row>
    <row r="522" spans="1:9" x14ac:dyDescent="0.2">
      <c r="A522" s="18" t="s">
        <v>562</v>
      </c>
      <c r="B522" s="18" t="s">
        <v>10</v>
      </c>
      <c r="C522" s="2">
        <v>46084.879033217592</v>
      </c>
      <c r="D522">
        <v>3</v>
      </c>
      <c r="E522" s="7" t="s">
        <v>536</v>
      </c>
      <c r="F522" s="2">
        <v>46084.545699884256</v>
      </c>
      <c r="G522" s="3">
        <v>46084</v>
      </c>
      <c r="H522" t="s">
        <v>28</v>
      </c>
      <c r="I522">
        <v>13</v>
      </c>
    </row>
    <row r="523" spans="1:9" x14ac:dyDescent="0.2">
      <c r="A523" s="18" t="s">
        <v>563</v>
      </c>
      <c r="B523" s="18" t="s">
        <v>10</v>
      </c>
      <c r="C523" s="2">
        <v>46085.313992627314</v>
      </c>
      <c r="D523">
        <v>432</v>
      </c>
      <c r="F523" s="2">
        <v>46084.980659293979</v>
      </c>
      <c r="G523" s="3">
        <v>46084</v>
      </c>
      <c r="H523" t="s">
        <v>28</v>
      </c>
      <c r="I523">
        <v>23</v>
      </c>
    </row>
    <row r="524" spans="1:9" x14ac:dyDescent="0.2">
      <c r="A524" s="18" t="s">
        <v>564</v>
      </c>
      <c r="B524" s="18" t="s">
        <v>10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63</v>
      </c>
      <c r="I524">
        <v>0</v>
      </c>
    </row>
    <row r="525" spans="1:9" x14ac:dyDescent="0.2">
      <c r="A525" s="18" t="s">
        <v>565</v>
      </c>
      <c r="B525" s="18" t="s">
        <v>10</v>
      </c>
      <c r="C525" s="2">
        <v>46085.394234224535</v>
      </c>
      <c r="D525">
        <v>471</v>
      </c>
      <c r="E525" s="7" t="s">
        <v>566</v>
      </c>
      <c r="F525" s="2">
        <v>46085.060900891207</v>
      </c>
      <c r="G525" s="3">
        <v>46085</v>
      </c>
      <c r="H525" t="s">
        <v>63</v>
      </c>
      <c r="I525">
        <v>1</v>
      </c>
    </row>
    <row r="526" spans="1:9" x14ac:dyDescent="0.2">
      <c r="A526" s="18" t="s">
        <v>1207</v>
      </c>
      <c r="B526" s="18" t="s">
        <v>10</v>
      </c>
      <c r="C526" s="2">
        <v>46085.4029031713</v>
      </c>
      <c r="D526">
        <v>471</v>
      </c>
      <c r="E526" s="7" t="s">
        <v>566</v>
      </c>
      <c r="F526" s="2">
        <v>46085.069569837964</v>
      </c>
      <c r="G526" s="3">
        <v>46085</v>
      </c>
      <c r="H526" t="s">
        <v>63</v>
      </c>
      <c r="I526">
        <v>1</v>
      </c>
    </row>
    <row r="527" spans="1:9" x14ac:dyDescent="0.2">
      <c r="A527" s="18" t="s">
        <v>567</v>
      </c>
      <c r="B527" s="18" t="s">
        <v>10</v>
      </c>
      <c r="C527" s="2">
        <v>46085.428373668983</v>
      </c>
      <c r="D527">
        <v>471</v>
      </c>
      <c r="E527" s="7" t="s">
        <v>566</v>
      </c>
      <c r="F527" s="2">
        <v>46085.095040335647</v>
      </c>
      <c r="G527" s="3">
        <v>46085</v>
      </c>
      <c r="H527" t="s">
        <v>63</v>
      </c>
      <c r="I527">
        <v>2</v>
      </c>
    </row>
    <row r="528" spans="1:9" x14ac:dyDescent="0.2">
      <c r="A528" s="18" t="s">
        <v>833</v>
      </c>
      <c r="B528" s="18" t="s">
        <v>10</v>
      </c>
      <c r="C528" s="2">
        <v>46085.457657407409</v>
      </c>
      <c r="D528">
        <v>471</v>
      </c>
      <c r="E528" s="7" t="s">
        <v>566</v>
      </c>
      <c r="F528" s="2">
        <v>46085.124324074073</v>
      </c>
      <c r="G528" s="3">
        <v>46085</v>
      </c>
      <c r="H528" t="s">
        <v>63</v>
      </c>
      <c r="I528">
        <v>2</v>
      </c>
    </row>
    <row r="529" spans="1:9" x14ac:dyDescent="0.2">
      <c r="A529" s="18" t="s">
        <v>568</v>
      </c>
      <c r="B529" s="18" t="s">
        <v>10</v>
      </c>
      <c r="C529" s="2">
        <v>46085.459347881944</v>
      </c>
      <c r="D529">
        <v>432</v>
      </c>
      <c r="E529" s="7" t="s">
        <v>34</v>
      </c>
      <c r="F529" s="2">
        <v>46085.126014548609</v>
      </c>
      <c r="G529" s="3">
        <v>46085</v>
      </c>
      <c r="H529" t="s">
        <v>63</v>
      </c>
      <c r="I529">
        <v>3</v>
      </c>
    </row>
    <row r="530" spans="1:9" x14ac:dyDescent="0.2">
      <c r="A530" s="18" t="s">
        <v>569</v>
      </c>
      <c r="B530" s="18" t="s">
        <v>10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63</v>
      </c>
      <c r="I530">
        <v>4</v>
      </c>
    </row>
    <row r="531" spans="1:9" x14ac:dyDescent="0.2">
      <c r="A531" s="18" t="s">
        <v>570</v>
      </c>
      <c r="B531" s="18" t="s">
        <v>10</v>
      </c>
      <c r="C531" s="2">
        <v>46085.530602685183</v>
      </c>
      <c r="D531">
        <v>432</v>
      </c>
      <c r="E531" s="7" t="s">
        <v>34</v>
      </c>
      <c r="F531" s="2">
        <v>46085.197269351855</v>
      </c>
      <c r="G531" s="3">
        <v>46085</v>
      </c>
      <c r="H531" t="s">
        <v>63</v>
      </c>
      <c r="I531">
        <v>4</v>
      </c>
    </row>
    <row r="532" spans="1:9" x14ac:dyDescent="0.2">
      <c r="A532" s="18" t="s">
        <v>1300</v>
      </c>
      <c r="B532" s="18" t="s">
        <v>10</v>
      </c>
      <c r="C532" s="2">
        <v>46085.531226099534</v>
      </c>
      <c r="D532">
        <v>3</v>
      </c>
      <c r="F532" s="2">
        <v>46085.197892766206</v>
      </c>
      <c r="G532" s="3">
        <v>46085</v>
      </c>
      <c r="H532" t="s">
        <v>63</v>
      </c>
      <c r="I532">
        <v>4</v>
      </c>
    </row>
    <row r="533" spans="1:9" x14ac:dyDescent="0.2">
      <c r="A533" s="18" t="s">
        <v>571</v>
      </c>
      <c r="B533" s="18" t="s">
        <v>10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63</v>
      </c>
      <c r="I533">
        <v>5</v>
      </c>
    </row>
    <row r="534" spans="1:9" x14ac:dyDescent="0.2">
      <c r="A534" s="18" t="s">
        <v>572</v>
      </c>
      <c r="B534" s="18" t="s">
        <v>10</v>
      </c>
      <c r="C534" s="2">
        <v>46085.579761064815</v>
      </c>
      <c r="D534">
        <v>3</v>
      </c>
      <c r="E534" s="7" t="s">
        <v>34</v>
      </c>
      <c r="F534" s="2">
        <v>46085.246427731479</v>
      </c>
      <c r="G534" s="3">
        <v>46085</v>
      </c>
      <c r="H534" t="s">
        <v>63</v>
      </c>
      <c r="I534">
        <v>5</v>
      </c>
    </row>
    <row r="535" spans="1:9" x14ac:dyDescent="0.2">
      <c r="A535" s="18" t="s">
        <v>573</v>
      </c>
      <c r="B535" s="18" t="s">
        <v>10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63</v>
      </c>
      <c r="I535">
        <v>6</v>
      </c>
    </row>
    <row r="536" spans="1:9" x14ac:dyDescent="0.2">
      <c r="A536" s="18" t="s">
        <v>574</v>
      </c>
      <c r="B536" s="18" t="s">
        <v>10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63</v>
      </c>
      <c r="I536">
        <v>8</v>
      </c>
    </row>
    <row r="537" spans="1:9" x14ac:dyDescent="0.2">
      <c r="A537" s="18" t="s">
        <v>575</v>
      </c>
      <c r="B537" s="18" t="s">
        <v>10</v>
      </c>
      <c r="C537" s="2">
        <v>46085.8101469213</v>
      </c>
      <c r="D537">
        <v>432</v>
      </c>
      <c r="F537" s="2">
        <v>46085.476813587964</v>
      </c>
      <c r="G537" s="3">
        <v>46085</v>
      </c>
      <c r="H537" t="s">
        <v>63</v>
      </c>
      <c r="I537">
        <v>11</v>
      </c>
    </row>
    <row r="538" spans="1:9" x14ac:dyDescent="0.2">
      <c r="A538" s="18" t="s">
        <v>576</v>
      </c>
      <c r="B538" s="18" t="s">
        <v>10</v>
      </c>
      <c r="C538" s="2">
        <v>46086.205474131944</v>
      </c>
      <c r="D538">
        <v>2</v>
      </c>
      <c r="F538" s="2">
        <v>46085.872140798609</v>
      </c>
      <c r="G538" s="3">
        <v>46085</v>
      </c>
      <c r="H538" t="s">
        <v>63</v>
      </c>
      <c r="I538">
        <v>20</v>
      </c>
    </row>
    <row r="539" spans="1:9" x14ac:dyDescent="0.2">
      <c r="A539" s="18" t="s">
        <v>577</v>
      </c>
      <c r="B539" s="18" t="s">
        <v>10</v>
      </c>
      <c r="C539" s="2">
        <v>46086.213184583336</v>
      </c>
      <c r="D539">
        <v>1</v>
      </c>
      <c r="E539" s="7" t="s">
        <v>578</v>
      </c>
      <c r="F539" s="2">
        <v>46085.87985125</v>
      </c>
      <c r="G539" s="3">
        <v>46085</v>
      </c>
      <c r="H539" t="s">
        <v>63</v>
      </c>
      <c r="I539">
        <v>21</v>
      </c>
    </row>
    <row r="540" spans="1:9" x14ac:dyDescent="0.2">
      <c r="A540" s="18" t="s">
        <v>579</v>
      </c>
      <c r="B540" s="18" t="s">
        <v>10</v>
      </c>
      <c r="C540" s="2">
        <v>46086.351046759257</v>
      </c>
      <c r="D540">
        <v>432</v>
      </c>
      <c r="E540" s="7" t="s">
        <v>34</v>
      </c>
      <c r="F540" s="2">
        <v>46086.017713425928</v>
      </c>
      <c r="G540" s="3">
        <v>46086</v>
      </c>
      <c r="H540" t="s">
        <v>95</v>
      </c>
      <c r="I540">
        <v>0</v>
      </c>
    </row>
    <row r="541" spans="1:9" x14ac:dyDescent="0.2">
      <c r="A541" s="18" t="s">
        <v>580</v>
      </c>
      <c r="B541" s="18" t="s">
        <v>10</v>
      </c>
      <c r="C541" s="2">
        <v>46086.354359872683</v>
      </c>
      <c r="D541">
        <v>3</v>
      </c>
      <c r="F541" s="2">
        <v>46086.021026539354</v>
      </c>
      <c r="G541" s="3">
        <v>46086</v>
      </c>
      <c r="H541" t="s">
        <v>95</v>
      </c>
      <c r="I541">
        <v>0</v>
      </c>
    </row>
    <row r="542" spans="1:9" x14ac:dyDescent="0.2">
      <c r="A542" s="18" t="s">
        <v>581</v>
      </c>
      <c r="B542" s="18" t="s">
        <v>10</v>
      </c>
      <c r="C542" s="2">
        <v>46086.358967708336</v>
      </c>
      <c r="D542">
        <v>471</v>
      </c>
      <c r="E542" s="7" t="s">
        <v>582</v>
      </c>
      <c r="F542" s="2">
        <v>46086.025634375001</v>
      </c>
      <c r="G542" s="3">
        <v>46086</v>
      </c>
      <c r="H542" t="s">
        <v>95</v>
      </c>
      <c r="I542">
        <v>0</v>
      </c>
    </row>
    <row r="543" spans="1:9" x14ac:dyDescent="0.2">
      <c r="A543" s="18" t="s">
        <v>583</v>
      </c>
      <c r="B543" s="18" t="s">
        <v>10</v>
      </c>
      <c r="C543" s="2">
        <v>46086.408274074071</v>
      </c>
      <c r="D543">
        <v>2</v>
      </c>
      <c r="E543" s="7" t="s">
        <v>584</v>
      </c>
      <c r="F543" s="2">
        <v>46086.074940740742</v>
      </c>
      <c r="G543" s="3">
        <v>46086</v>
      </c>
      <c r="H543" t="s">
        <v>95</v>
      </c>
      <c r="I543">
        <v>1</v>
      </c>
    </row>
    <row r="544" spans="1:9" x14ac:dyDescent="0.2">
      <c r="A544" s="18" t="s">
        <v>585</v>
      </c>
      <c r="B544" s="18" t="s">
        <v>10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95</v>
      </c>
      <c r="I544">
        <v>2</v>
      </c>
    </row>
    <row r="545" spans="1:9" x14ac:dyDescent="0.2">
      <c r="A545" s="18" t="s">
        <v>586</v>
      </c>
      <c r="B545" s="18" t="s">
        <v>10</v>
      </c>
      <c r="C545" s="2">
        <v>46086.466305509261</v>
      </c>
      <c r="D545">
        <v>532</v>
      </c>
      <c r="F545" s="2">
        <v>46086.132972175925</v>
      </c>
      <c r="G545" s="3">
        <v>46086</v>
      </c>
      <c r="H545" t="s">
        <v>95</v>
      </c>
      <c r="I545">
        <v>3</v>
      </c>
    </row>
    <row r="546" spans="1:9" x14ac:dyDescent="0.2">
      <c r="A546" s="18" t="s">
        <v>587</v>
      </c>
      <c r="B546" s="18" t="s">
        <v>10</v>
      </c>
      <c r="C546" s="2">
        <v>46086.471331261571</v>
      </c>
      <c r="D546">
        <v>576</v>
      </c>
      <c r="E546" s="7" t="s">
        <v>582</v>
      </c>
      <c r="F546" s="2">
        <v>46086.137997928243</v>
      </c>
      <c r="G546" s="3">
        <v>46086</v>
      </c>
      <c r="H546" t="s">
        <v>95</v>
      </c>
      <c r="I546">
        <v>3</v>
      </c>
    </row>
    <row r="547" spans="1:9" x14ac:dyDescent="0.2">
      <c r="A547" s="18" t="s">
        <v>588</v>
      </c>
      <c r="B547" s="18" t="s">
        <v>10</v>
      </c>
      <c r="C547" s="2">
        <v>46086.479474513886</v>
      </c>
      <c r="D547">
        <v>432</v>
      </c>
      <c r="E547" s="7" t="s">
        <v>34</v>
      </c>
      <c r="F547" s="2">
        <v>46086.146141180558</v>
      </c>
      <c r="G547" s="3">
        <v>46086</v>
      </c>
      <c r="H547" t="s">
        <v>95</v>
      </c>
      <c r="I547">
        <v>3</v>
      </c>
    </row>
    <row r="548" spans="1:9" x14ac:dyDescent="0.2">
      <c r="A548" s="18" t="s">
        <v>793</v>
      </c>
      <c r="B548" s="18" t="s">
        <v>10</v>
      </c>
      <c r="C548" s="2">
        <v>46086.494396747687</v>
      </c>
      <c r="D548">
        <v>576</v>
      </c>
      <c r="E548" s="7" t="s">
        <v>582</v>
      </c>
      <c r="F548" s="2">
        <v>46086.161063414351</v>
      </c>
      <c r="G548" s="3">
        <v>46086</v>
      </c>
      <c r="H548" t="s">
        <v>95</v>
      </c>
      <c r="I548">
        <v>3</v>
      </c>
    </row>
    <row r="549" spans="1:9" x14ac:dyDescent="0.2">
      <c r="A549" s="18" t="s">
        <v>589</v>
      </c>
      <c r="B549" s="18" t="s">
        <v>10</v>
      </c>
      <c r="C549" s="2">
        <v>46086.497148807874</v>
      </c>
      <c r="D549">
        <v>3</v>
      </c>
      <c r="E549" s="7" t="s">
        <v>590</v>
      </c>
      <c r="F549" s="2">
        <v>46086.163815474538</v>
      </c>
      <c r="G549" s="3">
        <v>46086</v>
      </c>
      <c r="H549" t="s">
        <v>95</v>
      </c>
      <c r="I549">
        <v>3</v>
      </c>
    </row>
    <row r="550" spans="1:9" x14ac:dyDescent="0.2">
      <c r="A550" s="18" t="s">
        <v>591</v>
      </c>
      <c r="B550" s="18" t="s">
        <v>10</v>
      </c>
      <c r="C550" s="2">
        <v>46086.520829363428</v>
      </c>
      <c r="D550">
        <v>432</v>
      </c>
      <c r="E550" s="7" t="s">
        <v>34</v>
      </c>
      <c r="F550" s="2">
        <v>46086.187496030092</v>
      </c>
      <c r="G550" s="3">
        <v>46086</v>
      </c>
      <c r="H550" t="s">
        <v>95</v>
      </c>
      <c r="I550">
        <v>4</v>
      </c>
    </row>
    <row r="551" spans="1:9" x14ac:dyDescent="0.2">
      <c r="A551" s="18" t="s">
        <v>592</v>
      </c>
      <c r="B551" s="18" t="s">
        <v>10</v>
      </c>
      <c r="C551" s="2">
        <v>46086.540283078706</v>
      </c>
      <c r="D551">
        <v>532</v>
      </c>
      <c r="E551" s="7" t="s">
        <v>590</v>
      </c>
      <c r="F551" s="2">
        <v>46086.20694974537</v>
      </c>
      <c r="G551" s="3">
        <v>46086</v>
      </c>
      <c r="H551" t="s">
        <v>95</v>
      </c>
      <c r="I551">
        <v>4</v>
      </c>
    </row>
    <row r="552" spans="1:9" x14ac:dyDescent="0.2">
      <c r="A552" s="18" t="s">
        <v>593</v>
      </c>
      <c r="B552" s="18" t="s">
        <v>10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95</v>
      </c>
      <c r="I552">
        <v>5</v>
      </c>
    </row>
    <row r="553" spans="1:9" x14ac:dyDescent="0.2">
      <c r="A553" s="18" t="s">
        <v>594</v>
      </c>
      <c r="B553" s="18" t="s">
        <v>10</v>
      </c>
      <c r="C553" s="2">
        <v>46086.572327939815</v>
      </c>
      <c r="D553">
        <v>3</v>
      </c>
      <c r="E553" s="7" t="s">
        <v>60</v>
      </c>
      <c r="F553" s="2">
        <v>46086.23899460648</v>
      </c>
      <c r="G553" s="3">
        <v>46086</v>
      </c>
      <c r="H553" t="s">
        <v>95</v>
      </c>
      <c r="I553">
        <v>5</v>
      </c>
    </row>
    <row r="554" spans="1:9" x14ac:dyDescent="0.2">
      <c r="A554" s="18" t="s">
        <v>595</v>
      </c>
      <c r="B554" s="18" t="s">
        <v>10</v>
      </c>
      <c r="C554" s="2">
        <v>46086.584600451388</v>
      </c>
      <c r="D554">
        <v>576</v>
      </c>
      <c r="E554" s="7" t="s">
        <v>34</v>
      </c>
      <c r="F554" s="2">
        <v>46086.251267118052</v>
      </c>
      <c r="G554" s="3">
        <v>46086</v>
      </c>
      <c r="H554" t="s">
        <v>95</v>
      </c>
      <c r="I554">
        <v>6</v>
      </c>
    </row>
    <row r="555" spans="1:9" x14ac:dyDescent="0.2">
      <c r="A555" s="18" t="s">
        <v>899</v>
      </c>
      <c r="B555" s="18" t="s">
        <v>10</v>
      </c>
      <c r="C555" s="2">
        <v>46086.586039016205</v>
      </c>
      <c r="D555">
        <v>576</v>
      </c>
      <c r="E555" s="7" t="s">
        <v>34</v>
      </c>
      <c r="F555" s="2">
        <v>46086.252705682869</v>
      </c>
      <c r="G555" s="3">
        <v>46086</v>
      </c>
      <c r="H555" t="s">
        <v>95</v>
      </c>
      <c r="I555">
        <v>6</v>
      </c>
    </row>
    <row r="556" spans="1:9" x14ac:dyDescent="0.2">
      <c r="A556" s="18" t="s">
        <v>596</v>
      </c>
      <c r="B556" s="18" t="s">
        <v>10</v>
      </c>
      <c r="C556" s="2">
        <v>46086.59762064815</v>
      </c>
      <c r="D556">
        <v>576</v>
      </c>
      <c r="F556" s="2">
        <v>46086.264287314814</v>
      </c>
      <c r="G556" s="3">
        <v>46086</v>
      </c>
      <c r="H556" t="s">
        <v>95</v>
      </c>
      <c r="I556">
        <v>6</v>
      </c>
    </row>
    <row r="557" spans="1:9" x14ac:dyDescent="0.2">
      <c r="A557" s="18" t="s">
        <v>597</v>
      </c>
      <c r="B557" s="18" t="s">
        <v>10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95</v>
      </c>
      <c r="I557">
        <v>6</v>
      </c>
    </row>
    <row r="558" spans="1:9" x14ac:dyDescent="0.2">
      <c r="A558" s="18" t="s">
        <v>598</v>
      </c>
      <c r="B558" s="18" t="s">
        <v>10</v>
      </c>
      <c r="C558" s="2">
        <v>46086.626078958332</v>
      </c>
      <c r="D558">
        <v>576</v>
      </c>
      <c r="E558" s="7" t="s">
        <v>34</v>
      </c>
      <c r="F558" s="2">
        <v>46086.292745625004</v>
      </c>
      <c r="G558" s="3">
        <v>46086</v>
      </c>
      <c r="H558" t="s">
        <v>95</v>
      </c>
      <c r="I558">
        <v>7</v>
      </c>
    </row>
    <row r="559" spans="1:9" x14ac:dyDescent="0.2">
      <c r="A559" s="18" t="s">
        <v>834</v>
      </c>
      <c r="B559" s="18" t="s">
        <v>10</v>
      </c>
      <c r="C559" s="2">
        <v>46086.655843553242</v>
      </c>
      <c r="D559">
        <v>432</v>
      </c>
      <c r="E559" s="7" t="s">
        <v>34</v>
      </c>
      <c r="F559" s="2">
        <v>46086.322510219907</v>
      </c>
      <c r="G559" s="3">
        <v>46086</v>
      </c>
      <c r="H559" t="s">
        <v>95</v>
      </c>
      <c r="I559">
        <v>7</v>
      </c>
    </row>
    <row r="560" spans="1:9" x14ac:dyDescent="0.2">
      <c r="A560" s="18" t="s">
        <v>599</v>
      </c>
      <c r="B560" s="18" t="s">
        <v>10</v>
      </c>
      <c r="C560" s="2">
        <v>46086.682960127313</v>
      </c>
      <c r="D560">
        <v>532</v>
      </c>
      <c r="F560" s="2">
        <v>46086.349626793984</v>
      </c>
      <c r="G560" s="3">
        <v>46086</v>
      </c>
      <c r="H560" t="s">
        <v>95</v>
      </c>
      <c r="I560">
        <v>8</v>
      </c>
    </row>
    <row r="561" spans="1:9" x14ac:dyDescent="0.2">
      <c r="A561" s="18" t="s">
        <v>600</v>
      </c>
      <c r="B561" s="18" t="s">
        <v>10</v>
      </c>
      <c r="C561" s="2">
        <v>46086.71753587963</v>
      </c>
      <c r="D561">
        <v>35</v>
      </c>
      <c r="F561" s="2">
        <v>46086.384202546295</v>
      </c>
      <c r="G561" s="3">
        <v>46086</v>
      </c>
      <c r="H561" t="s">
        <v>95</v>
      </c>
      <c r="I561">
        <v>9</v>
      </c>
    </row>
    <row r="562" spans="1:9" x14ac:dyDescent="0.2">
      <c r="A562" s="18" t="s">
        <v>601</v>
      </c>
      <c r="B562" s="18" t="s">
        <v>10</v>
      </c>
      <c r="C562" s="2">
        <v>46086.733169050924</v>
      </c>
      <c r="D562">
        <v>3</v>
      </c>
      <c r="F562" s="2">
        <v>46086.399835717595</v>
      </c>
      <c r="G562" s="3">
        <v>46086</v>
      </c>
      <c r="H562" t="s">
        <v>95</v>
      </c>
      <c r="I562">
        <v>9</v>
      </c>
    </row>
    <row r="563" spans="1:9" x14ac:dyDescent="0.2">
      <c r="A563" s="18" t="s">
        <v>602</v>
      </c>
      <c r="B563" s="18" t="s">
        <v>10</v>
      </c>
      <c r="C563" s="2">
        <v>46086.764711678239</v>
      </c>
      <c r="D563">
        <v>2</v>
      </c>
      <c r="E563" s="7" t="s">
        <v>603</v>
      </c>
      <c r="F563" s="2">
        <v>46086.431378344911</v>
      </c>
      <c r="G563" s="3">
        <v>46086</v>
      </c>
      <c r="H563" t="s">
        <v>95</v>
      </c>
      <c r="I563">
        <v>10</v>
      </c>
    </row>
    <row r="564" spans="1:9" x14ac:dyDescent="0.2">
      <c r="A564" s="18" t="s">
        <v>604</v>
      </c>
      <c r="B564" s="18" t="s">
        <v>10</v>
      </c>
      <c r="C564" s="2">
        <v>46086.770379201385</v>
      </c>
      <c r="D564">
        <v>1</v>
      </c>
      <c r="E564" s="7" t="s">
        <v>605</v>
      </c>
      <c r="F564" s="2">
        <v>46086.437045868057</v>
      </c>
      <c r="G564" s="3">
        <v>46086</v>
      </c>
      <c r="H564" t="s">
        <v>95</v>
      </c>
      <c r="I564">
        <v>10</v>
      </c>
    </row>
    <row r="565" spans="1:9" x14ac:dyDescent="0.2">
      <c r="A565" s="18" t="s">
        <v>606</v>
      </c>
      <c r="B565" s="18" t="s">
        <v>10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95</v>
      </c>
      <c r="I565">
        <v>10</v>
      </c>
    </row>
    <row r="566" spans="1:9" x14ac:dyDescent="0.2">
      <c r="A566" s="18" t="s">
        <v>607</v>
      </c>
      <c r="B566" s="18" t="s">
        <v>10</v>
      </c>
      <c r="C566" s="2">
        <v>46086.80045422454</v>
      </c>
      <c r="D566">
        <v>1</v>
      </c>
      <c r="E566" s="7" t="s">
        <v>605</v>
      </c>
      <c r="F566" s="2">
        <v>46086.467120891204</v>
      </c>
      <c r="G566" s="3">
        <v>46086</v>
      </c>
      <c r="H566" t="s">
        <v>95</v>
      </c>
      <c r="I566">
        <v>11</v>
      </c>
    </row>
    <row r="567" spans="1:9" x14ac:dyDescent="0.2">
      <c r="A567" s="18" t="s">
        <v>608</v>
      </c>
      <c r="B567" s="18" t="s">
        <v>10</v>
      </c>
      <c r="C567" s="2">
        <v>46086.838780347221</v>
      </c>
      <c r="D567">
        <v>2</v>
      </c>
      <c r="F567" s="2">
        <v>46086.505447013886</v>
      </c>
      <c r="G567" s="3">
        <v>46086</v>
      </c>
      <c r="H567" t="s">
        <v>95</v>
      </c>
      <c r="I567">
        <v>12</v>
      </c>
    </row>
    <row r="568" spans="1:9" x14ac:dyDescent="0.2">
      <c r="A568" s="18" t="s">
        <v>609</v>
      </c>
      <c r="B568" s="18" t="s">
        <v>10</v>
      </c>
      <c r="C568" s="2">
        <v>46086.902724560183</v>
      </c>
      <c r="D568">
        <v>3</v>
      </c>
      <c r="F568" s="2">
        <v>46086.569391226854</v>
      </c>
      <c r="G568" s="3">
        <v>46086</v>
      </c>
      <c r="H568" t="s">
        <v>95</v>
      </c>
      <c r="I568">
        <v>13</v>
      </c>
    </row>
    <row r="569" spans="1:9" x14ac:dyDescent="0.2">
      <c r="A569" s="18" t="s">
        <v>610</v>
      </c>
      <c r="B569" s="18" t="s">
        <v>10</v>
      </c>
      <c r="C569" s="2">
        <v>46086.964681701385</v>
      </c>
      <c r="D569">
        <v>532</v>
      </c>
      <c r="E569" s="7" t="s">
        <v>31</v>
      </c>
      <c r="F569" s="2">
        <v>46086.631348368057</v>
      </c>
      <c r="G569" s="3">
        <v>46086</v>
      </c>
      <c r="H569" t="s">
        <v>95</v>
      </c>
      <c r="I569">
        <v>15</v>
      </c>
    </row>
    <row r="570" spans="1:9" x14ac:dyDescent="0.2">
      <c r="A570" s="18" t="s">
        <v>611</v>
      </c>
      <c r="B570" s="18" t="s">
        <v>10</v>
      </c>
      <c r="C570" s="2">
        <v>46087.265411886576</v>
      </c>
      <c r="D570">
        <v>432</v>
      </c>
      <c r="E570" s="7" t="s">
        <v>34</v>
      </c>
      <c r="F570" s="2">
        <v>46086.93207855324</v>
      </c>
      <c r="G570" s="3">
        <v>46086</v>
      </c>
      <c r="H570" t="s">
        <v>95</v>
      </c>
      <c r="I570">
        <v>22</v>
      </c>
    </row>
    <row r="571" spans="1:9" x14ac:dyDescent="0.2">
      <c r="A571" s="18" t="s">
        <v>612</v>
      </c>
      <c r="B571" s="18" t="s">
        <v>10</v>
      </c>
      <c r="C571" s="2">
        <v>46087.272741493056</v>
      </c>
      <c r="D571">
        <v>576</v>
      </c>
      <c r="E571" s="7" t="s">
        <v>613</v>
      </c>
      <c r="F571" s="2">
        <v>46086.93940815972</v>
      </c>
      <c r="G571" s="3">
        <v>46086</v>
      </c>
      <c r="H571" t="s">
        <v>95</v>
      </c>
      <c r="I571">
        <v>22</v>
      </c>
    </row>
    <row r="572" spans="1:9" x14ac:dyDescent="0.2">
      <c r="A572" s="18" t="s">
        <v>614</v>
      </c>
      <c r="B572" s="18" t="s">
        <v>10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95</v>
      </c>
      <c r="I572">
        <v>22</v>
      </c>
    </row>
    <row r="573" spans="1:9" x14ac:dyDescent="0.2">
      <c r="A573" s="18" t="s">
        <v>1430</v>
      </c>
      <c r="B573" s="18" t="s">
        <v>10</v>
      </c>
      <c r="C573" s="2">
        <v>46087.288510439816</v>
      </c>
      <c r="D573">
        <v>576</v>
      </c>
      <c r="E573" s="7" t="s">
        <v>34</v>
      </c>
      <c r="F573" s="2">
        <v>46086.95517710648</v>
      </c>
      <c r="G573" s="3">
        <v>46086</v>
      </c>
      <c r="H573" t="s">
        <v>95</v>
      </c>
      <c r="I573">
        <v>22</v>
      </c>
    </row>
    <row r="574" spans="1:9" x14ac:dyDescent="0.2">
      <c r="A574" s="18" t="s">
        <v>615</v>
      </c>
      <c r="B574" s="18" t="s">
        <v>10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95</v>
      </c>
      <c r="I574">
        <v>23</v>
      </c>
    </row>
    <row r="575" spans="1:9" x14ac:dyDescent="0.2">
      <c r="A575" s="18" t="s">
        <v>616</v>
      </c>
      <c r="B575" s="18" t="s">
        <v>10</v>
      </c>
      <c r="C575" s="2">
        <v>46087.314840486113</v>
      </c>
      <c r="D575">
        <v>576</v>
      </c>
      <c r="E575" s="7" t="s">
        <v>34</v>
      </c>
      <c r="F575" s="2">
        <v>46086.981507152777</v>
      </c>
      <c r="G575" s="3">
        <v>46086</v>
      </c>
      <c r="H575" t="s">
        <v>95</v>
      </c>
      <c r="I575">
        <v>23</v>
      </c>
    </row>
    <row r="576" spans="1:9" x14ac:dyDescent="0.2">
      <c r="A576" s="18" t="s">
        <v>617</v>
      </c>
      <c r="B576" s="18" t="s">
        <v>10</v>
      </c>
      <c r="C576" s="2">
        <v>46087.335874212964</v>
      </c>
      <c r="D576">
        <v>576</v>
      </c>
      <c r="E576" s="7" t="s">
        <v>34</v>
      </c>
      <c r="F576" s="2">
        <v>46087.002540879628</v>
      </c>
      <c r="G576" s="3">
        <v>46087</v>
      </c>
      <c r="H576" t="s">
        <v>115</v>
      </c>
      <c r="I576">
        <v>0</v>
      </c>
    </row>
    <row r="577" spans="1:9" x14ac:dyDescent="0.2">
      <c r="A577" s="18" t="s">
        <v>618</v>
      </c>
      <c r="B577" s="18" t="s">
        <v>10</v>
      </c>
      <c r="C577" s="2">
        <v>46087.338867094906</v>
      </c>
      <c r="D577">
        <v>576</v>
      </c>
      <c r="E577" s="7" t="s">
        <v>582</v>
      </c>
      <c r="F577" s="2">
        <v>46087.005533761578</v>
      </c>
      <c r="G577" s="3">
        <v>46087</v>
      </c>
      <c r="H577" t="s">
        <v>115</v>
      </c>
      <c r="I577">
        <v>0</v>
      </c>
    </row>
    <row r="578" spans="1:9" x14ac:dyDescent="0.2">
      <c r="A578" s="18" t="s">
        <v>619</v>
      </c>
      <c r="B578" s="18" t="s">
        <v>10</v>
      </c>
      <c r="C578" s="2">
        <v>46087.339159189818</v>
      </c>
      <c r="D578">
        <v>3</v>
      </c>
      <c r="E578" s="7" t="s">
        <v>620</v>
      </c>
      <c r="F578" s="2">
        <v>46087.005825856482</v>
      </c>
      <c r="G578" s="3">
        <v>46087</v>
      </c>
      <c r="H578" t="s">
        <v>115</v>
      </c>
      <c r="I578">
        <v>0</v>
      </c>
    </row>
    <row r="579" spans="1:9" x14ac:dyDescent="0.2">
      <c r="A579" s="18" t="s">
        <v>621</v>
      </c>
      <c r="B579" s="18" t="s">
        <v>10</v>
      </c>
      <c r="C579" s="2">
        <v>46087.348270937502</v>
      </c>
      <c r="D579">
        <v>532</v>
      </c>
      <c r="F579" s="2">
        <v>46087.014937604166</v>
      </c>
      <c r="G579" s="3">
        <v>46087</v>
      </c>
      <c r="H579" t="s">
        <v>115</v>
      </c>
      <c r="I579">
        <v>0</v>
      </c>
    </row>
    <row r="580" spans="1:9" x14ac:dyDescent="0.2">
      <c r="A580" s="18" t="s">
        <v>622</v>
      </c>
      <c r="B580" s="18" t="s">
        <v>10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115</v>
      </c>
      <c r="I580">
        <v>0</v>
      </c>
    </row>
    <row r="581" spans="1:9" x14ac:dyDescent="0.2">
      <c r="A581" s="18" t="s">
        <v>623</v>
      </c>
      <c r="B581" s="18" t="s">
        <v>10</v>
      </c>
      <c r="C581" s="2">
        <v>46087.355946979165</v>
      </c>
      <c r="D581">
        <v>576</v>
      </c>
      <c r="F581" s="2">
        <v>46087.022613645837</v>
      </c>
      <c r="G581" s="3">
        <v>46087</v>
      </c>
      <c r="H581" t="s">
        <v>115</v>
      </c>
      <c r="I581">
        <v>0</v>
      </c>
    </row>
    <row r="582" spans="1:9" x14ac:dyDescent="0.2">
      <c r="A582" s="18" t="s">
        <v>624</v>
      </c>
      <c r="B582" s="18" t="s">
        <v>10</v>
      </c>
      <c r="C582" s="2">
        <v>46087.369131041669</v>
      </c>
      <c r="D582">
        <v>3</v>
      </c>
      <c r="E582" s="7" t="s">
        <v>625</v>
      </c>
      <c r="F582" s="2">
        <v>46087.035797708333</v>
      </c>
      <c r="G582" s="3">
        <v>46087</v>
      </c>
      <c r="H582" t="s">
        <v>115</v>
      </c>
      <c r="I582">
        <v>0</v>
      </c>
    </row>
    <row r="583" spans="1:9" x14ac:dyDescent="0.2">
      <c r="A583" s="18" t="s">
        <v>626</v>
      </c>
      <c r="B583" s="18" t="s">
        <v>10</v>
      </c>
      <c r="C583" s="2">
        <v>46087.376078067129</v>
      </c>
      <c r="D583">
        <v>576</v>
      </c>
      <c r="E583" s="7" t="s">
        <v>34</v>
      </c>
      <c r="F583" s="2">
        <v>46087.042744733793</v>
      </c>
      <c r="G583" s="3">
        <v>46087</v>
      </c>
      <c r="H583" t="s">
        <v>115</v>
      </c>
      <c r="I583">
        <v>1</v>
      </c>
    </row>
    <row r="584" spans="1:9" x14ac:dyDescent="0.2">
      <c r="A584" s="18" t="s">
        <v>1156</v>
      </c>
      <c r="B584" s="18" t="s">
        <v>10</v>
      </c>
      <c r="C584" s="2">
        <v>46087.384186909723</v>
      </c>
      <c r="D584">
        <v>576</v>
      </c>
      <c r="E584" s="7" t="s">
        <v>34</v>
      </c>
      <c r="F584" s="2">
        <v>46087.050853576387</v>
      </c>
      <c r="G584" s="3">
        <v>46087</v>
      </c>
      <c r="H584" t="s">
        <v>115</v>
      </c>
      <c r="I584">
        <v>1</v>
      </c>
    </row>
    <row r="585" spans="1:9" x14ac:dyDescent="0.2">
      <c r="A585" s="18" t="s">
        <v>1272</v>
      </c>
      <c r="B585" s="18" t="s">
        <v>10</v>
      </c>
      <c r="C585" s="2">
        <v>46087.39718197917</v>
      </c>
      <c r="D585">
        <v>576</v>
      </c>
      <c r="E585" s="7" t="s">
        <v>34</v>
      </c>
      <c r="F585" s="2">
        <v>46087.063848645834</v>
      </c>
      <c r="G585" s="3">
        <v>46087</v>
      </c>
      <c r="H585" t="s">
        <v>115</v>
      </c>
      <c r="I585">
        <v>1</v>
      </c>
    </row>
    <row r="586" spans="1:9" x14ac:dyDescent="0.2">
      <c r="A586" s="18" t="s">
        <v>1063</v>
      </c>
      <c r="B586" s="18" t="s">
        <v>10</v>
      </c>
      <c r="C586" s="2">
        <v>46087.397960289352</v>
      </c>
      <c r="D586">
        <v>576</v>
      </c>
      <c r="E586" s="7" t="s">
        <v>34</v>
      </c>
      <c r="F586" s="2">
        <v>46087.064626956017</v>
      </c>
      <c r="G586" s="3">
        <v>46087</v>
      </c>
      <c r="H586" t="s">
        <v>115</v>
      </c>
      <c r="I586">
        <v>1</v>
      </c>
    </row>
    <row r="587" spans="1:9" x14ac:dyDescent="0.2">
      <c r="A587" s="18" t="s">
        <v>627</v>
      </c>
      <c r="B587" s="18" t="s">
        <v>10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115</v>
      </c>
      <c r="I587">
        <v>1</v>
      </c>
    </row>
    <row r="588" spans="1:9" x14ac:dyDescent="0.2">
      <c r="A588" s="18" t="s">
        <v>628</v>
      </c>
      <c r="B588" s="18" t="s">
        <v>10</v>
      </c>
      <c r="C588" s="2">
        <v>46087.41888114583</v>
      </c>
      <c r="D588">
        <v>576</v>
      </c>
      <c r="E588" s="7" t="s">
        <v>34</v>
      </c>
      <c r="F588" s="2">
        <v>46087.085547812501</v>
      </c>
      <c r="G588" s="3">
        <v>46087</v>
      </c>
      <c r="H588" t="s">
        <v>115</v>
      </c>
      <c r="I588">
        <v>2</v>
      </c>
    </row>
    <row r="589" spans="1:9" x14ac:dyDescent="0.2">
      <c r="A589" s="18" t="s">
        <v>629</v>
      </c>
      <c r="B589" s="18" t="s">
        <v>10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115</v>
      </c>
      <c r="I589">
        <v>2</v>
      </c>
    </row>
    <row r="590" spans="1:9" x14ac:dyDescent="0.2">
      <c r="A590" s="18" t="s">
        <v>630</v>
      </c>
      <c r="B590" s="18" t="s">
        <v>10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115</v>
      </c>
      <c r="I590">
        <v>2</v>
      </c>
    </row>
    <row r="591" spans="1:9" x14ac:dyDescent="0.2">
      <c r="A591" s="18" t="s">
        <v>631</v>
      </c>
      <c r="B591" s="18" t="s">
        <v>10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115</v>
      </c>
      <c r="I591">
        <v>2</v>
      </c>
    </row>
    <row r="592" spans="1:9" x14ac:dyDescent="0.2">
      <c r="A592" s="18" t="s">
        <v>794</v>
      </c>
      <c r="B592" s="18" t="s">
        <v>10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115</v>
      </c>
      <c r="I592">
        <v>2</v>
      </c>
    </row>
    <row r="593" spans="1:9" x14ac:dyDescent="0.2">
      <c r="A593" s="18" t="s">
        <v>795</v>
      </c>
      <c r="B593" s="18" t="s">
        <v>10</v>
      </c>
      <c r="C593" s="2">
        <v>46087.437105763885</v>
      </c>
      <c r="D593">
        <v>576</v>
      </c>
      <c r="E593" s="7" t="s">
        <v>34</v>
      </c>
      <c r="F593" s="2">
        <v>46087.103772430557</v>
      </c>
      <c r="G593" s="3">
        <v>46087</v>
      </c>
      <c r="H593" t="s">
        <v>115</v>
      </c>
      <c r="I593">
        <v>2</v>
      </c>
    </row>
    <row r="594" spans="1:9" x14ac:dyDescent="0.2">
      <c r="A594" s="18" t="s">
        <v>796</v>
      </c>
      <c r="B594" s="18" t="s">
        <v>10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115</v>
      </c>
      <c r="I594">
        <v>2</v>
      </c>
    </row>
    <row r="595" spans="1:9" x14ac:dyDescent="0.2">
      <c r="A595" s="18" t="s">
        <v>797</v>
      </c>
      <c r="B595" s="18" t="s">
        <v>10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115</v>
      </c>
      <c r="I595">
        <v>2</v>
      </c>
    </row>
    <row r="596" spans="1:9" x14ac:dyDescent="0.2">
      <c r="A596" s="18" t="s">
        <v>632</v>
      </c>
      <c r="B596" s="18" t="s">
        <v>10</v>
      </c>
      <c r="C596" s="2">
        <v>46087.458570497685</v>
      </c>
      <c r="D596">
        <v>2</v>
      </c>
      <c r="F596" s="2">
        <v>46087.12523716435</v>
      </c>
      <c r="G596" s="3">
        <v>46087</v>
      </c>
      <c r="H596" t="s">
        <v>115</v>
      </c>
      <c r="I596">
        <v>3</v>
      </c>
    </row>
    <row r="597" spans="1:9" x14ac:dyDescent="0.2">
      <c r="A597" s="18" t="s">
        <v>633</v>
      </c>
      <c r="B597" s="18" t="s">
        <v>10</v>
      </c>
      <c r="C597" s="2">
        <v>46087.459922361108</v>
      </c>
      <c r="D597">
        <v>576</v>
      </c>
      <c r="E597" s="7" t="s">
        <v>34</v>
      </c>
      <c r="F597" s="2">
        <v>46087.126589027779</v>
      </c>
      <c r="G597" s="3">
        <v>46087</v>
      </c>
      <c r="H597" t="s">
        <v>115</v>
      </c>
      <c r="I597">
        <v>3</v>
      </c>
    </row>
    <row r="598" spans="1:9" x14ac:dyDescent="0.2">
      <c r="A598" s="18" t="s">
        <v>857</v>
      </c>
      <c r="B598" s="18" t="s">
        <v>10</v>
      </c>
      <c r="C598" s="2">
        <v>46087.473946053244</v>
      </c>
      <c r="D598">
        <v>432</v>
      </c>
      <c r="E598" s="7" t="s">
        <v>34</v>
      </c>
      <c r="F598" s="2">
        <v>46087.140612719908</v>
      </c>
      <c r="G598" s="3">
        <v>46087</v>
      </c>
      <c r="H598" t="s">
        <v>115</v>
      </c>
      <c r="I598">
        <v>3</v>
      </c>
    </row>
    <row r="599" spans="1:9" x14ac:dyDescent="0.2">
      <c r="A599" s="18" t="s">
        <v>798</v>
      </c>
      <c r="B599" s="18" t="s">
        <v>10</v>
      </c>
      <c r="C599" s="2">
        <v>46087.512018182868</v>
      </c>
      <c r="D599">
        <v>432</v>
      </c>
      <c r="E599" s="7" t="s">
        <v>34</v>
      </c>
      <c r="F599" s="2">
        <v>46087.178684849539</v>
      </c>
      <c r="G599" s="3">
        <v>46087</v>
      </c>
      <c r="H599" t="s">
        <v>115</v>
      </c>
      <c r="I599">
        <v>4</v>
      </c>
    </row>
    <row r="600" spans="1:9" x14ac:dyDescent="0.2">
      <c r="A600" s="18" t="s">
        <v>806</v>
      </c>
      <c r="B600" s="18" t="s">
        <v>10</v>
      </c>
      <c r="C600" s="2">
        <v>46087.516137511571</v>
      </c>
      <c r="D600">
        <v>432</v>
      </c>
      <c r="E600" s="7" t="s">
        <v>34</v>
      </c>
      <c r="F600" s="2">
        <v>46087.182804178243</v>
      </c>
      <c r="G600" s="3">
        <v>46087</v>
      </c>
      <c r="H600" t="s">
        <v>115</v>
      </c>
      <c r="I600">
        <v>4</v>
      </c>
    </row>
    <row r="601" spans="1:9" x14ac:dyDescent="0.2">
      <c r="A601" s="18" t="s">
        <v>1316</v>
      </c>
      <c r="B601" s="18" t="s">
        <v>10</v>
      </c>
      <c r="C601" s="2">
        <v>46087.519250266203</v>
      </c>
      <c r="D601">
        <v>432</v>
      </c>
      <c r="E601" s="7" t="s">
        <v>34</v>
      </c>
      <c r="F601" s="2">
        <v>46087.185916932867</v>
      </c>
      <c r="G601" s="3">
        <v>46087</v>
      </c>
      <c r="H601" t="s">
        <v>115</v>
      </c>
      <c r="I601">
        <v>4</v>
      </c>
    </row>
    <row r="602" spans="1:9" x14ac:dyDescent="0.2">
      <c r="A602" s="18" t="s">
        <v>634</v>
      </c>
      <c r="B602" s="18" t="s">
        <v>10</v>
      </c>
      <c r="C602" s="2">
        <v>46087.520795613425</v>
      </c>
      <c r="D602">
        <v>432</v>
      </c>
      <c r="E602" s="7" t="s">
        <v>34</v>
      </c>
      <c r="F602" s="2">
        <v>46087.18746228009</v>
      </c>
      <c r="G602" s="3">
        <v>46087</v>
      </c>
      <c r="H602" t="s">
        <v>115</v>
      </c>
      <c r="I602">
        <v>4</v>
      </c>
    </row>
    <row r="603" spans="1:9" x14ac:dyDescent="0.2">
      <c r="A603" s="18" t="s">
        <v>1157</v>
      </c>
      <c r="B603" s="18" t="s">
        <v>10</v>
      </c>
      <c r="C603" s="2">
        <v>46087.538359953702</v>
      </c>
      <c r="D603">
        <v>432</v>
      </c>
      <c r="E603" s="7" t="s">
        <v>34</v>
      </c>
      <c r="F603" s="2">
        <v>46087.205026620373</v>
      </c>
      <c r="G603" s="3">
        <v>46087</v>
      </c>
      <c r="H603" t="s">
        <v>115</v>
      </c>
      <c r="I603">
        <v>4</v>
      </c>
    </row>
    <row r="604" spans="1:9" x14ac:dyDescent="0.2">
      <c r="A604" s="18" t="s">
        <v>635</v>
      </c>
      <c r="B604" s="18" t="s">
        <v>10</v>
      </c>
      <c r="C604" s="2">
        <v>46087.548566493053</v>
      </c>
      <c r="D604">
        <v>432</v>
      </c>
      <c r="E604" s="7" t="s">
        <v>34</v>
      </c>
      <c r="F604" s="2">
        <v>46087.215233159724</v>
      </c>
      <c r="G604" s="3">
        <v>46087</v>
      </c>
      <c r="H604" t="s">
        <v>115</v>
      </c>
      <c r="I604">
        <v>5</v>
      </c>
    </row>
    <row r="605" spans="1:9" x14ac:dyDescent="0.2">
      <c r="A605" s="18" t="s">
        <v>1064</v>
      </c>
      <c r="B605" s="18" t="s">
        <v>10</v>
      </c>
      <c r="C605" s="2">
        <v>46087.553537106483</v>
      </c>
      <c r="D605">
        <v>432</v>
      </c>
      <c r="E605" s="7" t="s">
        <v>34</v>
      </c>
      <c r="F605" s="2">
        <v>46087.220203773148</v>
      </c>
      <c r="G605" s="3">
        <v>46087</v>
      </c>
      <c r="H605" t="s">
        <v>115</v>
      </c>
      <c r="I605">
        <v>5</v>
      </c>
    </row>
    <row r="606" spans="1:9" x14ac:dyDescent="0.2">
      <c r="A606" s="18" t="s">
        <v>636</v>
      </c>
      <c r="B606" s="18" t="s">
        <v>10</v>
      </c>
      <c r="C606" s="2">
        <v>46087.567314803244</v>
      </c>
      <c r="D606">
        <v>576</v>
      </c>
      <c r="F606" s="2">
        <v>46087.233981469908</v>
      </c>
      <c r="G606" s="3">
        <v>46087</v>
      </c>
      <c r="H606" t="s">
        <v>115</v>
      </c>
      <c r="I606">
        <v>5</v>
      </c>
    </row>
    <row r="607" spans="1:9" x14ac:dyDescent="0.2">
      <c r="A607" s="18" t="s">
        <v>835</v>
      </c>
      <c r="B607" s="18" t="s">
        <v>10</v>
      </c>
      <c r="C607" s="2">
        <v>46087.567664756942</v>
      </c>
      <c r="D607">
        <v>432</v>
      </c>
      <c r="E607" s="7" t="s">
        <v>34</v>
      </c>
      <c r="F607" s="2">
        <v>46087.234331423613</v>
      </c>
      <c r="G607" s="3">
        <v>46087</v>
      </c>
      <c r="H607" t="s">
        <v>115</v>
      </c>
      <c r="I607">
        <v>5</v>
      </c>
    </row>
    <row r="608" spans="1:9" x14ac:dyDescent="0.2">
      <c r="A608" s="18" t="s">
        <v>637</v>
      </c>
      <c r="B608" s="18" t="s">
        <v>10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115</v>
      </c>
      <c r="I608">
        <v>5</v>
      </c>
    </row>
    <row r="609" spans="1:9" x14ac:dyDescent="0.2">
      <c r="A609" s="18" t="s">
        <v>638</v>
      </c>
      <c r="B609" s="18" t="s">
        <v>10</v>
      </c>
      <c r="C609" s="2">
        <v>46087.5688547338</v>
      </c>
      <c r="D609">
        <v>617</v>
      </c>
      <c r="F609" s="2">
        <v>46087.235521400464</v>
      </c>
      <c r="G609" s="3">
        <v>46087</v>
      </c>
      <c r="H609" t="s">
        <v>115</v>
      </c>
      <c r="I609">
        <v>5</v>
      </c>
    </row>
    <row r="610" spans="1:9" x14ac:dyDescent="0.2">
      <c r="A610" s="18" t="s">
        <v>1431</v>
      </c>
      <c r="B610" s="18" t="s">
        <v>10</v>
      </c>
      <c r="C610" s="2">
        <v>46087.57720226852</v>
      </c>
      <c r="D610">
        <v>432</v>
      </c>
      <c r="E610" s="7" t="s">
        <v>34</v>
      </c>
      <c r="F610" s="2">
        <v>46087.243868935184</v>
      </c>
      <c r="G610" s="3">
        <v>46087</v>
      </c>
      <c r="H610" t="s">
        <v>115</v>
      </c>
      <c r="I610">
        <v>5</v>
      </c>
    </row>
    <row r="611" spans="1:9" x14ac:dyDescent="0.2">
      <c r="A611" s="18" t="s">
        <v>639</v>
      </c>
      <c r="B611" s="18" t="s">
        <v>10</v>
      </c>
      <c r="C611" s="2">
        <v>46087.583339050929</v>
      </c>
      <c r="D611">
        <v>432</v>
      </c>
      <c r="E611" s="7" t="s">
        <v>34</v>
      </c>
      <c r="F611" s="2">
        <v>46087.250005717593</v>
      </c>
      <c r="G611" s="3">
        <v>46087</v>
      </c>
      <c r="H611" t="s">
        <v>115</v>
      </c>
      <c r="I611">
        <v>6</v>
      </c>
    </row>
    <row r="612" spans="1:9" x14ac:dyDescent="0.2">
      <c r="A612" s="18" t="s">
        <v>640</v>
      </c>
      <c r="B612" s="18" t="s">
        <v>10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115</v>
      </c>
      <c r="I612">
        <v>6</v>
      </c>
    </row>
    <row r="613" spans="1:9" x14ac:dyDescent="0.2">
      <c r="A613" s="18" t="s">
        <v>641</v>
      </c>
      <c r="B613" s="18" t="s">
        <v>10</v>
      </c>
      <c r="C613" s="2">
        <v>46087.610557048611</v>
      </c>
      <c r="D613">
        <v>532</v>
      </c>
      <c r="F613" s="2">
        <v>46087.277223715275</v>
      </c>
      <c r="G613" s="3">
        <v>46087</v>
      </c>
      <c r="H613" t="s">
        <v>115</v>
      </c>
      <c r="I613">
        <v>6</v>
      </c>
    </row>
    <row r="614" spans="1:9" x14ac:dyDescent="0.2">
      <c r="A614" s="18" t="s">
        <v>642</v>
      </c>
      <c r="B614" s="18" t="s">
        <v>10</v>
      </c>
      <c r="C614" s="2">
        <v>46087.625934212963</v>
      </c>
      <c r="D614">
        <v>432</v>
      </c>
      <c r="E614" s="7" t="s">
        <v>34</v>
      </c>
      <c r="F614" s="2">
        <v>46087.292600879628</v>
      </c>
      <c r="G614" s="3">
        <v>46087</v>
      </c>
      <c r="H614" t="s">
        <v>115</v>
      </c>
      <c r="I614">
        <v>7</v>
      </c>
    </row>
    <row r="615" spans="1:9" x14ac:dyDescent="0.2">
      <c r="A615" s="18" t="s">
        <v>643</v>
      </c>
      <c r="B615" s="18" t="s">
        <v>10</v>
      </c>
      <c r="C615" s="2">
        <v>46087.656326180557</v>
      </c>
      <c r="D615">
        <v>576</v>
      </c>
      <c r="E615" s="7" t="s">
        <v>582</v>
      </c>
      <c r="F615" s="2">
        <v>46087.322992847221</v>
      </c>
      <c r="G615" s="3">
        <v>46087</v>
      </c>
      <c r="H615" t="s">
        <v>115</v>
      </c>
      <c r="I615">
        <v>7</v>
      </c>
    </row>
    <row r="616" spans="1:9" x14ac:dyDescent="0.2">
      <c r="A616" s="18" t="s">
        <v>644</v>
      </c>
      <c r="B616" s="18" t="s">
        <v>10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115</v>
      </c>
      <c r="I616">
        <v>7</v>
      </c>
    </row>
    <row r="617" spans="1:9" x14ac:dyDescent="0.2">
      <c r="A617" s="18" t="s">
        <v>645</v>
      </c>
      <c r="B617" s="18" t="s">
        <v>10</v>
      </c>
      <c r="C617" s="2">
        <v>46087.667352326389</v>
      </c>
      <c r="D617">
        <v>576</v>
      </c>
      <c r="E617" s="7" t="s">
        <v>34</v>
      </c>
      <c r="F617" s="2">
        <v>46087.334018993053</v>
      </c>
      <c r="G617" s="3">
        <v>46087</v>
      </c>
      <c r="H617" t="s">
        <v>115</v>
      </c>
      <c r="I617">
        <v>8</v>
      </c>
    </row>
    <row r="618" spans="1:9" x14ac:dyDescent="0.2">
      <c r="A618" s="18" t="s">
        <v>646</v>
      </c>
      <c r="B618" s="18" t="s">
        <v>10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115</v>
      </c>
      <c r="I618">
        <v>8</v>
      </c>
    </row>
    <row r="619" spans="1:9" x14ac:dyDescent="0.2">
      <c r="A619" s="18" t="s">
        <v>647</v>
      </c>
      <c r="B619" s="18" t="s">
        <v>10</v>
      </c>
      <c r="C619" s="2">
        <v>46087.694585798614</v>
      </c>
      <c r="D619">
        <v>618</v>
      </c>
      <c r="F619" s="2">
        <v>46087.361252465278</v>
      </c>
      <c r="G619" s="3">
        <v>46087</v>
      </c>
      <c r="H619" t="s">
        <v>115</v>
      </c>
      <c r="I619">
        <v>8</v>
      </c>
    </row>
    <row r="620" spans="1:9" x14ac:dyDescent="0.2">
      <c r="A620" s="18" t="s">
        <v>648</v>
      </c>
      <c r="B620" s="18" t="s">
        <v>10</v>
      </c>
      <c r="C620" s="2">
        <v>46087.698396793981</v>
      </c>
      <c r="D620">
        <v>3</v>
      </c>
      <c r="F620" s="2">
        <v>46087.365063460646</v>
      </c>
      <c r="G620" s="3">
        <v>46087</v>
      </c>
      <c r="H620" t="s">
        <v>115</v>
      </c>
      <c r="I620">
        <v>8</v>
      </c>
    </row>
    <row r="621" spans="1:9" x14ac:dyDescent="0.2">
      <c r="A621" s="18" t="s">
        <v>649</v>
      </c>
      <c r="B621" s="18" t="s">
        <v>10</v>
      </c>
      <c r="C621" s="2">
        <v>46087.700693148145</v>
      </c>
      <c r="D621">
        <v>3</v>
      </c>
      <c r="F621" s="2">
        <v>46087.367359814816</v>
      </c>
      <c r="G621" s="3">
        <v>46087</v>
      </c>
      <c r="H621" t="s">
        <v>115</v>
      </c>
      <c r="I621">
        <v>8</v>
      </c>
    </row>
    <row r="622" spans="1:9" x14ac:dyDescent="0.2">
      <c r="A622" s="18" t="s">
        <v>650</v>
      </c>
      <c r="B622" s="18" t="s">
        <v>10</v>
      </c>
      <c r="C622" s="2">
        <v>46087.703804537035</v>
      </c>
      <c r="D622">
        <v>2</v>
      </c>
      <c r="E622" s="7" t="s">
        <v>651</v>
      </c>
      <c r="F622" s="2">
        <v>46087.370471203707</v>
      </c>
      <c r="G622" s="3">
        <v>46087</v>
      </c>
      <c r="H622" t="s">
        <v>115</v>
      </c>
      <c r="I622">
        <v>8</v>
      </c>
    </row>
    <row r="623" spans="1:9" x14ac:dyDescent="0.2">
      <c r="A623" s="18" t="s">
        <v>652</v>
      </c>
      <c r="B623" s="18" t="s">
        <v>10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115</v>
      </c>
      <c r="I623">
        <v>9</v>
      </c>
    </row>
    <row r="624" spans="1:9" x14ac:dyDescent="0.2">
      <c r="A624" s="18" t="s">
        <v>653</v>
      </c>
      <c r="B624" s="18" t="s">
        <v>10</v>
      </c>
      <c r="C624" s="2">
        <v>46087.724496076386</v>
      </c>
      <c r="D624">
        <v>432</v>
      </c>
      <c r="E624" s="7" t="s">
        <v>34</v>
      </c>
      <c r="F624" s="2">
        <v>46087.391162743057</v>
      </c>
      <c r="G624" s="3">
        <v>46087</v>
      </c>
      <c r="H624" t="s">
        <v>115</v>
      </c>
      <c r="I624">
        <v>9</v>
      </c>
    </row>
    <row r="625" spans="1:9" x14ac:dyDescent="0.2">
      <c r="A625" s="18" t="s">
        <v>654</v>
      </c>
      <c r="B625" s="18" t="s">
        <v>10</v>
      </c>
      <c r="C625" s="2">
        <v>46087.756717118056</v>
      </c>
      <c r="D625">
        <v>432</v>
      </c>
      <c r="E625" s="7" t="s">
        <v>34</v>
      </c>
      <c r="F625" s="2">
        <v>46087.42338378472</v>
      </c>
      <c r="G625" s="3">
        <v>46087</v>
      </c>
      <c r="H625" t="s">
        <v>115</v>
      </c>
      <c r="I625">
        <v>10</v>
      </c>
    </row>
    <row r="626" spans="1:9" x14ac:dyDescent="0.2">
      <c r="A626" s="18" t="s">
        <v>655</v>
      </c>
      <c r="B626" s="18" t="s">
        <v>10</v>
      </c>
      <c r="C626" s="2">
        <v>46087.81064802083</v>
      </c>
      <c r="D626">
        <v>432</v>
      </c>
      <c r="E626" s="7" t="s">
        <v>34</v>
      </c>
      <c r="F626" s="2">
        <v>46087.477314687501</v>
      </c>
      <c r="G626" s="3">
        <v>46087</v>
      </c>
      <c r="H626" t="s">
        <v>115</v>
      </c>
      <c r="I626">
        <v>11</v>
      </c>
    </row>
    <row r="627" spans="1:9" x14ac:dyDescent="0.2">
      <c r="A627" s="18" t="s">
        <v>656</v>
      </c>
      <c r="B627" s="18" t="s">
        <v>10</v>
      </c>
      <c r="C627" s="2">
        <v>46087.84135609954</v>
      </c>
      <c r="D627">
        <v>432</v>
      </c>
      <c r="E627" s="7" t="s">
        <v>34</v>
      </c>
      <c r="F627" s="2">
        <v>46087.508022766204</v>
      </c>
      <c r="G627" s="3">
        <v>46087</v>
      </c>
      <c r="H627" t="s">
        <v>115</v>
      </c>
      <c r="I627">
        <v>12</v>
      </c>
    </row>
    <row r="628" spans="1:9" x14ac:dyDescent="0.2">
      <c r="A628" s="18" t="s">
        <v>657</v>
      </c>
      <c r="B628" s="18" t="s">
        <v>10</v>
      </c>
      <c r="C628" s="2">
        <v>46088.037522071761</v>
      </c>
      <c r="D628">
        <v>3</v>
      </c>
      <c r="F628" s="2">
        <v>46087.704188738426</v>
      </c>
      <c r="G628" s="3">
        <v>46087</v>
      </c>
      <c r="H628" t="s">
        <v>115</v>
      </c>
      <c r="I628">
        <v>16</v>
      </c>
    </row>
    <row r="629" spans="1:9" x14ac:dyDescent="0.2">
      <c r="A629" s="18" t="s">
        <v>658</v>
      </c>
      <c r="B629" s="18" t="s">
        <v>10</v>
      </c>
      <c r="C629" s="2">
        <v>46088.037701724534</v>
      </c>
      <c r="D629">
        <v>3</v>
      </c>
      <c r="E629" s="7" t="s">
        <v>86</v>
      </c>
      <c r="F629" s="2">
        <v>46087.704368391205</v>
      </c>
      <c r="G629" s="3">
        <v>46087</v>
      </c>
      <c r="H629" t="s">
        <v>115</v>
      </c>
      <c r="I629">
        <v>16</v>
      </c>
    </row>
    <row r="630" spans="1:9" x14ac:dyDescent="0.2">
      <c r="A630" s="18" t="s">
        <v>659</v>
      </c>
      <c r="B630" s="18" t="s">
        <v>10</v>
      </c>
      <c r="C630" s="2">
        <v>46088.039638946757</v>
      </c>
      <c r="D630">
        <v>3</v>
      </c>
      <c r="E630" s="7" t="s">
        <v>70</v>
      </c>
      <c r="F630" s="2">
        <v>46087.706305613428</v>
      </c>
      <c r="G630" s="3">
        <v>46087</v>
      </c>
      <c r="H630" t="s">
        <v>115</v>
      </c>
      <c r="I630">
        <v>16</v>
      </c>
    </row>
    <row r="631" spans="1:9" x14ac:dyDescent="0.2">
      <c r="A631" s="18" t="s">
        <v>660</v>
      </c>
      <c r="B631" s="18" t="s">
        <v>10</v>
      </c>
      <c r="C631" s="2">
        <v>46088.042063935187</v>
      </c>
      <c r="D631">
        <v>3</v>
      </c>
      <c r="E631" s="7" t="s">
        <v>86</v>
      </c>
      <c r="F631" s="2">
        <v>46087.708730601851</v>
      </c>
      <c r="G631" s="3">
        <v>46087</v>
      </c>
      <c r="H631" t="s">
        <v>115</v>
      </c>
      <c r="I631">
        <v>17</v>
      </c>
    </row>
    <row r="632" spans="1:9" x14ac:dyDescent="0.2">
      <c r="A632" s="18" t="s">
        <v>661</v>
      </c>
      <c r="B632" s="18" t="s">
        <v>10</v>
      </c>
      <c r="C632" s="2">
        <v>46088.044221655095</v>
      </c>
      <c r="D632">
        <v>3</v>
      </c>
      <c r="E632" s="7" t="s">
        <v>70</v>
      </c>
      <c r="F632" s="2">
        <v>46087.710888321759</v>
      </c>
      <c r="G632" s="3">
        <v>46087</v>
      </c>
      <c r="H632" t="s">
        <v>115</v>
      </c>
      <c r="I632">
        <v>17</v>
      </c>
    </row>
    <row r="633" spans="1:9" x14ac:dyDescent="0.2">
      <c r="A633" s="18" t="s">
        <v>662</v>
      </c>
      <c r="B633" s="18" t="s">
        <v>10</v>
      </c>
      <c r="C633" s="2">
        <v>46088.106888993054</v>
      </c>
      <c r="D633">
        <v>3</v>
      </c>
      <c r="E633" s="7" t="s">
        <v>70</v>
      </c>
      <c r="F633" s="2">
        <v>46087.773555659725</v>
      </c>
      <c r="G633" s="3">
        <v>46087</v>
      </c>
      <c r="H633" t="s">
        <v>115</v>
      </c>
      <c r="I633">
        <v>18</v>
      </c>
    </row>
    <row r="634" spans="1:9" x14ac:dyDescent="0.2">
      <c r="A634" s="18" t="s">
        <v>663</v>
      </c>
      <c r="B634" s="18" t="s">
        <v>10</v>
      </c>
      <c r="C634" s="2">
        <v>46088.359522569444</v>
      </c>
      <c r="D634">
        <v>532</v>
      </c>
      <c r="E634" s="7" t="s">
        <v>31</v>
      </c>
      <c r="F634" s="2">
        <v>46088.026189236109</v>
      </c>
      <c r="G634" s="3">
        <v>46088</v>
      </c>
      <c r="H634" t="s">
        <v>120</v>
      </c>
      <c r="I634">
        <v>0</v>
      </c>
    </row>
    <row r="635" spans="1:9" x14ac:dyDescent="0.2">
      <c r="A635" s="18" t="s">
        <v>664</v>
      </c>
      <c r="B635" s="18" t="s">
        <v>10</v>
      </c>
      <c r="C635" s="2">
        <v>46088.36578709491</v>
      </c>
      <c r="D635">
        <v>532</v>
      </c>
      <c r="F635" s="2">
        <v>46088.032453761574</v>
      </c>
      <c r="G635" s="3">
        <v>46088</v>
      </c>
      <c r="H635" t="s">
        <v>120</v>
      </c>
      <c r="I635">
        <v>0</v>
      </c>
    </row>
    <row r="636" spans="1:9" x14ac:dyDescent="0.2">
      <c r="A636" s="18" t="s">
        <v>665</v>
      </c>
      <c r="B636" s="18" t="s">
        <v>10</v>
      </c>
      <c r="C636" s="2">
        <v>46088.378264120372</v>
      </c>
      <c r="D636">
        <v>532</v>
      </c>
      <c r="E636" s="7" t="s">
        <v>31</v>
      </c>
      <c r="F636" s="2">
        <v>46088.044930787037</v>
      </c>
      <c r="G636" s="3">
        <v>46088</v>
      </c>
      <c r="H636" t="s">
        <v>120</v>
      </c>
      <c r="I636">
        <v>1</v>
      </c>
    </row>
    <row r="637" spans="1:9" x14ac:dyDescent="0.2">
      <c r="A637" s="18" t="s">
        <v>666</v>
      </c>
      <c r="B637" s="18" t="s">
        <v>10</v>
      </c>
      <c r="C637" s="2">
        <v>46088.420121064817</v>
      </c>
      <c r="D637">
        <v>532</v>
      </c>
      <c r="E637" s="7" t="s">
        <v>31</v>
      </c>
      <c r="F637" s="2">
        <v>46088.086787731481</v>
      </c>
      <c r="G637" s="3">
        <v>46088</v>
      </c>
      <c r="H637" t="s">
        <v>120</v>
      </c>
      <c r="I637">
        <v>2</v>
      </c>
    </row>
    <row r="638" spans="1:9" x14ac:dyDescent="0.2">
      <c r="A638" s="18" t="s">
        <v>667</v>
      </c>
      <c r="B638" s="18" t="s">
        <v>10</v>
      </c>
      <c r="C638" s="2">
        <v>46088.429570173612</v>
      </c>
      <c r="D638">
        <v>3</v>
      </c>
      <c r="E638" s="7">
        <v>10851</v>
      </c>
      <c r="F638" s="2">
        <v>46088.096236840276</v>
      </c>
      <c r="G638" s="3">
        <v>46088</v>
      </c>
      <c r="H638" t="s">
        <v>120</v>
      </c>
      <c r="I638">
        <v>2</v>
      </c>
    </row>
    <row r="639" spans="1:9" x14ac:dyDescent="0.2">
      <c r="A639" s="18" t="s">
        <v>668</v>
      </c>
      <c r="B639" s="18" t="s">
        <v>10</v>
      </c>
      <c r="C639" s="2">
        <v>46088.472655011574</v>
      </c>
      <c r="D639">
        <v>576</v>
      </c>
      <c r="F639" s="2">
        <v>46088.139321678238</v>
      </c>
      <c r="G639" s="3">
        <v>46088</v>
      </c>
      <c r="H639" t="s">
        <v>120</v>
      </c>
      <c r="I639">
        <v>3</v>
      </c>
    </row>
    <row r="640" spans="1:9" x14ac:dyDescent="0.2">
      <c r="A640" s="18" t="s">
        <v>669</v>
      </c>
      <c r="B640" s="18" t="s">
        <v>10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120</v>
      </c>
      <c r="I640">
        <v>4</v>
      </c>
    </row>
    <row r="641" spans="1:9" x14ac:dyDescent="0.2">
      <c r="A641" s="18" t="s">
        <v>670</v>
      </c>
      <c r="B641" s="18" t="s">
        <v>10</v>
      </c>
      <c r="C641" s="2">
        <v>46088.529906944445</v>
      </c>
      <c r="D641">
        <v>532</v>
      </c>
      <c r="E641" s="7" t="s">
        <v>31</v>
      </c>
      <c r="F641" s="2">
        <v>46088.196573611109</v>
      </c>
      <c r="G641" s="3">
        <v>46088</v>
      </c>
      <c r="H641" t="s">
        <v>120</v>
      </c>
      <c r="I641">
        <v>4</v>
      </c>
    </row>
    <row r="642" spans="1:9" x14ac:dyDescent="0.2">
      <c r="A642" s="18" t="s">
        <v>671</v>
      </c>
      <c r="B642" s="18" t="s">
        <v>10</v>
      </c>
      <c r="C642" s="2">
        <v>46088.620702974535</v>
      </c>
      <c r="D642">
        <v>3</v>
      </c>
      <c r="E642" s="7" t="s">
        <v>275</v>
      </c>
      <c r="F642" s="2">
        <v>46088.287369641206</v>
      </c>
      <c r="G642" s="3">
        <v>46088</v>
      </c>
      <c r="H642" t="s">
        <v>120</v>
      </c>
      <c r="I642">
        <v>6</v>
      </c>
    </row>
    <row r="643" spans="1:9" x14ac:dyDescent="0.2">
      <c r="A643" s="18" t="s">
        <v>672</v>
      </c>
      <c r="B643" s="18" t="s">
        <v>10</v>
      </c>
      <c r="C643" s="2">
        <v>46088.625560451386</v>
      </c>
      <c r="D643">
        <v>532</v>
      </c>
      <c r="E643" s="7" t="s">
        <v>275</v>
      </c>
      <c r="F643" s="2">
        <v>46088.292227118058</v>
      </c>
      <c r="G643" s="3">
        <v>46088</v>
      </c>
      <c r="H643" t="s">
        <v>120</v>
      </c>
      <c r="I643">
        <v>7</v>
      </c>
    </row>
    <row r="644" spans="1:9" x14ac:dyDescent="0.2">
      <c r="A644" s="18" t="s">
        <v>673</v>
      </c>
      <c r="B644" s="18" t="s">
        <v>10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120</v>
      </c>
      <c r="I644">
        <v>12</v>
      </c>
    </row>
    <row r="645" spans="1:9" x14ac:dyDescent="0.2">
      <c r="A645" s="18" t="s">
        <v>674</v>
      </c>
      <c r="B645" s="18" t="s">
        <v>10</v>
      </c>
      <c r="C645" s="2">
        <v>46089.443287650465</v>
      </c>
      <c r="D645">
        <v>532</v>
      </c>
      <c r="E645" s="7" t="s">
        <v>31</v>
      </c>
      <c r="F645" s="2">
        <v>46089.151620983794</v>
      </c>
      <c r="G645" s="3">
        <v>46089</v>
      </c>
      <c r="H645" t="s">
        <v>125</v>
      </c>
      <c r="I645">
        <v>3</v>
      </c>
    </row>
    <row r="646" spans="1:9" x14ac:dyDescent="0.2">
      <c r="A646" s="18" t="s">
        <v>675</v>
      </c>
      <c r="B646" s="18" t="s">
        <v>10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125</v>
      </c>
      <c r="I646">
        <v>3</v>
      </c>
    </row>
    <row r="647" spans="1:9" x14ac:dyDescent="0.2">
      <c r="A647" s="18" t="s">
        <v>676</v>
      </c>
      <c r="B647" s="18" t="s">
        <v>10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125</v>
      </c>
      <c r="I647">
        <v>4</v>
      </c>
    </row>
    <row r="648" spans="1:9" x14ac:dyDescent="0.2">
      <c r="A648" s="18" t="s">
        <v>677</v>
      </c>
      <c r="B648" s="18" t="s">
        <v>10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125</v>
      </c>
      <c r="I648">
        <v>5</v>
      </c>
    </row>
    <row r="649" spans="1:9" x14ac:dyDescent="0.2">
      <c r="A649" s="18" t="s">
        <v>678</v>
      </c>
      <c r="B649" s="18" t="s">
        <v>10</v>
      </c>
      <c r="C649" s="2">
        <v>46089.544210405089</v>
      </c>
      <c r="D649">
        <v>3</v>
      </c>
      <c r="E649" s="7" t="s">
        <v>60</v>
      </c>
      <c r="F649" s="2">
        <v>46089.252543738425</v>
      </c>
      <c r="G649" s="3">
        <v>46089</v>
      </c>
      <c r="H649" t="s">
        <v>125</v>
      </c>
      <c r="I649">
        <v>6</v>
      </c>
    </row>
    <row r="650" spans="1:9" x14ac:dyDescent="0.2">
      <c r="A650" s="18" t="s">
        <v>679</v>
      </c>
      <c r="B650" s="18" t="s">
        <v>10</v>
      </c>
      <c r="C650" s="2">
        <v>46089.546031921294</v>
      </c>
      <c r="D650">
        <v>2</v>
      </c>
      <c r="F650" s="2">
        <v>46089.25436525463</v>
      </c>
      <c r="G650" s="3">
        <v>46089</v>
      </c>
      <c r="H650" t="s">
        <v>125</v>
      </c>
      <c r="I650">
        <v>6</v>
      </c>
    </row>
    <row r="651" spans="1:9" x14ac:dyDescent="0.2">
      <c r="A651" s="18" t="s">
        <v>680</v>
      </c>
      <c r="B651" s="18" t="s">
        <v>10</v>
      </c>
      <c r="C651" s="2">
        <v>46089.588338564812</v>
      </c>
      <c r="D651">
        <v>532</v>
      </c>
      <c r="E651" s="7" t="s">
        <v>681</v>
      </c>
      <c r="F651" s="2">
        <v>46089.296671898148</v>
      </c>
      <c r="G651" s="3">
        <v>46089</v>
      </c>
      <c r="H651" t="s">
        <v>125</v>
      </c>
      <c r="I651">
        <v>7</v>
      </c>
    </row>
    <row r="652" spans="1:9" x14ac:dyDescent="0.2">
      <c r="A652" s="18" t="s">
        <v>682</v>
      </c>
      <c r="B652" s="18" t="s">
        <v>10</v>
      </c>
      <c r="C652" s="2">
        <v>46089.647438749998</v>
      </c>
      <c r="D652">
        <v>1</v>
      </c>
      <c r="E652" s="7" t="s">
        <v>683</v>
      </c>
      <c r="F652" s="2">
        <v>46089.355772083334</v>
      </c>
      <c r="G652" s="3">
        <v>46089</v>
      </c>
      <c r="H652" t="s">
        <v>125</v>
      </c>
      <c r="I652">
        <v>8</v>
      </c>
    </row>
    <row r="653" spans="1:9" x14ac:dyDescent="0.2">
      <c r="A653" s="18" t="s">
        <v>684</v>
      </c>
      <c r="B653" s="18" t="s">
        <v>10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125</v>
      </c>
      <c r="I653">
        <v>8</v>
      </c>
    </row>
    <row r="654" spans="1:9" x14ac:dyDescent="0.2">
      <c r="A654" s="18" t="s">
        <v>685</v>
      </c>
      <c r="B654" s="18" t="s">
        <v>10</v>
      </c>
      <c r="C654" s="2">
        <v>46089.651767048614</v>
      </c>
      <c r="D654">
        <v>3</v>
      </c>
      <c r="F654" s="2">
        <v>46089.360100381942</v>
      </c>
      <c r="G654" s="3">
        <v>46089</v>
      </c>
      <c r="H654" t="s">
        <v>125</v>
      </c>
      <c r="I654">
        <v>8</v>
      </c>
    </row>
    <row r="655" spans="1:9" x14ac:dyDescent="0.2">
      <c r="A655" s="18" t="s">
        <v>686</v>
      </c>
      <c r="B655" s="18" t="s">
        <v>10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125</v>
      </c>
      <c r="I655">
        <v>8</v>
      </c>
    </row>
    <row r="656" spans="1:9" x14ac:dyDescent="0.2">
      <c r="A656" s="18" t="s">
        <v>687</v>
      </c>
      <c r="B656" s="18" t="s">
        <v>10</v>
      </c>
      <c r="C656" s="2">
        <v>46089.655311608796</v>
      </c>
      <c r="D656">
        <v>2</v>
      </c>
      <c r="E656" s="7" t="s">
        <v>323</v>
      </c>
      <c r="F656" s="2">
        <v>46089.363644942132</v>
      </c>
      <c r="G656" s="3">
        <v>46089</v>
      </c>
      <c r="H656" t="s">
        <v>125</v>
      </c>
      <c r="I656">
        <v>8</v>
      </c>
    </row>
    <row r="657" spans="1:9" x14ac:dyDescent="0.2">
      <c r="A657" s="18" t="s">
        <v>689</v>
      </c>
      <c r="B657" s="18" t="s">
        <v>10</v>
      </c>
      <c r="C657" s="2">
        <v>46089.795878506942</v>
      </c>
      <c r="D657">
        <v>532</v>
      </c>
      <c r="E657" s="7" t="s">
        <v>34</v>
      </c>
      <c r="F657" s="2">
        <v>46089.504211840278</v>
      </c>
      <c r="G657" s="3">
        <v>46089</v>
      </c>
      <c r="H657" t="s">
        <v>125</v>
      </c>
      <c r="I657">
        <v>12</v>
      </c>
    </row>
    <row r="658" spans="1:9" x14ac:dyDescent="0.2">
      <c r="A658" s="18" t="s">
        <v>690</v>
      </c>
      <c r="B658" s="18" t="s">
        <v>10</v>
      </c>
      <c r="C658" s="2">
        <v>46089.854450092593</v>
      </c>
      <c r="D658">
        <v>532</v>
      </c>
      <c r="E658" s="7" t="s">
        <v>31</v>
      </c>
      <c r="F658" s="2">
        <v>46089.562783425929</v>
      </c>
      <c r="G658" s="3">
        <v>46089</v>
      </c>
      <c r="H658" t="s">
        <v>125</v>
      </c>
      <c r="I658">
        <v>13</v>
      </c>
    </row>
    <row r="659" spans="1:9" x14ac:dyDescent="0.2">
      <c r="A659" s="18" t="s">
        <v>1246</v>
      </c>
      <c r="B659" s="18" t="s">
        <v>10</v>
      </c>
      <c r="C659" s="2">
        <v>46089.856834085651</v>
      </c>
      <c r="D659">
        <v>532</v>
      </c>
      <c r="E659" s="7" t="s">
        <v>31</v>
      </c>
      <c r="F659" s="2">
        <v>46089.565167418979</v>
      </c>
      <c r="G659" s="3">
        <v>46089</v>
      </c>
      <c r="H659" t="s">
        <v>125</v>
      </c>
      <c r="I659">
        <v>13</v>
      </c>
    </row>
    <row r="660" spans="1:9" x14ac:dyDescent="0.2">
      <c r="A660" s="18" t="s">
        <v>691</v>
      </c>
      <c r="B660" s="18" t="s">
        <v>10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125</v>
      </c>
      <c r="I660">
        <v>15</v>
      </c>
    </row>
    <row r="661" spans="1:9" x14ac:dyDescent="0.2">
      <c r="A661" s="18" t="s">
        <v>692</v>
      </c>
      <c r="B661" s="18" t="s">
        <v>10</v>
      </c>
      <c r="C661" s="2">
        <v>46090.337255300925</v>
      </c>
      <c r="D661">
        <v>532</v>
      </c>
      <c r="E661" s="7" t="s">
        <v>34</v>
      </c>
      <c r="F661" s="2">
        <v>46090.045588634261</v>
      </c>
      <c r="G661" s="3">
        <v>46090</v>
      </c>
      <c r="H661" t="s">
        <v>11</v>
      </c>
      <c r="I661">
        <v>1</v>
      </c>
    </row>
    <row r="662" spans="1:9" x14ac:dyDescent="0.2">
      <c r="A662" s="18" t="s">
        <v>693</v>
      </c>
      <c r="B662" s="18" t="s">
        <v>10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11</v>
      </c>
      <c r="I662">
        <v>2</v>
      </c>
    </row>
    <row r="663" spans="1:9" x14ac:dyDescent="0.2">
      <c r="A663" s="18" t="s">
        <v>694</v>
      </c>
      <c r="B663" s="18" t="s">
        <v>10</v>
      </c>
      <c r="C663" s="2">
        <v>46090.376451840275</v>
      </c>
      <c r="D663">
        <v>3</v>
      </c>
      <c r="F663" s="2">
        <v>46090.084785173611</v>
      </c>
      <c r="G663" s="3">
        <v>46090</v>
      </c>
      <c r="H663" t="s">
        <v>11</v>
      </c>
      <c r="I663">
        <v>2</v>
      </c>
    </row>
    <row r="664" spans="1:9" x14ac:dyDescent="0.2">
      <c r="A664" s="18" t="s">
        <v>695</v>
      </c>
      <c r="B664" s="18" t="s">
        <v>10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11</v>
      </c>
      <c r="I664">
        <v>2</v>
      </c>
    </row>
    <row r="665" spans="1:9" x14ac:dyDescent="0.2">
      <c r="A665" s="18" t="s">
        <v>1326</v>
      </c>
      <c r="B665" s="18" t="s">
        <v>10</v>
      </c>
      <c r="C665" s="2">
        <v>46090.38398554398</v>
      </c>
      <c r="D665">
        <v>532</v>
      </c>
      <c r="F665" s="2">
        <v>46090.092318877316</v>
      </c>
      <c r="G665" s="3">
        <v>46090</v>
      </c>
      <c r="H665" t="s">
        <v>11</v>
      </c>
      <c r="I665">
        <v>2</v>
      </c>
    </row>
    <row r="666" spans="1:9" x14ac:dyDescent="0.2">
      <c r="A666" s="18" t="s">
        <v>1327</v>
      </c>
      <c r="B666" s="18" t="s">
        <v>10</v>
      </c>
      <c r="C666" s="2">
        <v>46090.386074988426</v>
      </c>
      <c r="D666">
        <v>532</v>
      </c>
      <c r="E666" s="7" t="s">
        <v>859</v>
      </c>
      <c r="F666" s="2">
        <v>46090.094408321762</v>
      </c>
      <c r="G666" s="3">
        <v>46090</v>
      </c>
      <c r="H666" t="s">
        <v>11</v>
      </c>
      <c r="I666">
        <v>2</v>
      </c>
    </row>
    <row r="667" spans="1:9" x14ac:dyDescent="0.2">
      <c r="A667" s="18" t="s">
        <v>696</v>
      </c>
      <c r="B667" s="18" t="s">
        <v>10</v>
      </c>
      <c r="C667" s="2">
        <v>46090.387015405089</v>
      </c>
      <c r="D667">
        <v>3</v>
      </c>
      <c r="E667" s="7" t="s">
        <v>697</v>
      </c>
      <c r="F667" s="2">
        <v>46090.095348738425</v>
      </c>
      <c r="G667" s="3">
        <v>46090</v>
      </c>
      <c r="H667" t="s">
        <v>11</v>
      </c>
      <c r="I667">
        <v>2</v>
      </c>
    </row>
    <row r="668" spans="1:9" x14ac:dyDescent="0.2">
      <c r="A668" s="18" t="s">
        <v>1158</v>
      </c>
      <c r="B668" s="18" t="s">
        <v>10</v>
      </c>
      <c r="C668" s="2">
        <v>46090.392068159723</v>
      </c>
      <c r="D668">
        <v>3</v>
      </c>
      <c r="E668" s="7" t="s">
        <v>697</v>
      </c>
      <c r="F668" s="2">
        <v>46090.100401493059</v>
      </c>
      <c r="G668" s="3">
        <v>46090</v>
      </c>
      <c r="H668" t="s">
        <v>11</v>
      </c>
      <c r="I668">
        <v>2</v>
      </c>
    </row>
    <row r="669" spans="1:9" x14ac:dyDescent="0.2">
      <c r="A669" s="18" t="s">
        <v>1159</v>
      </c>
      <c r="B669" s="18" t="s">
        <v>10</v>
      </c>
      <c r="C669" s="2">
        <v>46090.392462488424</v>
      </c>
      <c r="D669">
        <v>532</v>
      </c>
      <c r="E669" s="7" t="s">
        <v>859</v>
      </c>
      <c r="F669" s="2">
        <v>46090.10079582176</v>
      </c>
      <c r="G669" s="3">
        <v>46090</v>
      </c>
      <c r="H669" t="s">
        <v>11</v>
      </c>
      <c r="I669">
        <v>2</v>
      </c>
    </row>
    <row r="670" spans="1:9" x14ac:dyDescent="0.2">
      <c r="A670" s="18" t="s">
        <v>698</v>
      </c>
      <c r="B670" s="18" t="s">
        <v>10</v>
      </c>
      <c r="C670" s="2">
        <v>46090.409615729164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11</v>
      </c>
      <c r="I670">
        <v>2</v>
      </c>
    </row>
    <row r="671" spans="1:9" x14ac:dyDescent="0.2">
      <c r="A671" s="18" t="s">
        <v>699</v>
      </c>
      <c r="B671" s="18" t="s">
        <v>10</v>
      </c>
      <c r="C671" s="2">
        <v>46090.410248784719</v>
      </c>
      <c r="D671">
        <v>3</v>
      </c>
      <c r="F671" s="2">
        <v>46090.118582118055</v>
      </c>
      <c r="G671" s="3">
        <v>46090</v>
      </c>
      <c r="H671" t="s">
        <v>11</v>
      </c>
      <c r="I671">
        <v>2</v>
      </c>
    </row>
    <row r="672" spans="1:9" x14ac:dyDescent="0.2">
      <c r="A672" s="18" t="s">
        <v>858</v>
      </c>
      <c r="B672" s="18" t="s">
        <v>10</v>
      </c>
      <c r="C672" s="2">
        <v>46090.412470185183</v>
      </c>
      <c r="D672">
        <v>532</v>
      </c>
      <c r="E672" s="7" t="s">
        <v>859</v>
      </c>
      <c r="F672" s="2">
        <v>46090.120803518519</v>
      </c>
      <c r="G672" s="3">
        <v>46090</v>
      </c>
      <c r="H672" t="s">
        <v>11</v>
      </c>
      <c r="I672">
        <v>2</v>
      </c>
    </row>
    <row r="673" spans="1:9" x14ac:dyDescent="0.2">
      <c r="A673" s="18" t="s">
        <v>700</v>
      </c>
      <c r="B673" s="18" t="s">
        <v>10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11</v>
      </c>
      <c r="I673">
        <v>3</v>
      </c>
    </row>
    <row r="674" spans="1:9" x14ac:dyDescent="0.2">
      <c r="A674" s="18" t="s">
        <v>701</v>
      </c>
      <c r="B674" s="18" t="s">
        <v>10</v>
      </c>
      <c r="C674" s="2">
        <v>46090.494609444446</v>
      </c>
      <c r="D674">
        <v>2</v>
      </c>
      <c r="F674" s="2">
        <v>46090.202942777774</v>
      </c>
      <c r="G674" s="3">
        <v>46090</v>
      </c>
      <c r="H674" t="s">
        <v>11</v>
      </c>
      <c r="I674">
        <v>4</v>
      </c>
    </row>
    <row r="675" spans="1:9" x14ac:dyDescent="0.2">
      <c r="A675" s="18" t="s">
        <v>702</v>
      </c>
      <c r="B675" s="18" t="s">
        <v>10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11</v>
      </c>
      <c r="I675">
        <v>4</v>
      </c>
    </row>
    <row r="676" spans="1:9" x14ac:dyDescent="0.2">
      <c r="A676" s="18" t="s">
        <v>703</v>
      </c>
      <c r="B676" s="18" t="s">
        <v>10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11</v>
      </c>
      <c r="I676">
        <v>5</v>
      </c>
    </row>
    <row r="677" spans="1:9" x14ac:dyDescent="0.2">
      <c r="A677" s="18" t="s">
        <v>704</v>
      </c>
      <c r="B677" s="18" t="s">
        <v>10</v>
      </c>
      <c r="C677" s="2">
        <v>46090.511060833334</v>
      </c>
      <c r="D677">
        <v>3</v>
      </c>
      <c r="E677" s="7" t="s">
        <v>705</v>
      </c>
      <c r="F677" s="2">
        <v>46090.21939416667</v>
      </c>
      <c r="G677" s="3">
        <v>46090</v>
      </c>
      <c r="H677" t="s">
        <v>11</v>
      </c>
      <c r="I677">
        <v>5</v>
      </c>
    </row>
    <row r="678" spans="1:9" x14ac:dyDescent="0.2">
      <c r="A678" s="18" t="s">
        <v>706</v>
      </c>
      <c r="B678" s="18" t="s">
        <v>10</v>
      </c>
      <c r="C678" s="2">
        <v>46090.518265231483</v>
      </c>
      <c r="D678">
        <v>576</v>
      </c>
      <c r="E678" s="7" t="s">
        <v>707</v>
      </c>
      <c r="F678" s="2">
        <v>46090.226598564812</v>
      </c>
      <c r="G678" s="3">
        <v>46090</v>
      </c>
      <c r="H678" t="s">
        <v>11</v>
      </c>
      <c r="I678">
        <v>5</v>
      </c>
    </row>
    <row r="679" spans="1:9" x14ac:dyDescent="0.2">
      <c r="A679" s="18" t="s">
        <v>708</v>
      </c>
      <c r="B679" s="18" t="s">
        <v>10</v>
      </c>
      <c r="C679" s="2">
        <v>46090.532416041664</v>
      </c>
      <c r="D679">
        <v>3</v>
      </c>
      <c r="E679" s="7" t="s">
        <v>709</v>
      </c>
      <c r="F679" s="2">
        <v>46090.240749375</v>
      </c>
      <c r="G679" s="3">
        <v>46090</v>
      </c>
      <c r="H679" t="s">
        <v>11</v>
      </c>
      <c r="I679">
        <v>5</v>
      </c>
    </row>
    <row r="680" spans="1:9" x14ac:dyDescent="0.2">
      <c r="A680" s="18" t="s">
        <v>710</v>
      </c>
      <c r="B680" s="18" t="s">
        <v>10</v>
      </c>
      <c r="C680" s="2">
        <v>46090.532979618052</v>
      </c>
      <c r="D680">
        <v>3</v>
      </c>
      <c r="E680" s="7" t="s">
        <v>60</v>
      </c>
      <c r="F680" s="2">
        <v>46090.241312951388</v>
      </c>
      <c r="G680" s="3">
        <v>46090</v>
      </c>
      <c r="H680" t="s">
        <v>11</v>
      </c>
      <c r="I680">
        <v>5</v>
      </c>
    </row>
    <row r="681" spans="1:9" x14ac:dyDescent="0.2">
      <c r="A681" s="18" t="s">
        <v>711</v>
      </c>
      <c r="B681" s="18" t="s">
        <v>10</v>
      </c>
      <c r="C681" s="2">
        <v>46090.584843020835</v>
      </c>
      <c r="D681">
        <v>532</v>
      </c>
      <c r="E681" s="7">
        <v>207</v>
      </c>
      <c r="F681" s="2">
        <v>46090.293176354164</v>
      </c>
      <c r="G681" s="3">
        <v>46090</v>
      </c>
      <c r="H681" t="s">
        <v>11</v>
      </c>
      <c r="I681">
        <v>7</v>
      </c>
    </row>
    <row r="682" spans="1:9" x14ac:dyDescent="0.2">
      <c r="A682" s="18" t="s">
        <v>712</v>
      </c>
      <c r="B682" s="18" t="s">
        <v>10</v>
      </c>
      <c r="C682" s="2">
        <v>46090.647673784719</v>
      </c>
      <c r="D682">
        <v>532</v>
      </c>
      <c r="E682" s="7">
        <v>207</v>
      </c>
      <c r="F682" s="2">
        <v>46090.356007118055</v>
      </c>
      <c r="G682" s="3">
        <v>46090</v>
      </c>
      <c r="H682" t="s">
        <v>11</v>
      </c>
      <c r="I682">
        <v>8</v>
      </c>
    </row>
    <row r="683" spans="1:9" x14ac:dyDescent="0.2">
      <c r="A683" s="18" t="s">
        <v>713</v>
      </c>
      <c r="B683" s="18" t="s">
        <v>10</v>
      </c>
      <c r="C683" s="2">
        <v>46090.653773680555</v>
      </c>
      <c r="D683">
        <v>3</v>
      </c>
      <c r="E683" s="7" t="s">
        <v>697</v>
      </c>
      <c r="F683" s="2">
        <v>46090.362107013891</v>
      </c>
      <c r="G683" s="3">
        <v>46090</v>
      </c>
      <c r="H683" t="s">
        <v>11</v>
      </c>
      <c r="I683">
        <v>8</v>
      </c>
    </row>
    <row r="684" spans="1:9" x14ac:dyDescent="0.2">
      <c r="A684" s="18" t="s">
        <v>714</v>
      </c>
      <c r="B684" s="18" t="s">
        <v>10</v>
      </c>
      <c r="C684" s="2">
        <v>46090.681944780095</v>
      </c>
      <c r="D684">
        <v>3</v>
      </c>
      <c r="F684" s="2">
        <v>46090.390278113424</v>
      </c>
      <c r="G684" s="3">
        <v>46090</v>
      </c>
      <c r="H684" t="s">
        <v>11</v>
      </c>
      <c r="I684">
        <v>9</v>
      </c>
    </row>
    <row r="685" spans="1:9" x14ac:dyDescent="0.2">
      <c r="A685" s="18" t="s">
        <v>715</v>
      </c>
      <c r="B685" s="18" t="s">
        <v>10</v>
      </c>
      <c r="C685" s="2">
        <v>46090.692090138888</v>
      </c>
      <c r="D685">
        <v>575</v>
      </c>
      <c r="E685" s="7" t="s">
        <v>716</v>
      </c>
      <c r="F685" s="2">
        <v>46090.400423472223</v>
      </c>
      <c r="G685" s="3">
        <v>46090</v>
      </c>
      <c r="H685" t="s">
        <v>11</v>
      </c>
      <c r="I685">
        <v>9</v>
      </c>
    </row>
    <row r="686" spans="1:9" x14ac:dyDescent="0.2">
      <c r="A686" s="18" t="s">
        <v>717</v>
      </c>
      <c r="B686" s="18" t="s">
        <v>10</v>
      </c>
      <c r="C686" s="2">
        <v>46090.692251898145</v>
      </c>
      <c r="D686">
        <v>575</v>
      </c>
      <c r="F686" s="2">
        <v>46090.40058523148</v>
      </c>
      <c r="G686" s="3">
        <v>46090</v>
      </c>
      <c r="H686" t="s">
        <v>11</v>
      </c>
      <c r="I686">
        <v>9</v>
      </c>
    </row>
    <row r="687" spans="1:9" x14ac:dyDescent="0.2">
      <c r="A687" s="18" t="s">
        <v>718</v>
      </c>
      <c r="B687" s="18" t="s">
        <v>10</v>
      </c>
      <c r="C687" s="2">
        <v>46090.722894189814</v>
      </c>
      <c r="D687">
        <v>575</v>
      </c>
      <c r="F687" s="2">
        <v>46090.43122752315</v>
      </c>
      <c r="G687" s="3">
        <v>46090</v>
      </c>
      <c r="H687" t="s">
        <v>11</v>
      </c>
      <c r="I687">
        <v>10</v>
      </c>
    </row>
    <row r="688" spans="1:9" x14ac:dyDescent="0.2">
      <c r="A688" s="18" t="s">
        <v>719</v>
      </c>
      <c r="B688" s="18" t="s">
        <v>10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11</v>
      </c>
      <c r="I688">
        <v>10</v>
      </c>
    </row>
    <row r="689" spans="1:9" x14ac:dyDescent="0.2">
      <c r="A689" s="18" t="s">
        <v>860</v>
      </c>
      <c r="B689" s="18" t="s">
        <v>10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11</v>
      </c>
      <c r="I689">
        <v>10</v>
      </c>
    </row>
    <row r="690" spans="1:9" x14ac:dyDescent="0.2">
      <c r="A690" s="18" t="s">
        <v>720</v>
      </c>
      <c r="B690" s="18" t="s">
        <v>10</v>
      </c>
      <c r="C690" s="2">
        <v>46090.781441261577</v>
      </c>
      <c r="D690">
        <v>531</v>
      </c>
      <c r="F690" s="2">
        <v>46090.489774594906</v>
      </c>
      <c r="G690" s="3">
        <v>46090</v>
      </c>
      <c r="H690" t="s">
        <v>11</v>
      </c>
      <c r="I690">
        <v>11</v>
      </c>
    </row>
    <row r="691" spans="1:9" x14ac:dyDescent="0.2">
      <c r="A691" s="18" t="s">
        <v>721</v>
      </c>
      <c r="B691" s="18" t="s">
        <v>10</v>
      </c>
      <c r="C691" s="2">
        <v>46090.784094849536</v>
      </c>
      <c r="D691">
        <v>3</v>
      </c>
      <c r="F691" s="2">
        <v>46090.492428182872</v>
      </c>
      <c r="G691" s="3">
        <v>46090</v>
      </c>
      <c r="H691" t="s">
        <v>11</v>
      </c>
      <c r="I691">
        <v>11</v>
      </c>
    </row>
    <row r="692" spans="1:9" x14ac:dyDescent="0.2">
      <c r="A692" s="18" t="s">
        <v>722</v>
      </c>
      <c r="B692" s="18" t="s">
        <v>10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11</v>
      </c>
      <c r="I692">
        <v>12</v>
      </c>
    </row>
    <row r="693" spans="1:9" x14ac:dyDescent="0.2">
      <c r="A693" s="18" t="s">
        <v>723</v>
      </c>
      <c r="B693" s="18" t="s">
        <v>10</v>
      </c>
      <c r="C693" s="2">
        <v>46090.804582581019</v>
      </c>
      <c r="D693">
        <v>35</v>
      </c>
      <c r="F693" s="2">
        <v>46090.512915914354</v>
      </c>
      <c r="G693" s="3">
        <v>46090</v>
      </c>
      <c r="H693" t="s">
        <v>11</v>
      </c>
      <c r="I693">
        <v>12</v>
      </c>
    </row>
    <row r="694" spans="1:9" x14ac:dyDescent="0.2">
      <c r="A694" s="18" t="s">
        <v>724</v>
      </c>
      <c r="B694" s="18" t="s">
        <v>10</v>
      </c>
      <c r="C694" s="2">
        <v>46090.820015972226</v>
      </c>
      <c r="D694">
        <v>531</v>
      </c>
      <c r="F694" s="2">
        <v>46090.528349305554</v>
      </c>
      <c r="G694" s="3">
        <v>46090</v>
      </c>
      <c r="H694" t="s">
        <v>11</v>
      </c>
      <c r="I694">
        <v>12</v>
      </c>
    </row>
    <row r="695" spans="1:9" x14ac:dyDescent="0.2">
      <c r="A695" s="18" t="s">
        <v>725</v>
      </c>
      <c r="B695" s="18" t="s">
        <v>10</v>
      </c>
      <c r="C695" s="2">
        <v>46090.842136354164</v>
      </c>
      <c r="D695">
        <v>531</v>
      </c>
      <c r="F695" s="2">
        <v>46090.5504696875</v>
      </c>
      <c r="G695" s="3">
        <v>46090</v>
      </c>
      <c r="H695" t="s">
        <v>11</v>
      </c>
      <c r="I695">
        <v>13</v>
      </c>
    </row>
    <row r="696" spans="1:9" x14ac:dyDescent="0.2">
      <c r="A696" s="18" t="s">
        <v>726</v>
      </c>
      <c r="B696" s="18" t="s">
        <v>10</v>
      </c>
      <c r="C696" s="2">
        <v>46090.88002892361</v>
      </c>
      <c r="D696">
        <v>531</v>
      </c>
      <c r="F696" s="2">
        <v>46090.588362256945</v>
      </c>
      <c r="G696" s="3">
        <v>46090</v>
      </c>
      <c r="H696" t="s">
        <v>11</v>
      </c>
      <c r="I696">
        <v>14</v>
      </c>
    </row>
    <row r="697" spans="1:9" x14ac:dyDescent="0.2">
      <c r="A697" s="18" t="s">
        <v>727</v>
      </c>
      <c r="B697" s="18" t="s">
        <v>10</v>
      </c>
      <c r="C697" s="2">
        <v>46090.881866851851</v>
      </c>
      <c r="D697">
        <v>3</v>
      </c>
      <c r="E697" s="7" t="s">
        <v>728</v>
      </c>
      <c r="F697" s="2">
        <v>46090.590200185186</v>
      </c>
      <c r="G697" s="3">
        <v>46090</v>
      </c>
      <c r="H697" t="s">
        <v>11</v>
      </c>
      <c r="I697">
        <v>14</v>
      </c>
    </row>
    <row r="698" spans="1:9" x14ac:dyDescent="0.2">
      <c r="A698" s="18" t="s">
        <v>729</v>
      </c>
      <c r="B698" s="18" t="s">
        <v>10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11</v>
      </c>
      <c r="I698">
        <v>23</v>
      </c>
    </row>
    <row r="699" spans="1:9" x14ac:dyDescent="0.2">
      <c r="A699" s="18" t="s">
        <v>730</v>
      </c>
      <c r="B699" s="18" t="s">
        <v>10</v>
      </c>
      <c r="C699" s="2">
        <v>46091.335050451387</v>
      </c>
      <c r="D699">
        <v>531</v>
      </c>
      <c r="E699" s="7" t="s">
        <v>34</v>
      </c>
      <c r="F699" s="2">
        <v>46091.043383784723</v>
      </c>
      <c r="G699" s="3">
        <v>46091</v>
      </c>
      <c r="H699" t="s">
        <v>28</v>
      </c>
      <c r="I699">
        <v>1</v>
      </c>
    </row>
    <row r="700" spans="1:9" x14ac:dyDescent="0.2">
      <c r="A700" s="18" t="s">
        <v>731</v>
      </c>
      <c r="B700" s="18" t="s">
        <v>10</v>
      </c>
      <c r="C700" s="2">
        <v>46091.34023144676</v>
      </c>
      <c r="D700">
        <v>3</v>
      </c>
      <c r="E700" s="7" t="s">
        <v>60</v>
      </c>
      <c r="F700" s="2">
        <v>46091.048564780096</v>
      </c>
      <c r="G700" s="3">
        <v>46091</v>
      </c>
      <c r="H700" t="s">
        <v>28</v>
      </c>
      <c r="I700">
        <v>1</v>
      </c>
    </row>
    <row r="701" spans="1:9" x14ac:dyDescent="0.2">
      <c r="A701" s="18" t="s">
        <v>732</v>
      </c>
      <c r="B701" s="18" t="s">
        <v>10</v>
      </c>
      <c r="C701" s="2">
        <v>46091.348845821762</v>
      </c>
      <c r="D701">
        <v>3</v>
      </c>
      <c r="E701" s="7" t="s">
        <v>625</v>
      </c>
      <c r="F701" s="2">
        <v>46091.05717915509</v>
      </c>
      <c r="G701" s="3">
        <v>46091</v>
      </c>
      <c r="H701" t="s">
        <v>28</v>
      </c>
      <c r="I701">
        <v>1</v>
      </c>
    </row>
    <row r="702" spans="1:9" x14ac:dyDescent="0.2">
      <c r="A702" s="18" t="s">
        <v>1328</v>
      </c>
      <c r="B702" s="18" t="s">
        <v>10</v>
      </c>
      <c r="C702" s="2">
        <v>46091.353812164351</v>
      </c>
      <c r="D702">
        <v>3</v>
      </c>
      <c r="E702" s="7" t="s">
        <v>60</v>
      </c>
      <c r="F702" s="2">
        <v>46091.062145497686</v>
      </c>
      <c r="G702" s="3">
        <v>46091</v>
      </c>
      <c r="H702" t="s">
        <v>28</v>
      </c>
      <c r="I702">
        <v>1</v>
      </c>
    </row>
    <row r="703" spans="1:9" x14ac:dyDescent="0.2">
      <c r="A703" s="18" t="s">
        <v>861</v>
      </c>
      <c r="B703" s="18" t="s">
        <v>10</v>
      </c>
      <c r="C703" s="2">
        <v>46091.370120185187</v>
      </c>
      <c r="D703">
        <v>3</v>
      </c>
      <c r="E703" s="7" t="s">
        <v>60</v>
      </c>
      <c r="F703" s="2">
        <v>46091.078453518516</v>
      </c>
      <c r="G703" s="3">
        <v>46091</v>
      </c>
      <c r="H703" t="s">
        <v>28</v>
      </c>
      <c r="I703">
        <v>1</v>
      </c>
    </row>
    <row r="704" spans="1:9" x14ac:dyDescent="0.2">
      <c r="A704" s="18" t="s">
        <v>862</v>
      </c>
      <c r="B704" s="18" t="s">
        <v>10</v>
      </c>
      <c r="C704" s="2">
        <v>46091.370450856484</v>
      </c>
      <c r="D704">
        <v>3</v>
      </c>
      <c r="E704" s="7" t="s">
        <v>625</v>
      </c>
      <c r="F704" s="2">
        <v>46091.078784189813</v>
      </c>
      <c r="G704" s="3">
        <v>46091</v>
      </c>
      <c r="H704" t="s">
        <v>28</v>
      </c>
      <c r="I704">
        <v>1</v>
      </c>
    </row>
    <row r="705" spans="1:9" x14ac:dyDescent="0.2">
      <c r="A705" s="18" t="s">
        <v>733</v>
      </c>
      <c r="B705" s="18" t="s">
        <v>10</v>
      </c>
      <c r="C705" s="2">
        <v>46091.376135127313</v>
      </c>
      <c r="D705">
        <v>3</v>
      </c>
      <c r="E705" s="7" t="s">
        <v>60</v>
      </c>
      <c r="F705" s="2">
        <v>46091.084468460649</v>
      </c>
      <c r="G705" s="3">
        <v>46091</v>
      </c>
      <c r="H705" t="s">
        <v>28</v>
      </c>
      <c r="I705">
        <v>2</v>
      </c>
    </row>
    <row r="706" spans="1:9" x14ac:dyDescent="0.2">
      <c r="A706" s="18" t="s">
        <v>1194</v>
      </c>
      <c r="B706" s="18" t="s">
        <v>10</v>
      </c>
      <c r="C706" s="2">
        <v>46091.382489953707</v>
      </c>
      <c r="D706">
        <v>3</v>
      </c>
      <c r="E706" s="7" t="s">
        <v>60</v>
      </c>
      <c r="F706" s="2">
        <v>46091.090823287035</v>
      </c>
      <c r="G706" s="3">
        <v>46091</v>
      </c>
      <c r="H706" t="s">
        <v>28</v>
      </c>
      <c r="I706">
        <v>2</v>
      </c>
    </row>
    <row r="707" spans="1:9" x14ac:dyDescent="0.2">
      <c r="A707" s="18" t="s">
        <v>836</v>
      </c>
      <c r="B707" s="18" t="s">
        <v>10</v>
      </c>
      <c r="C707" s="2">
        <v>46091.390529965276</v>
      </c>
      <c r="D707">
        <v>3</v>
      </c>
      <c r="E707" s="7" t="s">
        <v>60</v>
      </c>
      <c r="F707" s="2">
        <v>46091.098863298612</v>
      </c>
      <c r="G707" s="3">
        <v>46091</v>
      </c>
      <c r="H707" t="s">
        <v>28</v>
      </c>
      <c r="I707">
        <v>2</v>
      </c>
    </row>
    <row r="708" spans="1:9" x14ac:dyDescent="0.2">
      <c r="A708" s="18" t="s">
        <v>734</v>
      </c>
      <c r="B708" s="18" t="s">
        <v>10</v>
      </c>
      <c r="C708" s="2">
        <v>46091.406181782404</v>
      </c>
      <c r="D708">
        <v>531</v>
      </c>
      <c r="F708" s="2">
        <v>46091.11451511574</v>
      </c>
      <c r="G708" s="3">
        <v>46091</v>
      </c>
      <c r="H708" t="s">
        <v>28</v>
      </c>
      <c r="I708">
        <v>2</v>
      </c>
    </row>
    <row r="709" spans="1:9" x14ac:dyDescent="0.2">
      <c r="A709" s="18" t="s">
        <v>735</v>
      </c>
      <c r="B709" s="18" t="s">
        <v>10</v>
      </c>
      <c r="C709" s="2">
        <v>46091.424370821762</v>
      </c>
      <c r="D709">
        <v>3</v>
      </c>
      <c r="E709" s="7" t="s">
        <v>60</v>
      </c>
      <c r="F709" s="2">
        <v>46091.13270415509</v>
      </c>
      <c r="G709" s="3">
        <v>46091</v>
      </c>
      <c r="H709" t="s">
        <v>28</v>
      </c>
      <c r="I709">
        <v>3</v>
      </c>
    </row>
    <row r="710" spans="1:9" x14ac:dyDescent="0.2">
      <c r="A710" s="18" t="s">
        <v>900</v>
      </c>
      <c r="B710" s="18" t="s">
        <v>10</v>
      </c>
      <c r="C710" s="2">
        <v>46091.45267392361</v>
      </c>
      <c r="D710">
        <v>3</v>
      </c>
      <c r="E710" s="7" t="s">
        <v>60</v>
      </c>
      <c r="F710" s="2">
        <v>46091.161007256946</v>
      </c>
      <c r="G710" s="3">
        <v>46091</v>
      </c>
      <c r="H710" t="s">
        <v>28</v>
      </c>
      <c r="I710">
        <v>3</v>
      </c>
    </row>
    <row r="711" spans="1:9" x14ac:dyDescent="0.2">
      <c r="A711" s="18" t="s">
        <v>736</v>
      </c>
      <c r="B711" s="18" t="s">
        <v>10</v>
      </c>
      <c r="C711" s="2">
        <v>46091.47644835648</v>
      </c>
      <c r="D711">
        <v>3</v>
      </c>
      <c r="E711" s="7" t="s">
        <v>60</v>
      </c>
      <c r="F711" s="2">
        <v>46091.184781689815</v>
      </c>
      <c r="G711" s="3">
        <v>46091</v>
      </c>
      <c r="H711" t="s">
        <v>28</v>
      </c>
      <c r="I711">
        <v>4</v>
      </c>
    </row>
    <row r="712" spans="1:9" x14ac:dyDescent="0.2">
      <c r="A712" s="18" t="s">
        <v>737</v>
      </c>
      <c r="B712" s="18" t="s">
        <v>10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28</v>
      </c>
      <c r="I712">
        <v>4</v>
      </c>
    </row>
    <row r="713" spans="1:9" x14ac:dyDescent="0.2">
      <c r="A713" s="18" t="s">
        <v>738</v>
      </c>
      <c r="B713" s="18" t="s">
        <v>10</v>
      </c>
      <c r="C713" s="2">
        <v>46091.53866298611</v>
      </c>
      <c r="D713">
        <v>36</v>
      </c>
      <c r="F713" s="2">
        <v>46091.246996319445</v>
      </c>
      <c r="G713" s="3">
        <v>46091</v>
      </c>
      <c r="H713" t="s">
        <v>28</v>
      </c>
      <c r="I713">
        <v>5</v>
      </c>
    </row>
    <row r="714" spans="1:9" x14ac:dyDescent="0.2">
      <c r="A714" s="18" t="s">
        <v>739</v>
      </c>
      <c r="B714" s="18" t="s">
        <v>10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28</v>
      </c>
      <c r="I714">
        <v>5</v>
      </c>
    </row>
    <row r="715" spans="1:9" x14ac:dyDescent="0.2">
      <c r="A715" s="18" t="s">
        <v>740</v>
      </c>
      <c r="B715" s="18" t="s">
        <v>10</v>
      </c>
      <c r="C715" s="2">
        <v>46091.542419756945</v>
      </c>
      <c r="D715">
        <v>36</v>
      </c>
      <c r="F715" s="2">
        <v>46091.25075309028</v>
      </c>
      <c r="G715" s="3">
        <v>46091</v>
      </c>
      <c r="H715" t="s">
        <v>28</v>
      </c>
      <c r="I715">
        <v>6</v>
      </c>
    </row>
    <row r="716" spans="1:9" x14ac:dyDescent="0.2">
      <c r="A716" s="18" t="s">
        <v>741</v>
      </c>
      <c r="B716" s="18" t="s">
        <v>10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28</v>
      </c>
      <c r="I716">
        <v>6</v>
      </c>
    </row>
    <row r="717" spans="1:9" x14ac:dyDescent="0.2">
      <c r="A717" s="18" t="s">
        <v>742</v>
      </c>
      <c r="B717" s="18" t="s">
        <v>10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28</v>
      </c>
      <c r="I717">
        <v>6</v>
      </c>
    </row>
    <row r="718" spans="1:9" x14ac:dyDescent="0.2">
      <c r="A718" s="18" t="s">
        <v>743</v>
      </c>
      <c r="B718" s="18" t="s">
        <v>10</v>
      </c>
      <c r="C718" s="2">
        <v>46091.568135810187</v>
      </c>
      <c r="D718">
        <v>3</v>
      </c>
      <c r="E718" s="7" t="s">
        <v>744</v>
      </c>
      <c r="F718" s="2">
        <v>46091.276469143515</v>
      </c>
      <c r="G718" s="3">
        <v>46091</v>
      </c>
      <c r="H718" t="s">
        <v>28</v>
      </c>
      <c r="I718">
        <v>6</v>
      </c>
    </row>
    <row r="719" spans="1:9" x14ac:dyDescent="0.2">
      <c r="A719" s="18" t="s">
        <v>870</v>
      </c>
      <c r="B719" s="18" t="s">
        <v>10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28</v>
      </c>
      <c r="I719">
        <v>6</v>
      </c>
    </row>
    <row r="720" spans="1:9" x14ac:dyDescent="0.2">
      <c r="A720" s="18" t="s">
        <v>745</v>
      </c>
      <c r="B720" s="18" t="s">
        <v>10</v>
      </c>
      <c r="C720" s="2">
        <v>46091.587484965276</v>
      </c>
      <c r="D720">
        <v>2</v>
      </c>
      <c r="F720" s="2">
        <v>46091.295818298611</v>
      </c>
      <c r="G720" s="3">
        <v>46091</v>
      </c>
      <c r="H720" t="s">
        <v>28</v>
      </c>
      <c r="I720">
        <v>7</v>
      </c>
    </row>
    <row r="721" spans="1:9" x14ac:dyDescent="0.2">
      <c r="A721" s="18" t="s">
        <v>746</v>
      </c>
      <c r="B721" s="18" t="s">
        <v>10</v>
      </c>
      <c r="C721" s="2">
        <v>46091.588889212966</v>
      </c>
      <c r="D721">
        <v>36</v>
      </c>
      <c r="E721" s="7" t="s">
        <v>70</v>
      </c>
      <c r="F721" s="2">
        <v>46091.297222546295</v>
      </c>
      <c r="G721" s="3">
        <v>46091</v>
      </c>
      <c r="H721" t="s">
        <v>28</v>
      </c>
      <c r="I721">
        <v>7</v>
      </c>
    </row>
    <row r="722" spans="1:9" x14ac:dyDescent="0.2">
      <c r="A722" s="18" t="s">
        <v>747</v>
      </c>
      <c r="B722" s="18" t="s">
        <v>10</v>
      </c>
      <c r="C722" s="2">
        <v>46091.605429953706</v>
      </c>
      <c r="D722">
        <v>3</v>
      </c>
      <c r="F722" s="2">
        <v>46091.313763287035</v>
      </c>
      <c r="G722" s="3">
        <v>46091</v>
      </c>
      <c r="H722" t="s">
        <v>28</v>
      </c>
      <c r="I722">
        <v>7</v>
      </c>
    </row>
    <row r="723" spans="1:9" x14ac:dyDescent="0.2">
      <c r="A723" s="18" t="s">
        <v>748</v>
      </c>
      <c r="B723" s="18" t="s">
        <v>10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28</v>
      </c>
      <c r="I723">
        <v>7</v>
      </c>
    </row>
    <row r="724" spans="1:9" x14ac:dyDescent="0.2">
      <c r="A724" s="18" t="s">
        <v>749</v>
      </c>
      <c r="B724" s="18" t="s">
        <v>10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28</v>
      </c>
      <c r="I724">
        <v>8</v>
      </c>
    </row>
    <row r="725" spans="1:9" x14ac:dyDescent="0.2">
      <c r="A725" s="18" t="s">
        <v>1405</v>
      </c>
      <c r="B725" s="18" t="s">
        <v>10</v>
      </c>
      <c r="C725" s="2">
        <v>46091.633203206016</v>
      </c>
      <c r="D725">
        <v>3</v>
      </c>
      <c r="F725" s="2">
        <v>46091.341536539352</v>
      </c>
      <c r="G725" s="3">
        <v>46091</v>
      </c>
      <c r="H725" t="s">
        <v>28</v>
      </c>
      <c r="I725">
        <v>8</v>
      </c>
    </row>
    <row r="726" spans="1:9" x14ac:dyDescent="0.2">
      <c r="A726" s="18" t="s">
        <v>1341</v>
      </c>
      <c r="B726" s="18" t="s">
        <v>10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28</v>
      </c>
      <c r="I726">
        <v>8</v>
      </c>
    </row>
    <row r="727" spans="1:9" x14ac:dyDescent="0.2">
      <c r="A727" s="18" t="s">
        <v>1082</v>
      </c>
      <c r="B727" s="18" t="s">
        <v>10</v>
      </c>
      <c r="C727" s="2">
        <v>46091.665520636576</v>
      </c>
      <c r="D727">
        <v>3</v>
      </c>
      <c r="F727" s="2">
        <v>46091.373853969904</v>
      </c>
      <c r="G727" s="3">
        <v>46091</v>
      </c>
      <c r="H727" t="s">
        <v>28</v>
      </c>
      <c r="I727">
        <v>8</v>
      </c>
    </row>
    <row r="728" spans="1:9" x14ac:dyDescent="0.2">
      <c r="A728" s="18" t="s">
        <v>750</v>
      </c>
      <c r="B728" s="18" t="s">
        <v>10</v>
      </c>
      <c r="C728" s="2">
        <v>46091.693609166665</v>
      </c>
      <c r="D728">
        <v>826</v>
      </c>
      <c r="E728" s="7" t="s">
        <v>620</v>
      </c>
      <c r="F728" s="2">
        <v>46091.401942500001</v>
      </c>
      <c r="G728" s="3">
        <v>46091</v>
      </c>
      <c r="H728" t="s">
        <v>28</v>
      </c>
      <c r="I728">
        <v>9</v>
      </c>
    </row>
    <row r="729" spans="1:9" x14ac:dyDescent="0.2">
      <c r="A729" s="18" t="s">
        <v>1247</v>
      </c>
      <c r="B729" s="18" t="s">
        <v>10</v>
      </c>
      <c r="C729" s="2">
        <v>46091.702791793985</v>
      </c>
      <c r="D729">
        <v>575</v>
      </c>
      <c r="E729" s="7" t="s">
        <v>620</v>
      </c>
      <c r="F729" s="2">
        <v>46091.411125127313</v>
      </c>
      <c r="G729" s="3">
        <v>46091</v>
      </c>
      <c r="H729" t="s">
        <v>28</v>
      </c>
      <c r="I729">
        <v>9</v>
      </c>
    </row>
    <row r="730" spans="1:9" x14ac:dyDescent="0.2">
      <c r="A730" s="18" t="s">
        <v>753</v>
      </c>
      <c r="B730" s="18" t="s">
        <v>10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28</v>
      </c>
      <c r="I730">
        <v>10</v>
      </c>
    </row>
    <row r="731" spans="1:9" x14ac:dyDescent="0.2">
      <c r="A731" s="18" t="s">
        <v>754</v>
      </c>
      <c r="B731" s="18" t="s">
        <v>10</v>
      </c>
      <c r="C731" s="2">
        <v>46091.761021388891</v>
      </c>
      <c r="D731">
        <v>575</v>
      </c>
      <c r="E731" s="7" t="s">
        <v>536</v>
      </c>
      <c r="F731" s="2">
        <v>46091.46935472222</v>
      </c>
      <c r="G731" s="3">
        <v>46091</v>
      </c>
      <c r="H731" t="s">
        <v>28</v>
      </c>
      <c r="I731">
        <v>11</v>
      </c>
    </row>
    <row r="732" spans="1:9" x14ac:dyDescent="0.2">
      <c r="A732" s="18" t="s">
        <v>755</v>
      </c>
      <c r="B732" s="18" t="s">
        <v>10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28</v>
      </c>
      <c r="I732">
        <v>11</v>
      </c>
    </row>
    <row r="733" spans="1:9" x14ac:dyDescent="0.2">
      <c r="A733" s="18" t="s">
        <v>756</v>
      </c>
      <c r="B733" s="18" t="s">
        <v>10</v>
      </c>
      <c r="C733" s="2">
        <v>46091.799348032408</v>
      </c>
      <c r="D733">
        <v>3</v>
      </c>
      <c r="E733" s="7" t="s">
        <v>34</v>
      </c>
      <c r="F733" s="2">
        <v>46091.507681365743</v>
      </c>
      <c r="G733" s="3">
        <v>46091</v>
      </c>
      <c r="H733" t="s">
        <v>28</v>
      </c>
      <c r="I733">
        <v>12</v>
      </c>
    </row>
    <row r="734" spans="1:9" x14ac:dyDescent="0.2">
      <c r="A734" s="18" t="s">
        <v>757</v>
      </c>
      <c r="B734" s="18" t="s">
        <v>10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28</v>
      </c>
      <c r="I734">
        <v>16</v>
      </c>
    </row>
    <row r="735" spans="1:9" x14ac:dyDescent="0.2">
      <c r="A735" s="18" t="s">
        <v>758</v>
      </c>
      <c r="B735" s="18" t="s">
        <v>10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63</v>
      </c>
      <c r="I735">
        <v>1</v>
      </c>
    </row>
    <row r="736" spans="1:9" x14ac:dyDescent="0.2">
      <c r="A736" s="18" t="s">
        <v>759</v>
      </c>
      <c r="B736" s="18" t="s">
        <v>10</v>
      </c>
      <c r="C736" s="2">
        <v>46092.357134745369</v>
      </c>
      <c r="D736">
        <v>3</v>
      </c>
      <c r="E736" s="7" t="s">
        <v>60</v>
      </c>
      <c r="F736" s="2">
        <v>46092.065468078705</v>
      </c>
      <c r="G736" s="3">
        <v>46092</v>
      </c>
      <c r="H736" t="s">
        <v>63</v>
      </c>
      <c r="I736">
        <v>1</v>
      </c>
    </row>
    <row r="737" spans="1:9" x14ac:dyDescent="0.2">
      <c r="A737" s="18" t="s">
        <v>760</v>
      </c>
      <c r="B737" s="18" t="s">
        <v>10</v>
      </c>
      <c r="C737" s="2">
        <v>46092.358672766204</v>
      </c>
      <c r="D737">
        <v>3</v>
      </c>
      <c r="F737" s="2">
        <v>46092.06700609954</v>
      </c>
      <c r="G737" s="3">
        <v>46092</v>
      </c>
      <c r="H737" t="s">
        <v>63</v>
      </c>
      <c r="I737">
        <v>1</v>
      </c>
    </row>
    <row r="738" spans="1:9" x14ac:dyDescent="0.2">
      <c r="A738" s="18" t="s">
        <v>761</v>
      </c>
      <c r="B738" s="18" t="s">
        <v>10</v>
      </c>
      <c r="C738" s="2">
        <v>46092.364941516207</v>
      </c>
      <c r="D738">
        <v>36</v>
      </c>
      <c r="F738" s="2">
        <v>46092.073274849536</v>
      </c>
      <c r="G738" s="3">
        <v>46092</v>
      </c>
      <c r="H738" t="s">
        <v>63</v>
      </c>
      <c r="I738">
        <v>1</v>
      </c>
    </row>
    <row r="739" spans="1:9" x14ac:dyDescent="0.2">
      <c r="A739" s="18" t="s">
        <v>1518</v>
      </c>
      <c r="B739" s="18" t="s">
        <v>10</v>
      </c>
      <c r="C739" s="2">
        <v>46092.365738506945</v>
      </c>
      <c r="D739">
        <v>2</v>
      </c>
      <c r="F739" s="2">
        <v>46092.074071840281</v>
      </c>
      <c r="G739" s="3">
        <v>46092</v>
      </c>
      <c r="H739" t="s">
        <v>63</v>
      </c>
      <c r="I739">
        <v>1</v>
      </c>
    </row>
    <row r="740" spans="1:9" x14ac:dyDescent="0.2">
      <c r="A740" s="18" t="s">
        <v>762</v>
      </c>
      <c r="B740" s="18" t="s">
        <v>10</v>
      </c>
      <c r="C740" s="2">
        <v>46092.372305335652</v>
      </c>
      <c r="D740">
        <v>575</v>
      </c>
      <c r="E740" s="7" t="s">
        <v>625</v>
      </c>
      <c r="F740" s="2">
        <v>46092.08063866898</v>
      </c>
      <c r="G740" s="3">
        <v>46092</v>
      </c>
      <c r="H740" t="s">
        <v>63</v>
      </c>
      <c r="I740">
        <v>1</v>
      </c>
    </row>
    <row r="741" spans="1:9" x14ac:dyDescent="0.2">
      <c r="A741" s="18" t="s">
        <v>763</v>
      </c>
      <c r="B741" s="18" t="s">
        <v>10</v>
      </c>
      <c r="C741" s="2">
        <v>46092.38396673611</v>
      </c>
      <c r="D741">
        <v>531</v>
      </c>
      <c r="E741" s="7" t="s">
        <v>34</v>
      </c>
      <c r="F741" s="2">
        <v>46092.092300069446</v>
      </c>
      <c r="G741" s="3">
        <v>46092</v>
      </c>
      <c r="H741" t="s">
        <v>63</v>
      </c>
      <c r="I741">
        <v>2</v>
      </c>
    </row>
    <row r="742" spans="1:9" x14ac:dyDescent="0.2">
      <c r="A742" s="18" t="s">
        <v>764</v>
      </c>
      <c r="B742" s="18" t="s">
        <v>10</v>
      </c>
      <c r="C742" s="2">
        <v>46092.402429270835</v>
      </c>
      <c r="D742">
        <v>531</v>
      </c>
      <c r="F742" s="2">
        <v>46092.11076260417</v>
      </c>
      <c r="G742" s="3">
        <v>46092</v>
      </c>
      <c r="H742" t="s">
        <v>63</v>
      </c>
      <c r="I742">
        <v>2</v>
      </c>
    </row>
    <row r="743" spans="1:9" x14ac:dyDescent="0.2">
      <c r="A743" s="18" t="s">
        <v>765</v>
      </c>
      <c r="B743" s="18" t="s">
        <v>10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63</v>
      </c>
      <c r="I743">
        <v>3</v>
      </c>
    </row>
    <row r="744" spans="1:9" x14ac:dyDescent="0.2">
      <c r="A744" s="18" t="s">
        <v>766</v>
      </c>
      <c r="B744" s="18" t="s">
        <v>10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63</v>
      </c>
      <c r="I744">
        <v>4</v>
      </c>
    </row>
    <row r="745" spans="1:9" x14ac:dyDescent="0.2">
      <c r="A745" s="18" t="s">
        <v>767</v>
      </c>
      <c r="B745" s="18" t="s">
        <v>10</v>
      </c>
      <c r="C745" s="2">
        <v>46092.489636655089</v>
      </c>
      <c r="D745">
        <v>531</v>
      </c>
      <c r="E745" s="7" t="s">
        <v>768</v>
      </c>
      <c r="F745" s="2">
        <v>46092.197969988425</v>
      </c>
      <c r="G745" s="3">
        <v>46092</v>
      </c>
      <c r="H745" t="s">
        <v>63</v>
      </c>
      <c r="I745">
        <v>4</v>
      </c>
    </row>
    <row r="746" spans="1:9" x14ac:dyDescent="0.2">
      <c r="A746" s="18" t="s">
        <v>871</v>
      </c>
      <c r="B746" s="18" t="s">
        <v>10</v>
      </c>
      <c r="C746" s="2">
        <v>46092.490464236114</v>
      </c>
      <c r="D746">
        <v>531</v>
      </c>
      <c r="E746" s="7" t="s">
        <v>768</v>
      </c>
      <c r="F746" s="2">
        <v>46092.198797569443</v>
      </c>
      <c r="G746" s="3">
        <v>46092</v>
      </c>
      <c r="H746" t="s">
        <v>63</v>
      </c>
      <c r="I746">
        <v>4</v>
      </c>
    </row>
    <row r="747" spans="1:9" x14ac:dyDescent="0.2">
      <c r="A747" s="18" t="s">
        <v>769</v>
      </c>
      <c r="B747" s="18" t="s">
        <v>10</v>
      </c>
      <c r="C747" s="2">
        <v>46092.49986664352</v>
      </c>
      <c r="D747">
        <v>3</v>
      </c>
      <c r="E747" s="7" t="s">
        <v>60</v>
      </c>
      <c r="F747" s="2">
        <v>46092.208199976849</v>
      </c>
      <c r="G747" s="3">
        <v>46092</v>
      </c>
      <c r="H747" t="s">
        <v>63</v>
      </c>
      <c r="I747">
        <v>4</v>
      </c>
    </row>
    <row r="748" spans="1:9" x14ac:dyDescent="0.2">
      <c r="A748" s="18" t="s">
        <v>770</v>
      </c>
      <c r="B748" s="18" t="s">
        <v>10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63</v>
      </c>
      <c r="I748">
        <v>5</v>
      </c>
    </row>
    <row r="749" spans="1:9" x14ac:dyDescent="0.2">
      <c r="A749" s="18" t="s">
        <v>771</v>
      </c>
      <c r="B749" s="18" t="s">
        <v>10</v>
      </c>
      <c r="C749" s="2">
        <v>46092.556878344905</v>
      </c>
      <c r="D749">
        <v>531</v>
      </c>
      <c r="F749" s="2">
        <v>46092.265211678241</v>
      </c>
      <c r="G749" s="3">
        <v>46092</v>
      </c>
      <c r="H749" t="s">
        <v>63</v>
      </c>
      <c r="I749">
        <v>6</v>
      </c>
    </row>
    <row r="750" spans="1:9" x14ac:dyDescent="0.2">
      <c r="A750" s="18" t="s">
        <v>772</v>
      </c>
      <c r="B750" s="18" t="s">
        <v>10</v>
      </c>
      <c r="C750" s="2">
        <v>46092.566308067129</v>
      </c>
      <c r="D750">
        <v>3</v>
      </c>
      <c r="F750" s="2">
        <v>46092.274641400465</v>
      </c>
      <c r="G750" s="3">
        <v>46092</v>
      </c>
      <c r="H750" t="s">
        <v>63</v>
      </c>
      <c r="I750">
        <v>6</v>
      </c>
    </row>
    <row r="751" spans="1:9" x14ac:dyDescent="0.2">
      <c r="A751" s="18" t="s">
        <v>1363</v>
      </c>
      <c r="B751" s="18" t="s">
        <v>10</v>
      </c>
      <c r="C751" s="2">
        <v>46092.568499652778</v>
      </c>
      <c r="D751">
        <v>528</v>
      </c>
      <c r="F751" s="2">
        <v>46092.276832986114</v>
      </c>
      <c r="G751" s="3">
        <v>46092</v>
      </c>
      <c r="H751" t="s">
        <v>63</v>
      </c>
      <c r="I751">
        <v>6</v>
      </c>
    </row>
    <row r="752" spans="1:9" x14ac:dyDescent="0.2">
      <c r="A752" s="18" t="s">
        <v>773</v>
      </c>
      <c r="B752" s="18" t="s">
        <v>10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63</v>
      </c>
      <c r="I752">
        <v>7</v>
      </c>
    </row>
    <row r="753" spans="1:9" x14ac:dyDescent="0.2">
      <c r="A753" s="18" t="s">
        <v>774</v>
      </c>
      <c r="B753" s="18" t="s">
        <v>10</v>
      </c>
      <c r="C753" s="2">
        <v>46092.633006516204</v>
      </c>
      <c r="D753">
        <v>3</v>
      </c>
      <c r="E753" s="7" t="s">
        <v>34</v>
      </c>
      <c r="F753" s="2">
        <v>46092.34133984954</v>
      </c>
      <c r="G753" s="3">
        <v>46092</v>
      </c>
      <c r="H753" t="s">
        <v>63</v>
      </c>
      <c r="I753">
        <v>8</v>
      </c>
    </row>
    <row r="754" spans="1:9" x14ac:dyDescent="0.2">
      <c r="A754" s="18" t="s">
        <v>775</v>
      </c>
      <c r="B754" s="18" t="s">
        <v>10</v>
      </c>
      <c r="C754" s="2">
        <v>46092.651498402774</v>
      </c>
      <c r="D754">
        <v>575</v>
      </c>
      <c r="E754" s="7" t="s">
        <v>620</v>
      </c>
      <c r="F754" s="2">
        <v>46092.35983173611</v>
      </c>
      <c r="G754" s="3">
        <v>46092</v>
      </c>
      <c r="H754" t="s">
        <v>63</v>
      </c>
      <c r="I754">
        <v>8</v>
      </c>
    </row>
    <row r="755" spans="1:9" x14ac:dyDescent="0.2">
      <c r="A755" s="18" t="s">
        <v>776</v>
      </c>
      <c r="B755" s="18" t="s">
        <v>10</v>
      </c>
      <c r="C755" s="2">
        <v>46092.657454502318</v>
      </c>
      <c r="D755">
        <v>531</v>
      </c>
      <c r="E755" s="7" t="s">
        <v>768</v>
      </c>
      <c r="F755" s="2">
        <v>46092.365787835646</v>
      </c>
      <c r="G755" s="3">
        <v>46092</v>
      </c>
      <c r="H755" t="s">
        <v>63</v>
      </c>
      <c r="I755">
        <v>8</v>
      </c>
    </row>
    <row r="756" spans="1:9" x14ac:dyDescent="0.2">
      <c r="A756" s="18" t="s">
        <v>777</v>
      </c>
      <c r="B756" s="18" t="s">
        <v>10</v>
      </c>
      <c r="C756" s="2">
        <v>46092.667798078706</v>
      </c>
      <c r="D756">
        <v>531</v>
      </c>
      <c r="E756" s="7" t="s">
        <v>768</v>
      </c>
      <c r="F756" s="2">
        <v>46092.376131412035</v>
      </c>
      <c r="G756" s="3">
        <v>46092</v>
      </c>
      <c r="H756" t="s">
        <v>63</v>
      </c>
      <c r="I756">
        <v>9</v>
      </c>
    </row>
    <row r="757" spans="1:9" x14ac:dyDescent="0.2">
      <c r="A757" s="18" t="s">
        <v>1464</v>
      </c>
      <c r="B757" s="18" t="s">
        <v>10</v>
      </c>
      <c r="C757" s="2">
        <v>46092.688379502317</v>
      </c>
      <c r="D757">
        <v>531</v>
      </c>
      <c r="E757" s="7" t="s">
        <v>768</v>
      </c>
      <c r="F757" s="2">
        <v>46092.396712835645</v>
      </c>
      <c r="G757" s="3">
        <v>46092</v>
      </c>
      <c r="H757" t="s">
        <v>63</v>
      </c>
      <c r="I757">
        <v>9</v>
      </c>
    </row>
    <row r="758" spans="1:9" x14ac:dyDescent="0.2">
      <c r="A758" s="18" t="s">
        <v>778</v>
      </c>
      <c r="B758" s="18" t="s">
        <v>10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63</v>
      </c>
      <c r="I758">
        <v>9</v>
      </c>
    </row>
    <row r="759" spans="1:9" x14ac:dyDescent="0.2">
      <c r="A759" s="18" t="s">
        <v>779</v>
      </c>
      <c r="B759" s="18" t="s">
        <v>10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63</v>
      </c>
      <c r="I759">
        <v>12</v>
      </c>
    </row>
    <row r="760" spans="1:9" x14ac:dyDescent="0.2">
      <c r="A760" s="18" t="s">
        <v>901</v>
      </c>
      <c r="B760" s="18" t="s">
        <v>10</v>
      </c>
      <c r="C760" s="2">
        <v>46092.939976284724</v>
      </c>
      <c r="D760">
        <v>531</v>
      </c>
      <c r="F760" s="2">
        <v>46092.648309618053</v>
      </c>
      <c r="G760" s="3">
        <v>46092</v>
      </c>
      <c r="H760" t="s">
        <v>63</v>
      </c>
      <c r="I760">
        <v>15</v>
      </c>
    </row>
    <row r="761" spans="1:9" x14ac:dyDescent="0.2">
      <c r="A761" s="18" t="s">
        <v>780</v>
      </c>
      <c r="B761" s="18" t="s">
        <v>10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63</v>
      </c>
      <c r="I761">
        <v>18</v>
      </c>
    </row>
    <row r="762" spans="1:9" x14ac:dyDescent="0.2">
      <c r="A762" s="18" t="s">
        <v>781</v>
      </c>
      <c r="B762" s="18" t="s">
        <v>10</v>
      </c>
      <c r="C762" s="2">
        <v>46093.064328275461</v>
      </c>
      <c r="D762">
        <v>3</v>
      </c>
      <c r="E762" s="7" t="s">
        <v>45</v>
      </c>
      <c r="F762" s="2">
        <v>46092.772661608797</v>
      </c>
      <c r="G762" s="3">
        <v>46092</v>
      </c>
      <c r="H762" t="s">
        <v>63</v>
      </c>
      <c r="I762">
        <v>18</v>
      </c>
    </row>
    <row r="763" spans="1:9" x14ac:dyDescent="0.2">
      <c r="A763" s="18" t="s">
        <v>782</v>
      </c>
      <c r="B763" s="18" t="s">
        <v>10</v>
      </c>
      <c r="C763" s="2">
        <v>46093.39224814815</v>
      </c>
      <c r="D763">
        <v>531</v>
      </c>
      <c r="E763" s="7" t="s">
        <v>275</v>
      </c>
      <c r="F763" s="2">
        <v>46093.100581481478</v>
      </c>
      <c r="G763" s="3">
        <v>46093</v>
      </c>
      <c r="H763" t="s">
        <v>95</v>
      </c>
      <c r="I763">
        <v>2</v>
      </c>
    </row>
    <row r="764" spans="1:9" x14ac:dyDescent="0.2">
      <c r="A764" s="18" t="s">
        <v>783</v>
      </c>
      <c r="B764" s="18" t="s">
        <v>10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95</v>
      </c>
      <c r="I764">
        <v>3</v>
      </c>
    </row>
    <row r="765" spans="1:9" x14ac:dyDescent="0.2">
      <c r="A765" s="18" t="s">
        <v>784</v>
      </c>
      <c r="B765" s="18" t="s">
        <v>10</v>
      </c>
      <c r="C765" s="2">
        <v>46093.428806018521</v>
      </c>
      <c r="D765">
        <v>575</v>
      </c>
      <c r="E765" s="7" t="s">
        <v>582</v>
      </c>
      <c r="F765" s="2">
        <v>46093.137139351849</v>
      </c>
      <c r="G765" s="3">
        <v>46093</v>
      </c>
      <c r="H765" t="s">
        <v>95</v>
      </c>
      <c r="I765">
        <v>3</v>
      </c>
    </row>
    <row r="766" spans="1:9" x14ac:dyDescent="0.2">
      <c r="A766" s="18" t="s">
        <v>785</v>
      </c>
      <c r="B766" s="18" t="s">
        <v>10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95</v>
      </c>
      <c r="I766">
        <v>5</v>
      </c>
    </row>
    <row r="767" spans="1:9" x14ac:dyDescent="0.2">
      <c r="A767" s="18" t="s">
        <v>902</v>
      </c>
      <c r="B767" s="18" t="s">
        <v>10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95</v>
      </c>
      <c r="I767">
        <v>5</v>
      </c>
    </row>
    <row r="768" spans="1:9" x14ac:dyDescent="0.2">
      <c r="A768" s="18" t="s">
        <v>786</v>
      </c>
      <c r="B768" s="18" t="s">
        <v>10</v>
      </c>
      <c r="C768" s="2">
        <v>46093.608414953706</v>
      </c>
      <c r="D768">
        <v>2</v>
      </c>
      <c r="F768" s="2">
        <v>46093.316748287034</v>
      </c>
      <c r="G768" s="3">
        <v>46093</v>
      </c>
      <c r="H768" t="s">
        <v>95</v>
      </c>
      <c r="I768">
        <v>7</v>
      </c>
    </row>
    <row r="769" spans="1:9" x14ac:dyDescent="0.2">
      <c r="A769" s="18" t="s">
        <v>1536</v>
      </c>
      <c r="B769" s="18" t="s">
        <v>10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95</v>
      </c>
      <c r="I769">
        <v>7</v>
      </c>
    </row>
    <row r="770" spans="1:9" x14ac:dyDescent="0.2">
      <c r="A770" s="18" t="s">
        <v>787</v>
      </c>
      <c r="B770" s="18" t="s">
        <v>10</v>
      </c>
      <c r="C770" s="2">
        <v>46093.646413599534</v>
      </c>
      <c r="D770">
        <v>531</v>
      </c>
      <c r="E770" s="7" t="s">
        <v>768</v>
      </c>
      <c r="F770" s="2">
        <v>46093.35474693287</v>
      </c>
      <c r="G770" s="3">
        <v>46093</v>
      </c>
      <c r="H770" t="s">
        <v>95</v>
      </c>
      <c r="I770">
        <v>8</v>
      </c>
    </row>
    <row r="771" spans="1:9" x14ac:dyDescent="0.2">
      <c r="A771" s="18" t="s">
        <v>807</v>
      </c>
      <c r="B771" s="18" t="s">
        <v>10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95</v>
      </c>
      <c r="I771">
        <v>10</v>
      </c>
    </row>
    <row r="772" spans="1:9" x14ac:dyDescent="0.2">
      <c r="A772" s="18" t="s">
        <v>808</v>
      </c>
      <c r="B772" s="18" t="s">
        <v>10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95</v>
      </c>
      <c r="I772">
        <v>11</v>
      </c>
    </row>
    <row r="773" spans="1:9" x14ac:dyDescent="0.2">
      <c r="A773" s="18" t="s">
        <v>809</v>
      </c>
      <c r="B773" s="18" t="s">
        <v>10</v>
      </c>
      <c r="C773" s="2">
        <v>46093.793513750003</v>
      </c>
      <c r="D773">
        <v>531</v>
      </c>
      <c r="E773" s="7" t="s">
        <v>31</v>
      </c>
      <c r="F773" s="2">
        <v>46093.501847083331</v>
      </c>
      <c r="G773" s="3">
        <v>46093</v>
      </c>
      <c r="H773" t="s">
        <v>95</v>
      </c>
      <c r="I773">
        <v>12</v>
      </c>
    </row>
    <row r="774" spans="1:9" x14ac:dyDescent="0.2">
      <c r="A774" s="18" t="s">
        <v>810</v>
      </c>
      <c r="B774" s="18" t="s">
        <v>10</v>
      </c>
      <c r="C774" s="2">
        <v>46093.932840601854</v>
      </c>
      <c r="D774">
        <v>531</v>
      </c>
      <c r="F774" s="2">
        <v>46093.641173935182</v>
      </c>
      <c r="G774" s="3">
        <v>46093</v>
      </c>
      <c r="H774" t="s">
        <v>95</v>
      </c>
      <c r="I774">
        <v>15</v>
      </c>
    </row>
    <row r="775" spans="1:9" x14ac:dyDescent="0.2">
      <c r="A775" s="18" t="s">
        <v>811</v>
      </c>
      <c r="B775" s="18" t="s">
        <v>10</v>
      </c>
      <c r="C775" s="2">
        <v>46094.350587696761</v>
      </c>
      <c r="D775">
        <v>531</v>
      </c>
      <c r="E775" s="7" t="s">
        <v>34</v>
      </c>
      <c r="F775" s="2">
        <v>46094.05892103009</v>
      </c>
      <c r="G775" s="3">
        <v>46094</v>
      </c>
      <c r="H775" t="s">
        <v>115</v>
      </c>
      <c r="I775">
        <v>1</v>
      </c>
    </row>
    <row r="776" spans="1:9" x14ac:dyDescent="0.2">
      <c r="A776" s="18" t="s">
        <v>812</v>
      </c>
      <c r="B776" s="18" t="s">
        <v>10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115</v>
      </c>
      <c r="I776">
        <v>1</v>
      </c>
    </row>
    <row r="777" spans="1:9" x14ac:dyDescent="0.2">
      <c r="A777" s="18" t="s">
        <v>813</v>
      </c>
      <c r="B777" s="18" t="s">
        <v>10</v>
      </c>
      <c r="C777" s="2">
        <v>46094.373780277776</v>
      </c>
      <c r="D777">
        <v>575</v>
      </c>
      <c r="E777" s="7" t="s">
        <v>709</v>
      </c>
      <c r="F777" s="2">
        <v>46094.082113611112</v>
      </c>
      <c r="G777" s="3">
        <v>46094</v>
      </c>
      <c r="H777" t="s">
        <v>115</v>
      </c>
      <c r="I777">
        <v>1</v>
      </c>
    </row>
    <row r="778" spans="1:9" x14ac:dyDescent="0.2">
      <c r="A778" s="18" t="s">
        <v>814</v>
      </c>
      <c r="B778" s="18" t="s">
        <v>10</v>
      </c>
      <c r="C778" s="2">
        <v>46094.402319560184</v>
      </c>
      <c r="D778">
        <v>3</v>
      </c>
      <c r="F778" s="2">
        <v>46094.11065289352</v>
      </c>
      <c r="G778" s="3">
        <v>46094</v>
      </c>
      <c r="H778" t="s">
        <v>115</v>
      </c>
      <c r="I778">
        <v>2</v>
      </c>
    </row>
    <row r="779" spans="1:9" x14ac:dyDescent="0.2">
      <c r="A779" s="18" t="s">
        <v>815</v>
      </c>
      <c r="B779" s="18" t="s">
        <v>10</v>
      </c>
      <c r="C779" s="2">
        <v>46094.416066886573</v>
      </c>
      <c r="D779">
        <v>3</v>
      </c>
      <c r="E779" s="7" t="s">
        <v>305</v>
      </c>
      <c r="F779" s="2">
        <v>46094.124400219909</v>
      </c>
      <c r="G779" s="3">
        <v>46094</v>
      </c>
      <c r="H779" t="s">
        <v>115</v>
      </c>
      <c r="I779">
        <v>2</v>
      </c>
    </row>
    <row r="780" spans="1:9" x14ac:dyDescent="0.2">
      <c r="A780" s="18" t="s">
        <v>816</v>
      </c>
      <c r="B780" s="18" t="s">
        <v>10</v>
      </c>
      <c r="C780" s="2">
        <v>46094.417847881945</v>
      </c>
      <c r="D780">
        <v>531</v>
      </c>
      <c r="F780" s="2">
        <v>46094.126181215281</v>
      </c>
      <c r="G780" s="3">
        <v>46094</v>
      </c>
      <c r="H780" t="s">
        <v>115</v>
      </c>
      <c r="I780">
        <v>3</v>
      </c>
    </row>
    <row r="781" spans="1:9" x14ac:dyDescent="0.2">
      <c r="A781" s="18" t="s">
        <v>817</v>
      </c>
      <c r="B781" s="18" t="s">
        <v>10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115</v>
      </c>
      <c r="I781">
        <v>3</v>
      </c>
    </row>
    <row r="782" spans="1:9" x14ac:dyDescent="0.2">
      <c r="A782" s="18" t="s">
        <v>818</v>
      </c>
      <c r="B782" s="18" t="s">
        <v>10</v>
      </c>
      <c r="C782" s="2">
        <v>46094.42532534722</v>
      </c>
      <c r="D782">
        <v>3</v>
      </c>
      <c r="E782" s="7" t="s">
        <v>305</v>
      </c>
      <c r="F782" s="2">
        <v>46094.133658680556</v>
      </c>
      <c r="G782" s="3">
        <v>46094</v>
      </c>
      <c r="H782" t="s">
        <v>115</v>
      </c>
      <c r="I782">
        <v>3</v>
      </c>
    </row>
    <row r="783" spans="1:9" x14ac:dyDescent="0.2">
      <c r="A783" s="18" t="s">
        <v>819</v>
      </c>
      <c r="B783" s="18" t="s">
        <v>10</v>
      </c>
      <c r="C783" s="2">
        <v>46094.43352175926</v>
      </c>
      <c r="D783">
        <v>3</v>
      </c>
      <c r="F783" s="2">
        <v>46094.141855092596</v>
      </c>
      <c r="G783" s="3">
        <v>46094</v>
      </c>
      <c r="H783" t="s">
        <v>115</v>
      </c>
      <c r="I783">
        <v>3</v>
      </c>
    </row>
    <row r="784" spans="1:9" x14ac:dyDescent="0.2">
      <c r="A784" s="18" t="s">
        <v>820</v>
      </c>
      <c r="B784" s="18" t="s">
        <v>10</v>
      </c>
      <c r="C784" s="2">
        <v>46094.475198622684</v>
      </c>
      <c r="D784">
        <v>3</v>
      </c>
      <c r="F784" s="2">
        <v>46094.18353195602</v>
      </c>
      <c r="G784" s="3">
        <v>46094</v>
      </c>
      <c r="H784" t="s">
        <v>115</v>
      </c>
      <c r="I784">
        <v>4</v>
      </c>
    </row>
    <row r="785" spans="1:9" x14ac:dyDescent="0.2">
      <c r="A785" s="18" t="s">
        <v>821</v>
      </c>
      <c r="B785" s="18" t="s">
        <v>10</v>
      </c>
      <c r="C785" s="2">
        <v>46094.496813877318</v>
      </c>
      <c r="D785">
        <v>575</v>
      </c>
      <c r="E785" s="7" t="s">
        <v>582</v>
      </c>
      <c r="F785" s="2">
        <v>46094.205147210647</v>
      </c>
      <c r="G785" s="3">
        <v>46094</v>
      </c>
      <c r="H785" t="s">
        <v>115</v>
      </c>
      <c r="I785">
        <v>4</v>
      </c>
    </row>
    <row r="786" spans="1:9" x14ac:dyDescent="0.2">
      <c r="A786" s="18" t="s">
        <v>822</v>
      </c>
      <c r="B786" s="18" t="s">
        <v>10</v>
      </c>
      <c r="C786" s="2">
        <v>46094.514207569446</v>
      </c>
      <c r="D786">
        <v>531</v>
      </c>
      <c r="F786" s="2">
        <v>46094.222540902774</v>
      </c>
      <c r="G786" s="3">
        <v>46094</v>
      </c>
      <c r="H786" t="s">
        <v>115</v>
      </c>
      <c r="I786">
        <v>5</v>
      </c>
    </row>
    <row r="787" spans="1:9" x14ac:dyDescent="0.2">
      <c r="A787" s="18" t="s">
        <v>823</v>
      </c>
      <c r="B787" s="18" t="s">
        <v>10</v>
      </c>
      <c r="C787" s="2">
        <v>46094.521576712963</v>
      </c>
      <c r="D787">
        <v>531</v>
      </c>
      <c r="E787" s="7" t="s">
        <v>768</v>
      </c>
      <c r="F787" s="2">
        <v>46094.229910046299</v>
      </c>
      <c r="G787" s="3">
        <v>46094</v>
      </c>
      <c r="H787" t="s">
        <v>115</v>
      </c>
      <c r="I787">
        <v>5</v>
      </c>
    </row>
    <row r="788" spans="1:9" x14ac:dyDescent="0.2">
      <c r="A788" s="18" t="s">
        <v>824</v>
      </c>
      <c r="B788" s="18" t="s">
        <v>10</v>
      </c>
      <c r="C788" s="2">
        <v>46094.54158153935</v>
      </c>
      <c r="D788">
        <v>619</v>
      </c>
      <c r="F788" s="2">
        <v>46094.249914872686</v>
      </c>
      <c r="G788" s="3">
        <v>46094</v>
      </c>
      <c r="H788" t="s">
        <v>115</v>
      </c>
      <c r="I788">
        <v>5</v>
      </c>
    </row>
    <row r="789" spans="1:9" x14ac:dyDescent="0.2">
      <c r="A789" s="18" t="s">
        <v>825</v>
      </c>
      <c r="B789" s="18" t="s">
        <v>10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115</v>
      </c>
      <c r="I789">
        <v>6</v>
      </c>
    </row>
    <row r="790" spans="1:9" x14ac:dyDescent="0.2">
      <c r="A790" s="18" t="s">
        <v>826</v>
      </c>
      <c r="B790" s="18" t="s">
        <v>10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115</v>
      </c>
      <c r="I790">
        <v>6</v>
      </c>
    </row>
    <row r="791" spans="1:9" x14ac:dyDescent="0.2">
      <c r="A791" s="18" t="s">
        <v>827</v>
      </c>
      <c r="B791" s="18" t="s">
        <v>10</v>
      </c>
      <c r="C791" s="2">
        <v>46094.626546851854</v>
      </c>
      <c r="D791">
        <v>3</v>
      </c>
      <c r="F791" s="2">
        <v>46094.334880185183</v>
      </c>
      <c r="G791" s="3">
        <v>46094</v>
      </c>
      <c r="H791" t="s">
        <v>115</v>
      </c>
      <c r="I791">
        <v>8</v>
      </c>
    </row>
    <row r="792" spans="1:9" x14ac:dyDescent="0.2">
      <c r="A792" s="18" t="s">
        <v>828</v>
      </c>
      <c r="B792" s="18" t="s">
        <v>10</v>
      </c>
      <c r="C792" s="2">
        <v>46094.629121944447</v>
      </c>
      <c r="D792">
        <v>35</v>
      </c>
      <c r="F792" s="2">
        <v>46094.337455277775</v>
      </c>
      <c r="G792" s="3">
        <v>46094</v>
      </c>
      <c r="H792" t="s">
        <v>115</v>
      </c>
      <c r="I792">
        <v>8</v>
      </c>
    </row>
    <row r="793" spans="1:9" x14ac:dyDescent="0.2">
      <c r="A793" s="18" t="s">
        <v>837</v>
      </c>
      <c r="B793" s="18" t="s">
        <v>10</v>
      </c>
      <c r="C793" s="2">
        <v>46094.800483009261</v>
      </c>
      <c r="D793">
        <v>2</v>
      </c>
      <c r="E793" s="7" t="s">
        <v>367</v>
      </c>
      <c r="F793" s="2">
        <v>46094.50881634259</v>
      </c>
      <c r="G793" s="3">
        <v>46094</v>
      </c>
      <c r="H793" t="s">
        <v>115</v>
      </c>
      <c r="I793">
        <v>12</v>
      </c>
    </row>
    <row r="794" spans="1:9" x14ac:dyDescent="0.2">
      <c r="A794" s="18" t="s">
        <v>838</v>
      </c>
      <c r="B794" s="18" t="s">
        <v>10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115</v>
      </c>
      <c r="I794">
        <v>12</v>
      </c>
    </row>
    <row r="795" spans="1:9" x14ac:dyDescent="0.2">
      <c r="A795" s="18" t="s">
        <v>1065</v>
      </c>
      <c r="B795" s="18" t="s">
        <v>10</v>
      </c>
      <c r="C795" s="2">
        <v>46094.824617847225</v>
      </c>
      <c r="D795">
        <v>2</v>
      </c>
      <c r="E795" s="7" t="s">
        <v>367</v>
      </c>
      <c r="F795" s="2">
        <v>46094.532951180554</v>
      </c>
      <c r="G795" s="3">
        <v>46094</v>
      </c>
      <c r="H795" t="s">
        <v>115</v>
      </c>
      <c r="I795">
        <v>12</v>
      </c>
    </row>
    <row r="796" spans="1:9" x14ac:dyDescent="0.2">
      <c r="A796" s="18" t="s">
        <v>1248</v>
      </c>
      <c r="B796" s="18" t="s">
        <v>10</v>
      </c>
      <c r="C796" s="2">
        <v>46094.827768657407</v>
      </c>
      <c r="D796">
        <v>2</v>
      </c>
      <c r="E796" s="7" t="s">
        <v>367</v>
      </c>
      <c r="F796" s="2">
        <v>46094.536101990743</v>
      </c>
      <c r="G796" s="3">
        <v>46094</v>
      </c>
      <c r="H796" t="s">
        <v>115</v>
      </c>
      <c r="I796">
        <v>12</v>
      </c>
    </row>
    <row r="797" spans="1:9" x14ac:dyDescent="0.2">
      <c r="A797" s="18" t="s">
        <v>839</v>
      </c>
      <c r="B797" s="18" t="s">
        <v>10</v>
      </c>
      <c r="C797" s="2">
        <v>46094.829001053244</v>
      </c>
      <c r="D797">
        <v>575</v>
      </c>
      <c r="E797" s="7" t="s">
        <v>301</v>
      </c>
      <c r="F797" s="2">
        <v>46094.537334386572</v>
      </c>
      <c r="G797" s="3">
        <v>46094</v>
      </c>
      <c r="H797" t="s">
        <v>115</v>
      </c>
      <c r="I797">
        <v>12</v>
      </c>
    </row>
    <row r="798" spans="1:9" x14ac:dyDescent="0.2">
      <c r="A798" s="18" t="s">
        <v>1195</v>
      </c>
      <c r="B798" s="18" t="s">
        <v>10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115</v>
      </c>
      <c r="I798">
        <v>12</v>
      </c>
    </row>
    <row r="799" spans="1:9" x14ac:dyDescent="0.2">
      <c r="A799" s="18" t="s">
        <v>840</v>
      </c>
      <c r="B799" s="18" t="s">
        <v>10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115</v>
      </c>
      <c r="I799">
        <v>13</v>
      </c>
    </row>
    <row r="800" spans="1:9" x14ac:dyDescent="0.2">
      <c r="A800" s="18" t="s">
        <v>841</v>
      </c>
      <c r="B800" s="18" t="s">
        <v>10</v>
      </c>
      <c r="C800" s="2">
        <v>46094.833930057874</v>
      </c>
      <c r="D800">
        <v>3</v>
      </c>
      <c r="F800" s="2">
        <v>46094.542263391202</v>
      </c>
      <c r="G800" s="3">
        <v>46094</v>
      </c>
      <c r="H800" t="s">
        <v>115</v>
      </c>
      <c r="I800">
        <v>13</v>
      </c>
    </row>
    <row r="801" spans="1:9" x14ac:dyDescent="0.2">
      <c r="A801" s="18" t="s">
        <v>842</v>
      </c>
      <c r="B801" s="18" t="s">
        <v>10</v>
      </c>
      <c r="C801" s="2">
        <v>46094.834834768517</v>
      </c>
      <c r="D801">
        <v>2</v>
      </c>
      <c r="E801" s="7" t="s">
        <v>367</v>
      </c>
      <c r="F801" s="2">
        <v>46094.543168101853</v>
      </c>
      <c r="G801" s="3">
        <v>46094</v>
      </c>
      <c r="H801" t="s">
        <v>115</v>
      </c>
      <c r="I801">
        <v>13</v>
      </c>
    </row>
    <row r="802" spans="1:9" x14ac:dyDescent="0.2">
      <c r="A802" s="18" t="s">
        <v>843</v>
      </c>
      <c r="B802" s="18" t="s">
        <v>10</v>
      </c>
      <c r="C802" s="2">
        <v>46094.835089270833</v>
      </c>
      <c r="D802">
        <v>575</v>
      </c>
      <c r="E802" s="7" t="s">
        <v>301</v>
      </c>
      <c r="F802" s="2">
        <v>46094.543422604169</v>
      </c>
      <c r="G802" s="3">
        <v>46094</v>
      </c>
      <c r="H802" t="s">
        <v>115</v>
      </c>
      <c r="I802">
        <v>13</v>
      </c>
    </row>
    <row r="803" spans="1:9" x14ac:dyDescent="0.2">
      <c r="A803" s="18" t="s">
        <v>903</v>
      </c>
      <c r="B803" s="18" t="s">
        <v>10</v>
      </c>
      <c r="C803" s="2">
        <v>46094.839683645834</v>
      </c>
      <c r="D803">
        <v>575</v>
      </c>
      <c r="E803" s="7" t="s">
        <v>301</v>
      </c>
      <c r="F803" s="2">
        <v>46094.54801697917</v>
      </c>
      <c r="G803" s="3">
        <v>46094</v>
      </c>
      <c r="H803" t="s">
        <v>115</v>
      </c>
      <c r="I803">
        <v>13</v>
      </c>
    </row>
    <row r="804" spans="1:9" x14ac:dyDescent="0.2">
      <c r="A804" s="18" t="s">
        <v>844</v>
      </c>
      <c r="B804" s="18" t="s">
        <v>10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115</v>
      </c>
      <c r="I804">
        <v>15</v>
      </c>
    </row>
    <row r="805" spans="1:9" x14ac:dyDescent="0.2">
      <c r="A805" s="18" t="s">
        <v>845</v>
      </c>
      <c r="B805" s="18" t="s">
        <v>10</v>
      </c>
      <c r="C805" s="2">
        <v>46095.330450208334</v>
      </c>
      <c r="D805">
        <v>531</v>
      </c>
      <c r="F805" s="2">
        <v>46095.03878354167</v>
      </c>
      <c r="G805" s="3">
        <v>46095</v>
      </c>
      <c r="H805" t="s">
        <v>120</v>
      </c>
      <c r="I805">
        <v>0</v>
      </c>
    </row>
    <row r="806" spans="1:9" x14ac:dyDescent="0.2">
      <c r="A806" s="18" t="s">
        <v>846</v>
      </c>
      <c r="B806" s="18" t="s">
        <v>10</v>
      </c>
      <c r="C806" s="2">
        <v>46095.353037025459</v>
      </c>
      <c r="D806">
        <v>575</v>
      </c>
      <c r="F806" s="2">
        <v>46095.061370358795</v>
      </c>
      <c r="G806" s="3">
        <v>46095</v>
      </c>
      <c r="H806" t="s">
        <v>120</v>
      </c>
      <c r="I806">
        <v>1</v>
      </c>
    </row>
    <row r="807" spans="1:9" x14ac:dyDescent="0.2">
      <c r="A807" s="18" t="s">
        <v>847</v>
      </c>
      <c r="B807" s="18" t="s">
        <v>10</v>
      </c>
      <c r="C807" s="2">
        <v>46095.434625787035</v>
      </c>
      <c r="D807">
        <v>531</v>
      </c>
      <c r="F807" s="2">
        <v>46095.142959120371</v>
      </c>
      <c r="G807" s="3">
        <v>46095</v>
      </c>
      <c r="H807" t="s">
        <v>120</v>
      </c>
      <c r="I807">
        <v>3</v>
      </c>
    </row>
    <row r="808" spans="1:9" x14ac:dyDescent="0.2">
      <c r="A808" s="18" t="s">
        <v>848</v>
      </c>
      <c r="B808" s="18" t="s">
        <v>10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120</v>
      </c>
      <c r="I808">
        <v>3</v>
      </c>
    </row>
    <row r="809" spans="1:9" x14ac:dyDescent="0.2">
      <c r="A809" s="18" t="s">
        <v>849</v>
      </c>
      <c r="B809" s="18" t="s">
        <v>10</v>
      </c>
      <c r="C809" s="2">
        <v>46095.457385752314</v>
      </c>
      <c r="D809">
        <v>3</v>
      </c>
      <c r="E809" s="7" t="s">
        <v>305</v>
      </c>
      <c r="F809" s="2">
        <v>46095.165719085649</v>
      </c>
      <c r="G809" s="3">
        <v>46095</v>
      </c>
      <c r="H809" t="s">
        <v>120</v>
      </c>
      <c r="I809">
        <v>3</v>
      </c>
    </row>
    <row r="810" spans="1:9" x14ac:dyDescent="0.2">
      <c r="A810" s="18" t="s">
        <v>850</v>
      </c>
      <c r="B810" s="18" t="s">
        <v>10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120</v>
      </c>
      <c r="I810">
        <v>7</v>
      </c>
    </row>
    <row r="811" spans="1:9" x14ac:dyDescent="0.2">
      <c r="A811" s="18" t="s">
        <v>978</v>
      </c>
      <c r="B811" s="18" t="s">
        <v>10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120</v>
      </c>
      <c r="I811">
        <v>7</v>
      </c>
    </row>
    <row r="812" spans="1:9" x14ac:dyDescent="0.2">
      <c r="A812" s="18" t="s">
        <v>1196</v>
      </c>
      <c r="B812" s="18" t="s">
        <v>10</v>
      </c>
      <c r="C812" s="2">
        <v>46095.603847708335</v>
      </c>
      <c r="D812">
        <v>575</v>
      </c>
      <c r="F812" s="2">
        <v>46095.312181041663</v>
      </c>
      <c r="G812" s="3">
        <v>46095</v>
      </c>
      <c r="H812" t="s">
        <v>120</v>
      </c>
      <c r="I812">
        <v>7</v>
      </c>
    </row>
    <row r="813" spans="1:9" x14ac:dyDescent="0.2">
      <c r="A813" s="18" t="s">
        <v>1160</v>
      </c>
      <c r="B813" s="18" t="s">
        <v>10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120</v>
      </c>
      <c r="I813">
        <v>7</v>
      </c>
    </row>
    <row r="814" spans="1:9" x14ac:dyDescent="0.2">
      <c r="A814" s="18" t="s">
        <v>1342</v>
      </c>
      <c r="B814" s="18" t="s">
        <v>10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120</v>
      </c>
      <c r="I814">
        <v>7</v>
      </c>
    </row>
    <row r="815" spans="1:9" x14ac:dyDescent="0.2">
      <c r="A815" s="18" t="s">
        <v>851</v>
      </c>
      <c r="B815" s="18" t="s">
        <v>10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120</v>
      </c>
      <c r="I815">
        <v>8</v>
      </c>
    </row>
    <row r="816" spans="1:9" x14ac:dyDescent="0.2">
      <c r="A816" s="18" t="s">
        <v>852</v>
      </c>
      <c r="B816" s="18" t="s">
        <v>10</v>
      </c>
      <c r="C816" s="2">
        <v>46095.639069756944</v>
      </c>
      <c r="D816">
        <v>3</v>
      </c>
      <c r="E816" s="7" t="s">
        <v>853</v>
      </c>
      <c r="F816" s="2">
        <v>46095.34740309028</v>
      </c>
      <c r="G816" s="3">
        <v>46095</v>
      </c>
      <c r="H816" t="s">
        <v>120</v>
      </c>
      <c r="I816">
        <v>8</v>
      </c>
    </row>
    <row r="817" spans="1:9" x14ac:dyDescent="0.2">
      <c r="A817" s="18" t="s">
        <v>904</v>
      </c>
      <c r="B817" s="18" t="s">
        <v>10</v>
      </c>
      <c r="C817" s="2">
        <v>46095.642464409721</v>
      </c>
      <c r="D817">
        <v>575</v>
      </c>
      <c r="F817" s="2">
        <v>46095.350797743056</v>
      </c>
      <c r="G817" s="3">
        <v>46095</v>
      </c>
      <c r="H817" t="s">
        <v>120</v>
      </c>
      <c r="I817">
        <v>8</v>
      </c>
    </row>
    <row r="818" spans="1:9" x14ac:dyDescent="0.2">
      <c r="A818" s="18" t="s">
        <v>863</v>
      </c>
      <c r="B818" s="18" t="s">
        <v>10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120</v>
      </c>
      <c r="I818">
        <v>13</v>
      </c>
    </row>
    <row r="819" spans="1:9" x14ac:dyDescent="0.2">
      <c r="A819" s="18" t="s">
        <v>864</v>
      </c>
      <c r="B819" s="18" t="s">
        <v>10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120</v>
      </c>
      <c r="I819">
        <v>22</v>
      </c>
    </row>
    <row r="820" spans="1:9" x14ac:dyDescent="0.2">
      <c r="A820" s="18" t="s">
        <v>865</v>
      </c>
      <c r="B820" s="18" t="s">
        <v>10</v>
      </c>
      <c r="C820" s="2">
        <v>46096.348719618058</v>
      </c>
      <c r="D820">
        <v>3</v>
      </c>
      <c r="F820" s="2">
        <v>46096.057052951386</v>
      </c>
      <c r="G820" s="3">
        <v>46096</v>
      </c>
      <c r="H820" t="s">
        <v>125</v>
      </c>
      <c r="I820">
        <v>1</v>
      </c>
    </row>
    <row r="821" spans="1:9" x14ac:dyDescent="0.2">
      <c r="A821" s="18" t="s">
        <v>866</v>
      </c>
      <c r="B821" s="18" t="s">
        <v>10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125</v>
      </c>
      <c r="I821">
        <v>2</v>
      </c>
    </row>
    <row r="822" spans="1:9" x14ac:dyDescent="0.2">
      <c r="A822" s="18" t="s">
        <v>872</v>
      </c>
      <c r="B822" s="18" t="s">
        <v>10</v>
      </c>
      <c r="C822" s="2">
        <v>46096.713228900466</v>
      </c>
      <c r="D822">
        <v>1</v>
      </c>
      <c r="F822" s="2">
        <v>46096.421562233794</v>
      </c>
      <c r="G822" s="3">
        <v>46096</v>
      </c>
      <c r="H822" t="s">
        <v>125</v>
      </c>
      <c r="I822">
        <v>10</v>
      </c>
    </row>
    <row r="823" spans="1:9" x14ac:dyDescent="0.2">
      <c r="A823" s="18" t="s">
        <v>873</v>
      </c>
      <c r="B823" s="18" t="s">
        <v>10</v>
      </c>
      <c r="C823" s="2">
        <v>46096.879958750003</v>
      </c>
      <c r="D823">
        <v>3</v>
      </c>
      <c r="E823" s="7" t="s">
        <v>874</v>
      </c>
      <c r="F823" s="2">
        <v>46096.588292083332</v>
      </c>
      <c r="G823" s="3">
        <v>46096</v>
      </c>
      <c r="H823" t="s">
        <v>125</v>
      </c>
      <c r="I823">
        <v>14</v>
      </c>
    </row>
    <row r="824" spans="1:9" x14ac:dyDescent="0.2">
      <c r="A824" s="18" t="s">
        <v>875</v>
      </c>
      <c r="B824" s="18" t="s">
        <v>10</v>
      </c>
      <c r="C824" s="2">
        <v>46096.880976863424</v>
      </c>
      <c r="D824">
        <v>3</v>
      </c>
      <c r="F824" s="2">
        <v>46096.589310196759</v>
      </c>
      <c r="G824" s="3">
        <v>46096</v>
      </c>
      <c r="H824" t="s">
        <v>125</v>
      </c>
      <c r="I824">
        <v>14</v>
      </c>
    </row>
    <row r="825" spans="1:9" x14ac:dyDescent="0.2">
      <c r="A825" s="18" t="s">
        <v>876</v>
      </c>
      <c r="B825" s="18" t="s">
        <v>10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125</v>
      </c>
      <c r="I825">
        <v>14</v>
      </c>
    </row>
    <row r="826" spans="1:9" x14ac:dyDescent="0.2">
      <c r="A826" s="18" t="s">
        <v>877</v>
      </c>
      <c r="B826" s="18" t="s">
        <v>10</v>
      </c>
      <c r="C826" s="2">
        <v>46096.881826168981</v>
      </c>
      <c r="D826">
        <v>3</v>
      </c>
      <c r="E826" s="7" t="s">
        <v>878</v>
      </c>
      <c r="F826" s="2">
        <v>46096.590159502317</v>
      </c>
      <c r="G826" s="3">
        <v>46096</v>
      </c>
      <c r="H826" t="s">
        <v>125</v>
      </c>
      <c r="I826">
        <v>14</v>
      </c>
    </row>
    <row r="827" spans="1:9" x14ac:dyDescent="0.2">
      <c r="A827" s="18" t="s">
        <v>879</v>
      </c>
      <c r="B827" s="18" t="s">
        <v>10</v>
      </c>
      <c r="C827" s="2">
        <v>46096.913787939811</v>
      </c>
      <c r="D827">
        <v>2</v>
      </c>
      <c r="E827" s="7" t="s">
        <v>880</v>
      </c>
      <c r="F827" s="2">
        <v>46096.622121273147</v>
      </c>
      <c r="G827" s="3">
        <v>46096</v>
      </c>
      <c r="H827" t="s">
        <v>125</v>
      </c>
      <c r="I827">
        <v>14</v>
      </c>
    </row>
    <row r="828" spans="1:9" x14ac:dyDescent="0.2">
      <c r="A828" s="18" t="s">
        <v>881</v>
      </c>
      <c r="B828" s="18" t="s">
        <v>10</v>
      </c>
      <c r="C828" s="2">
        <v>46096.925789085646</v>
      </c>
      <c r="D828">
        <v>3</v>
      </c>
      <c r="E828" s="7" t="s">
        <v>878</v>
      </c>
      <c r="F828" s="2">
        <v>46096.634122418982</v>
      </c>
      <c r="G828" s="3">
        <v>46096</v>
      </c>
      <c r="H828" t="s">
        <v>125</v>
      </c>
      <c r="I828">
        <v>15</v>
      </c>
    </row>
    <row r="829" spans="1:9" x14ac:dyDescent="0.2">
      <c r="A829" s="18" t="s">
        <v>882</v>
      </c>
      <c r="B829" s="18" t="s">
        <v>10</v>
      </c>
      <c r="C829" s="2">
        <v>46096.939985914352</v>
      </c>
      <c r="D829">
        <v>531</v>
      </c>
      <c r="E829" s="7" t="s">
        <v>323</v>
      </c>
      <c r="F829" s="2">
        <v>46096.648319247688</v>
      </c>
      <c r="G829" s="3">
        <v>46096</v>
      </c>
      <c r="H829" t="s">
        <v>125</v>
      </c>
      <c r="I829">
        <v>15</v>
      </c>
    </row>
    <row r="830" spans="1:9" x14ac:dyDescent="0.2">
      <c r="A830" s="18" t="s">
        <v>883</v>
      </c>
      <c r="B830" s="18" t="s">
        <v>10</v>
      </c>
      <c r="C830" s="2">
        <v>46097.041815127312</v>
      </c>
      <c r="D830">
        <v>3</v>
      </c>
      <c r="E830" s="7" t="s">
        <v>878</v>
      </c>
      <c r="F830" s="2">
        <v>46096.750148460647</v>
      </c>
      <c r="G830" s="3">
        <v>46096</v>
      </c>
      <c r="H830" t="s">
        <v>125</v>
      </c>
      <c r="I830">
        <v>18</v>
      </c>
    </row>
    <row r="831" spans="1:9" x14ac:dyDescent="0.2">
      <c r="A831" s="18" t="s">
        <v>884</v>
      </c>
      <c r="B831" s="18" t="s">
        <v>10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125</v>
      </c>
      <c r="I831">
        <v>23</v>
      </c>
    </row>
    <row r="832" spans="1:9" x14ac:dyDescent="0.2">
      <c r="A832" s="18" t="s">
        <v>885</v>
      </c>
      <c r="B832" s="18" t="s">
        <v>10</v>
      </c>
      <c r="C832" s="2">
        <v>46097.374301157404</v>
      </c>
      <c r="D832">
        <v>2</v>
      </c>
      <c r="F832" s="2">
        <v>46097.08263449074</v>
      </c>
      <c r="G832" s="3">
        <v>46097</v>
      </c>
      <c r="H832" t="s">
        <v>11</v>
      </c>
      <c r="I832">
        <v>1</v>
      </c>
    </row>
    <row r="833" spans="1:9" x14ac:dyDescent="0.2">
      <c r="A833" s="18" t="s">
        <v>886</v>
      </c>
      <c r="B833" s="18" t="s">
        <v>10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11</v>
      </c>
      <c r="I833">
        <v>2</v>
      </c>
    </row>
    <row r="834" spans="1:9" x14ac:dyDescent="0.2">
      <c r="A834" s="18" t="s">
        <v>887</v>
      </c>
      <c r="B834" s="18" t="s">
        <v>10</v>
      </c>
      <c r="C834" s="2">
        <v>46097.53261613426</v>
      </c>
      <c r="D834">
        <v>2</v>
      </c>
      <c r="F834" s="2">
        <v>46097.240949467596</v>
      </c>
      <c r="G834" s="3">
        <v>46097</v>
      </c>
      <c r="H834" t="s">
        <v>11</v>
      </c>
      <c r="I834">
        <v>5</v>
      </c>
    </row>
    <row r="835" spans="1:9" x14ac:dyDescent="0.2">
      <c r="A835" s="18" t="s">
        <v>888</v>
      </c>
      <c r="B835" s="18" t="s">
        <v>10</v>
      </c>
      <c r="C835" s="2">
        <v>46097.53750489583</v>
      </c>
      <c r="D835">
        <v>531</v>
      </c>
      <c r="E835" s="7" t="s">
        <v>31</v>
      </c>
      <c r="F835" s="2">
        <v>46097.245838229166</v>
      </c>
      <c r="G835" s="3">
        <v>46097</v>
      </c>
      <c r="H835" t="s">
        <v>11</v>
      </c>
      <c r="I835">
        <v>5</v>
      </c>
    </row>
    <row r="836" spans="1:9" x14ac:dyDescent="0.2">
      <c r="A836" s="18" t="s">
        <v>889</v>
      </c>
      <c r="B836" s="18" t="s">
        <v>10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11</v>
      </c>
      <c r="I836">
        <v>5</v>
      </c>
    </row>
    <row r="837" spans="1:9" x14ac:dyDescent="0.2">
      <c r="A837" s="18" t="s">
        <v>890</v>
      </c>
      <c r="B837" s="18" t="s">
        <v>10</v>
      </c>
      <c r="C837" s="2">
        <v>46097.583636770833</v>
      </c>
      <c r="D837">
        <v>575</v>
      </c>
      <c r="E837" s="7" t="s">
        <v>566</v>
      </c>
      <c r="F837" s="2">
        <v>46097.291970104168</v>
      </c>
      <c r="G837" s="3">
        <v>46097</v>
      </c>
      <c r="H837" t="s">
        <v>11</v>
      </c>
      <c r="I837">
        <v>7</v>
      </c>
    </row>
    <row r="838" spans="1:9" x14ac:dyDescent="0.2">
      <c r="A838" s="18" t="s">
        <v>891</v>
      </c>
      <c r="B838" s="18" t="s">
        <v>10</v>
      </c>
      <c r="C838" s="2">
        <v>46097.606625752313</v>
      </c>
      <c r="D838">
        <v>3</v>
      </c>
      <c r="E838" s="7" t="s">
        <v>31</v>
      </c>
      <c r="F838" s="2">
        <v>46097.314959085648</v>
      </c>
      <c r="G838" s="3">
        <v>46097</v>
      </c>
      <c r="H838" t="s">
        <v>11</v>
      </c>
      <c r="I838">
        <v>7</v>
      </c>
    </row>
    <row r="839" spans="1:9" x14ac:dyDescent="0.2">
      <c r="A839" s="18" t="s">
        <v>892</v>
      </c>
      <c r="B839" s="18" t="s">
        <v>10</v>
      </c>
      <c r="C839" s="2">
        <v>46097.632426261574</v>
      </c>
      <c r="D839">
        <v>575</v>
      </c>
      <c r="E839" s="7" t="s">
        <v>31</v>
      </c>
      <c r="F839" s="2">
        <v>46097.34075959491</v>
      </c>
      <c r="G839" s="3">
        <v>46097</v>
      </c>
      <c r="H839" t="s">
        <v>11</v>
      </c>
      <c r="I839">
        <v>8</v>
      </c>
    </row>
    <row r="840" spans="1:9" x14ac:dyDescent="0.2">
      <c r="A840" s="18" t="s">
        <v>893</v>
      </c>
      <c r="B840" s="18" t="s">
        <v>10</v>
      </c>
      <c r="C840" s="2">
        <v>46097.636272615739</v>
      </c>
      <c r="D840">
        <v>36</v>
      </c>
      <c r="F840" s="2">
        <v>46097.344605949074</v>
      </c>
      <c r="G840" s="3">
        <v>46097</v>
      </c>
      <c r="H840" t="s">
        <v>11</v>
      </c>
      <c r="I840">
        <v>8</v>
      </c>
    </row>
    <row r="841" spans="1:9" x14ac:dyDescent="0.2">
      <c r="A841" s="18" t="s">
        <v>905</v>
      </c>
      <c r="B841" s="18" t="s">
        <v>10</v>
      </c>
      <c r="C841" s="2">
        <v>46097.745389270836</v>
      </c>
      <c r="D841">
        <v>531</v>
      </c>
      <c r="E841" s="7" t="s">
        <v>323</v>
      </c>
      <c r="F841" s="2">
        <v>46097.453722604165</v>
      </c>
      <c r="G841" s="3">
        <v>46097</v>
      </c>
      <c r="H841" t="s">
        <v>11</v>
      </c>
      <c r="I841">
        <v>10</v>
      </c>
    </row>
    <row r="842" spans="1:9" x14ac:dyDescent="0.2">
      <c r="A842" s="18" t="s">
        <v>906</v>
      </c>
      <c r="B842" s="18" t="s">
        <v>10</v>
      </c>
      <c r="C842" s="2">
        <v>46097.748358877318</v>
      </c>
      <c r="D842">
        <v>3</v>
      </c>
      <c r="E842" s="7" t="s">
        <v>907</v>
      </c>
      <c r="F842" s="2">
        <v>46097.456692210646</v>
      </c>
      <c r="G842" s="3">
        <v>46097</v>
      </c>
      <c r="H842" t="s">
        <v>11</v>
      </c>
      <c r="I842">
        <v>10</v>
      </c>
    </row>
    <row r="843" spans="1:9" x14ac:dyDescent="0.2">
      <c r="A843" s="18" t="s">
        <v>908</v>
      </c>
      <c r="B843" s="18" t="s">
        <v>10</v>
      </c>
      <c r="C843" s="2">
        <v>46097.750052557873</v>
      </c>
      <c r="D843">
        <v>531</v>
      </c>
      <c r="E843" s="7" t="s">
        <v>323</v>
      </c>
      <c r="F843" s="2">
        <v>46097.458385891201</v>
      </c>
      <c r="G843" s="3">
        <v>46097</v>
      </c>
      <c r="H843" t="s">
        <v>11</v>
      </c>
      <c r="I843">
        <v>11</v>
      </c>
    </row>
    <row r="844" spans="1:9" x14ac:dyDescent="0.2">
      <c r="A844" s="18" t="s">
        <v>909</v>
      </c>
      <c r="B844" s="18" t="s">
        <v>10</v>
      </c>
      <c r="C844" s="2">
        <v>46097.756569930556</v>
      </c>
      <c r="D844">
        <v>3</v>
      </c>
      <c r="E844" s="7" t="s">
        <v>910</v>
      </c>
      <c r="F844" s="2">
        <v>46097.464903263892</v>
      </c>
      <c r="G844" s="3">
        <v>46097</v>
      </c>
      <c r="H844" t="s">
        <v>11</v>
      </c>
      <c r="I844">
        <v>11</v>
      </c>
    </row>
    <row r="845" spans="1:9" x14ac:dyDescent="0.2">
      <c r="A845" s="18" t="s">
        <v>911</v>
      </c>
      <c r="B845" s="18" t="s">
        <v>10</v>
      </c>
      <c r="C845" s="2">
        <v>46097.759957789349</v>
      </c>
      <c r="D845">
        <v>3</v>
      </c>
      <c r="E845" s="7" t="s">
        <v>874</v>
      </c>
      <c r="F845" s="2">
        <v>46097.468291122685</v>
      </c>
      <c r="G845" s="3">
        <v>46097</v>
      </c>
      <c r="H845" t="s">
        <v>11</v>
      </c>
      <c r="I845">
        <v>11</v>
      </c>
    </row>
    <row r="846" spans="1:9" x14ac:dyDescent="0.2">
      <c r="A846" s="18" t="s">
        <v>912</v>
      </c>
      <c r="B846" s="18" t="s">
        <v>10</v>
      </c>
      <c r="C846" s="2">
        <v>46097.761902349535</v>
      </c>
      <c r="D846">
        <v>3</v>
      </c>
      <c r="E846" s="7" t="s">
        <v>60</v>
      </c>
      <c r="F846" s="2">
        <v>46097.470235682871</v>
      </c>
      <c r="G846" s="3">
        <v>46097</v>
      </c>
      <c r="H846" t="s">
        <v>11</v>
      </c>
      <c r="I846">
        <v>11</v>
      </c>
    </row>
    <row r="847" spans="1:9" x14ac:dyDescent="0.2">
      <c r="A847" s="18" t="s">
        <v>913</v>
      </c>
      <c r="B847" s="18" t="s">
        <v>10</v>
      </c>
      <c r="C847" s="2">
        <v>46097.823546516207</v>
      </c>
      <c r="D847">
        <v>3</v>
      </c>
      <c r="F847" s="2">
        <v>46097.531879849535</v>
      </c>
      <c r="G847" s="3">
        <v>46097</v>
      </c>
      <c r="H847" t="s">
        <v>11</v>
      </c>
      <c r="I847">
        <v>12</v>
      </c>
    </row>
    <row r="848" spans="1:9" x14ac:dyDescent="0.2">
      <c r="A848" s="18" t="s">
        <v>914</v>
      </c>
      <c r="B848" s="18" t="s">
        <v>10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11</v>
      </c>
      <c r="I848">
        <v>14</v>
      </c>
    </row>
    <row r="849" spans="1:9" x14ac:dyDescent="0.2">
      <c r="A849" s="18" t="s">
        <v>915</v>
      </c>
      <c r="B849" s="18" t="s">
        <v>10</v>
      </c>
      <c r="C849" s="2">
        <v>46097.91176855324</v>
      </c>
      <c r="D849">
        <v>3</v>
      </c>
      <c r="F849" s="2">
        <v>46097.620101886576</v>
      </c>
      <c r="G849" s="3">
        <v>46097</v>
      </c>
      <c r="H849" t="s">
        <v>11</v>
      </c>
      <c r="I849">
        <v>14</v>
      </c>
    </row>
    <row r="850" spans="1:9" x14ac:dyDescent="0.2">
      <c r="A850" s="18" t="s">
        <v>916</v>
      </c>
      <c r="B850" s="18" t="s">
        <v>10</v>
      </c>
      <c r="C850" s="2">
        <v>46098.15349866898</v>
      </c>
      <c r="D850">
        <v>3</v>
      </c>
      <c r="F850" s="2">
        <v>46097.861832002316</v>
      </c>
      <c r="G850" s="3">
        <v>46097</v>
      </c>
      <c r="H850" t="s">
        <v>11</v>
      </c>
      <c r="I850">
        <v>20</v>
      </c>
    </row>
    <row r="851" spans="1:9" x14ac:dyDescent="0.2">
      <c r="A851" s="18" t="s">
        <v>917</v>
      </c>
      <c r="B851" s="18" t="s">
        <v>10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28</v>
      </c>
      <c r="I851">
        <v>0</v>
      </c>
    </row>
    <row r="852" spans="1:9" x14ac:dyDescent="0.2">
      <c r="A852" s="18" t="s">
        <v>918</v>
      </c>
      <c r="B852" s="18" t="s">
        <v>10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28</v>
      </c>
      <c r="I852">
        <v>0</v>
      </c>
    </row>
    <row r="853" spans="1:9" x14ac:dyDescent="0.2">
      <c r="A853" s="18" t="s">
        <v>919</v>
      </c>
      <c r="B853" s="18" t="s">
        <v>10</v>
      </c>
      <c r="C853" s="2">
        <v>46098.328436608797</v>
      </c>
      <c r="D853">
        <v>3</v>
      </c>
      <c r="E853" s="7" t="s">
        <v>920</v>
      </c>
      <c r="F853" s="2">
        <v>46098.036769942133</v>
      </c>
      <c r="G853" s="3">
        <v>46098</v>
      </c>
      <c r="H853" t="s">
        <v>28</v>
      </c>
      <c r="I853">
        <v>0</v>
      </c>
    </row>
    <row r="854" spans="1:9" x14ac:dyDescent="0.2">
      <c r="A854" s="18" t="s">
        <v>921</v>
      </c>
      <c r="B854" s="18" t="s">
        <v>10</v>
      </c>
      <c r="C854" s="2">
        <v>46098.33402829861</v>
      </c>
      <c r="D854">
        <v>3</v>
      </c>
      <c r="E854" s="7" t="s">
        <v>920</v>
      </c>
      <c r="F854" s="2">
        <v>46098.042361631946</v>
      </c>
      <c r="G854" s="3">
        <v>46098</v>
      </c>
      <c r="H854" t="s">
        <v>28</v>
      </c>
      <c r="I854">
        <v>1</v>
      </c>
    </row>
    <row r="855" spans="1:9" x14ac:dyDescent="0.2">
      <c r="A855" s="18" t="s">
        <v>1589</v>
      </c>
      <c r="B855" s="18" t="s">
        <v>10</v>
      </c>
      <c r="C855" s="2">
        <v>46098.336756770834</v>
      </c>
      <c r="D855">
        <v>1</v>
      </c>
      <c r="E855" s="7" t="s">
        <v>920</v>
      </c>
      <c r="F855" s="2">
        <v>46098.04509010417</v>
      </c>
      <c r="G855" s="3">
        <v>46098</v>
      </c>
      <c r="H855" t="s">
        <v>28</v>
      </c>
      <c r="I855">
        <v>1</v>
      </c>
    </row>
    <row r="856" spans="1:9" x14ac:dyDescent="0.2">
      <c r="A856" s="18" t="s">
        <v>922</v>
      </c>
      <c r="B856" s="18" t="s">
        <v>10</v>
      </c>
      <c r="C856" s="2">
        <v>46098.340068090278</v>
      </c>
      <c r="D856">
        <v>531</v>
      </c>
      <c r="E856" s="7" t="s">
        <v>34</v>
      </c>
      <c r="F856" s="2">
        <v>46098.048401423614</v>
      </c>
      <c r="G856" s="3">
        <v>46098</v>
      </c>
      <c r="H856" t="s">
        <v>28</v>
      </c>
      <c r="I856">
        <v>1</v>
      </c>
    </row>
    <row r="857" spans="1:9" x14ac:dyDescent="0.2">
      <c r="A857" s="18" t="s">
        <v>948</v>
      </c>
      <c r="B857" s="18" t="s">
        <v>10</v>
      </c>
      <c r="C857" s="2">
        <v>46098.340974328705</v>
      </c>
      <c r="D857">
        <v>36</v>
      </c>
      <c r="F857" s="2">
        <v>46098.049307662041</v>
      </c>
      <c r="G857" s="3">
        <v>46098</v>
      </c>
      <c r="H857" t="s">
        <v>28</v>
      </c>
      <c r="I857">
        <v>1</v>
      </c>
    </row>
    <row r="858" spans="1:9" x14ac:dyDescent="0.2">
      <c r="A858" s="18" t="s">
        <v>1301</v>
      </c>
      <c r="B858" s="18" t="s">
        <v>10</v>
      </c>
      <c r="C858" s="2">
        <v>46098.353410219905</v>
      </c>
      <c r="D858">
        <v>36</v>
      </c>
      <c r="F858" s="2">
        <v>46098.06174355324</v>
      </c>
      <c r="G858" s="3">
        <v>46098</v>
      </c>
      <c r="H858" t="s">
        <v>28</v>
      </c>
      <c r="I858">
        <v>1</v>
      </c>
    </row>
    <row r="859" spans="1:9" x14ac:dyDescent="0.2">
      <c r="A859" s="18" t="s">
        <v>923</v>
      </c>
      <c r="B859" s="18" t="s">
        <v>10</v>
      </c>
      <c r="C859" s="2">
        <v>46098.353699733794</v>
      </c>
      <c r="D859">
        <v>531</v>
      </c>
      <c r="F859" s="2">
        <v>46098.06203306713</v>
      </c>
      <c r="G859" s="3">
        <v>46098</v>
      </c>
      <c r="H859" t="s">
        <v>28</v>
      </c>
      <c r="I859">
        <v>1</v>
      </c>
    </row>
    <row r="860" spans="1:9" x14ac:dyDescent="0.2">
      <c r="A860" s="18" t="s">
        <v>1292</v>
      </c>
      <c r="B860" s="18" t="s">
        <v>10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28</v>
      </c>
      <c r="I860">
        <v>1</v>
      </c>
    </row>
    <row r="861" spans="1:9" x14ac:dyDescent="0.2">
      <c r="A861" s="18" t="s">
        <v>924</v>
      </c>
      <c r="B861" s="18" t="s">
        <v>10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28</v>
      </c>
      <c r="I861">
        <v>1</v>
      </c>
    </row>
    <row r="862" spans="1:9" x14ac:dyDescent="0.2">
      <c r="A862" s="18" t="s">
        <v>925</v>
      </c>
      <c r="B862" s="18" t="s">
        <v>10</v>
      </c>
      <c r="C862" s="2">
        <v>46098.36257020833</v>
      </c>
      <c r="D862">
        <v>36</v>
      </c>
      <c r="F862" s="2">
        <v>46098.070903541666</v>
      </c>
      <c r="G862" s="3">
        <v>46098</v>
      </c>
      <c r="H862" t="s">
        <v>28</v>
      </c>
      <c r="I862">
        <v>1</v>
      </c>
    </row>
    <row r="863" spans="1:9" x14ac:dyDescent="0.2">
      <c r="A863" s="18" t="s">
        <v>926</v>
      </c>
      <c r="B863" s="18" t="s">
        <v>10</v>
      </c>
      <c r="C863" s="2">
        <v>46098.365617870368</v>
      </c>
      <c r="D863">
        <v>3</v>
      </c>
      <c r="E863" s="7" t="s">
        <v>135</v>
      </c>
      <c r="F863" s="2">
        <v>46098.073951203703</v>
      </c>
      <c r="G863" s="3">
        <v>46098</v>
      </c>
      <c r="H863" t="s">
        <v>28</v>
      </c>
      <c r="I863">
        <v>1</v>
      </c>
    </row>
    <row r="864" spans="1:9" x14ac:dyDescent="0.2">
      <c r="A864" s="18" t="s">
        <v>927</v>
      </c>
      <c r="B864" s="18" t="s">
        <v>10</v>
      </c>
      <c r="C864" s="2">
        <v>46098.379372939817</v>
      </c>
      <c r="D864">
        <v>1</v>
      </c>
      <c r="E864" s="7" t="s">
        <v>135</v>
      </c>
      <c r="F864" s="2">
        <v>46098.087706273145</v>
      </c>
      <c r="G864" s="3">
        <v>46098</v>
      </c>
      <c r="H864" t="s">
        <v>28</v>
      </c>
      <c r="I864">
        <v>2</v>
      </c>
    </row>
    <row r="865" spans="1:9" x14ac:dyDescent="0.2">
      <c r="A865" s="18" t="s">
        <v>1445</v>
      </c>
      <c r="B865" s="18" t="s">
        <v>10</v>
      </c>
      <c r="C865" s="2">
        <v>46098.398625000002</v>
      </c>
      <c r="D865">
        <v>1</v>
      </c>
      <c r="E865" s="7" t="s">
        <v>135</v>
      </c>
      <c r="F865" s="2">
        <v>46098.10695833333</v>
      </c>
      <c r="G865" s="3">
        <v>46098</v>
      </c>
      <c r="H865" t="s">
        <v>28</v>
      </c>
      <c r="I865">
        <v>2</v>
      </c>
    </row>
    <row r="866" spans="1:9" x14ac:dyDescent="0.2">
      <c r="A866" s="18" t="s">
        <v>928</v>
      </c>
      <c r="B866" s="18" t="s">
        <v>10</v>
      </c>
      <c r="C866" s="2">
        <v>46098.406205613428</v>
      </c>
      <c r="D866">
        <v>575</v>
      </c>
      <c r="E866" s="7" t="s">
        <v>60</v>
      </c>
      <c r="F866" s="2">
        <v>46098.114538946757</v>
      </c>
      <c r="G866" s="3">
        <v>46098</v>
      </c>
      <c r="H866" t="s">
        <v>28</v>
      </c>
      <c r="I866">
        <v>2</v>
      </c>
    </row>
    <row r="867" spans="1:9" x14ac:dyDescent="0.2">
      <c r="A867" s="18" t="s">
        <v>929</v>
      </c>
      <c r="B867" s="18" t="s">
        <v>10</v>
      </c>
      <c r="C867" s="2">
        <v>46098.417980625003</v>
      </c>
      <c r="D867">
        <v>575</v>
      </c>
      <c r="E867" s="7" t="s">
        <v>60</v>
      </c>
      <c r="F867" s="2">
        <v>46098.126313958332</v>
      </c>
      <c r="G867" s="3">
        <v>46098</v>
      </c>
      <c r="H867" t="s">
        <v>28</v>
      </c>
      <c r="I867">
        <v>3</v>
      </c>
    </row>
    <row r="868" spans="1:9" x14ac:dyDescent="0.2">
      <c r="A868" s="18" t="s">
        <v>930</v>
      </c>
      <c r="B868" s="18" t="s">
        <v>10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28</v>
      </c>
      <c r="I868">
        <v>3</v>
      </c>
    </row>
    <row r="869" spans="1:9" x14ac:dyDescent="0.2">
      <c r="A869" s="18" t="s">
        <v>1432</v>
      </c>
      <c r="B869" s="18" t="s">
        <v>10</v>
      </c>
      <c r="C869" s="2">
        <v>46098.424890208335</v>
      </c>
      <c r="D869">
        <v>575</v>
      </c>
      <c r="E869" s="7" t="s">
        <v>60</v>
      </c>
      <c r="F869" s="2">
        <v>46098.13322354167</v>
      </c>
      <c r="G869" s="3">
        <v>46098</v>
      </c>
      <c r="H869" t="s">
        <v>28</v>
      </c>
      <c r="I869">
        <v>3</v>
      </c>
    </row>
    <row r="870" spans="1:9" x14ac:dyDescent="0.2">
      <c r="A870" s="18" t="s">
        <v>1465</v>
      </c>
      <c r="B870" s="18" t="s">
        <v>10</v>
      </c>
      <c r="C870" s="2">
        <v>46098.439520717591</v>
      </c>
      <c r="D870">
        <v>575</v>
      </c>
      <c r="E870" s="7" t="s">
        <v>60</v>
      </c>
      <c r="F870" s="2">
        <v>46098.147854050927</v>
      </c>
      <c r="G870" s="3">
        <v>46098</v>
      </c>
      <c r="H870" t="s">
        <v>28</v>
      </c>
      <c r="I870">
        <v>3</v>
      </c>
    </row>
    <row r="871" spans="1:9" x14ac:dyDescent="0.2">
      <c r="A871" s="18" t="s">
        <v>1466</v>
      </c>
      <c r="B871" s="18" t="s">
        <v>10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28</v>
      </c>
      <c r="I871">
        <v>3</v>
      </c>
    </row>
    <row r="872" spans="1:9" x14ac:dyDescent="0.2">
      <c r="A872" s="18" t="s">
        <v>1489</v>
      </c>
      <c r="B872" s="18" t="s">
        <v>10</v>
      </c>
      <c r="C872" s="2">
        <v>46098.451448761574</v>
      </c>
      <c r="D872">
        <v>3</v>
      </c>
      <c r="E872" s="7" t="s">
        <v>60</v>
      </c>
      <c r="F872" s="2">
        <v>46098.15978209491</v>
      </c>
      <c r="G872" s="3">
        <v>46098</v>
      </c>
      <c r="H872" t="s">
        <v>28</v>
      </c>
      <c r="I872">
        <v>3</v>
      </c>
    </row>
    <row r="873" spans="1:9" x14ac:dyDescent="0.2">
      <c r="A873" s="18" t="s">
        <v>931</v>
      </c>
      <c r="B873" s="18" t="s">
        <v>10</v>
      </c>
      <c r="C873" s="2">
        <v>46098.464909641203</v>
      </c>
      <c r="D873">
        <v>3</v>
      </c>
      <c r="E873" s="7" t="s">
        <v>60</v>
      </c>
      <c r="F873" s="2">
        <v>46098.173242974539</v>
      </c>
      <c r="G873" s="3">
        <v>46098</v>
      </c>
      <c r="H873" t="s">
        <v>28</v>
      </c>
      <c r="I873">
        <v>4</v>
      </c>
    </row>
    <row r="874" spans="1:9" x14ac:dyDescent="0.2">
      <c r="A874" s="18" t="s">
        <v>1383</v>
      </c>
      <c r="B874" s="18" t="s">
        <v>10</v>
      </c>
      <c r="C874" s="2">
        <v>46098.489328645832</v>
      </c>
      <c r="D874">
        <v>3</v>
      </c>
      <c r="E874" s="7" t="s">
        <v>60</v>
      </c>
      <c r="F874" s="2">
        <v>46098.197661979168</v>
      </c>
      <c r="G874" s="3">
        <v>46098</v>
      </c>
      <c r="H874" t="s">
        <v>28</v>
      </c>
      <c r="I874">
        <v>4</v>
      </c>
    </row>
    <row r="875" spans="1:9" x14ac:dyDescent="0.2">
      <c r="A875" s="18" t="s">
        <v>932</v>
      </c>
      <c r="B875" s="18" t="s">
        <v>10</v>
      </c>
      <c r="C875" s="2">
        <v>46098.521751030094</v>
      </c>
      <c r="D875">
        <v>3</v>
      </c>
      <c r="E875" s="7" t="s">
        <v>60</v>
      </c>
      <c r="F875" s="2">
        <v>46098.230084363429</v>
      </c>
      <c r="G875" s="3">
        <v>46098</v>
      </c>
      <c r="H875" t="s">
        <v>28</v>
      </c>
      <c r="I875">
        <v>5</v>
      </c>
    </row>
    <row r="876" spans="1:9" x14ac:dyDescent="0.2">
      <c r="A876" s="18" t="s">
        <v>933</v>
      </c>
      <c r="B876" s="18" t="s">
        <v>10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28</v>
      </c>
      <c r="I876">
        <v>5</v>
      </c>
    </row>
    <row r="877" spans="1:9" x14ac:dyDescent="0.2">
      <c r="A877" s="18" t="s">
        <v>934</v>
      </c>
      <c r="B877" s="18" t="s">
        <v>10</v>
      </c>
      <c r="C877" s="2">
        <v>46098.539260752317</v>
      </c>
      <c r="D877">
        <v>36</v>
      </c>
      <c r="F877" s="2">
        <v>46098.247594085646</v>
      </c>
      <c r="G877" s="3">
        <v>46098</v>
      </c>
      <c r="H877" t="s">
        <v>28</v>
      </c>
      <c r="I877">
        <v>5</v>
      </c>
    </row>
    <row r="878" spans="1:9" x14ac:dyDescent="0.2">
      <c r="A878" s="18" t="s">
        <v>935</v>
      </c>
      <c r="B878" s="18" t="s">
        <v>10</v>
      </c>
      <c r="C878" s="2">
        <v>46098.545183761576</v>
      </c>
      <c r="D878">
        <v>531</v>
      </c>
      <c r="F878" s="2">
        <v>46098.253517094905</v>
      </c>
      <c r="G878" s="3">
        <v>46098</v>
      </c>
      <c r="H878" t="s">
        <v>28</v>
      </c>
      <c r="I878">
        <v>6</v>
      </c>
    </row>
    <row r="879" spans="1:9" x14ac:dyDescent="0.2">
      <c r="A879" s="18" t="s">
        <v>936</v>
      </c>
      <c r="B879" s="18" t="s">
        <v>10</v>
      </c>
      <c r="C879" s="2">
        <v>46098.545891539354</v>
      </c>
      <c r="D879">
        <v>36</v>
      </c>
      <c r="F879" s="2">
        <v>46098.254224872682</v>
      </c>
      <c r="G879" s="3">
        <v>46098</v>
      </c>
      <c r="H879" t="s">
        <v>28</v>
      </c>
      <c r="I879">
        <v>6</v>
      </c>
    </row>
    <row r="880" spans="1:9" x14ac:dyDescent="0.2">
      <c r="A880" s="18" t="s">
        <v>937</v>
      </c>
      <c r="B880" s="18" t="s">
        <v>10</v>
      </c>
      <c r="C880" s="2">
        <v>46098.557410324072</v>
      </c>
      <c r="D880">
        <v>1</v>
      </c>
      <c r="E880" s="7" t="s">
        <v>60</v>
      </c>
      <c r="F880" s="2">
        <v>46098.265743657408</v>
      </c>
      <c r="G880" s="3">
        <v>46098</v>
      </c>
      <c r="H880" t="s">
        <v>28</v>
      </c>
      <c r="I880">
        <v>6</v>
      </c>
    </row>
    <row r="881" spans="1:9" x14ac:dyDescent="0.2">
      <c r="A881" s="18" t="s">
        <v>938</v>
      </c>
      <c r="B881" s="18" t="s">
        <v>10</v>
      </c>
      <c r="C881" s="2">
        <v>46098.563423912034</v>
      </c>
      <c r="D881">
        <v>3</v>
      </c>
      <c r="E881" s="7" t="s">
        <v>939</v>
      </c>
      <c r="F881" s="2">
        <v>46098.271757245369</v>
      </c>
      <c r="G881" s="3">
        <v>46098</v>
      </c>
      <c r="H881" t="s">
        <v>28</v>
      </c>
      <c r="I881">
        <v>6</v>
      </c>
    </row>
    <row r="882" spans="1:9" x14ac:dyDescent="0.2">
      <c r="A882" s="18" t="s">
        <v>940</v>
      </c>
      <c r="B882" s="18" t="s">
        <v>10</v>
      </c>
      <c r="C882" s="2">
        <v>46098.565383749999</v>
      </c>
      <c r="D882">
        <v>531</v>
      </c>
      <c r="F882" s="2">
        <v>46098.273717083335</v>
      </c>
      <c r="G882" s="3">
        <v>46098</v>
      </c>
      <c r="H882" t="s">
        <v>28</v>
      </c>
      <c r="I882">
        <v>6</v>
      </c>
    </row>
    <row r="883" spans="1:9" x14ac:dyDescent="0.2">
      <c r="A883" s="18" t="s">
        <v>1590</v>
      </c>
      <c r="B883" s="18" t="s">
        <v>10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28</v>
      </c>
      <c r="I883">
        <v>6</v>
      </c>
    </row>
    <row r="884" spans="1:9" x14ac:dyDescent="0.2">
      <c r="A884" s="18" t="s">
        <v>941</v>
      </c>
      <c r="B884" s="18" t="s">
        <v>10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28</v>
      </c>
      <c r="I884">
        <v>7</v>
      </c>
    </row>
    <row r="885" spans="1:9" x14ac:dyDescent="0.2">
      <c r="A885" s="18" t="s">
        <v>1066</v>
      </c>
      <c r="B885" s="18" t="s">
        <v>10</v>
      </c>
      <c r="C885" s="2">
        <v>46098.617683449076</v>
      </c>
      <c r="D885">
        <v>36</v>
      </c>
      <c r="F885" s="2">
        <v>46098.326016782405</v>
      </c>
      <c r="G885" s="3">
        <v>46098</v>
      </c>
      <c r="H885" t="s">
        <v>28</v>
      </c>
      <c r="I885">
        <v>7</v>
      </c>
    </row>
    <row r="886" spans="1:9" x14ac:dyDescent="0.2">
      <c r="A886" s="18" t="s">
        <v>942</v>
      </c>
      <c r="B886" s="18" t="s">
        <v>10</v>
      </c>
      <c r="C886" s="2">
        <v>46098.643212511575</v>
      </c>
      <c r="D886">
        <v>36</v>
      </c>
      <c r="F886" s="2">
        <v>46098.351545844911</v>
      </c>
      <c r="G886" s="3">
        <v>46098</v>
      </c>
      <c r="H886" t="s">
        <v>28</v>
      </c>
      <c r="I886">
        <v>8</v>
      </c>
    </row>
    <row r="887" spans="1:9" x14ac:dyDescent="0.2">
      <c r="A887" s="18" t="s">
        <v>949</v>
      </c>
      <c r="B887" s="18" t="s">
        <v>10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28</v>
      </c>
      <c r="I887">
        <v>10</v>
      </c>
    </row>
    <row r="888" spans="1:9" x14ac:dyDescent="0.2">
      <c r="A888" s="18" t="s">
        <v>950</v>
      </c>
      <c r="B888" s="18" t="s">
        <v>10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28</v>
      </c>
      <c r="I888">
        <v>11</v>
      </c>
    </row>
    <row r="889" spans="1:9" x14ac:dyDescent="0.2">
      <c r="A889" s="18" t="s">
        <v>951</v>
      </c>
      <c r="B889" s="18" t="s">
        <v>10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28</v>
      </c>
      <c r="I889">
        <v>13</v>
      </c>
    </row>
    <row r="890" spans="1:9" x14ac:dyDescent="0.2">
      <c r="A890" s="18" t="s">
        <v>952</v>
      </c>
      <c r="B890" s="18" t="s">
        <v>10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63</v>
      </c>
      <c r="I890">
        <v>1</v>
      </c>
    </row>
    <row r="891" spans="1:9" x14ac:dyDescent="0.2">
      <c r="A891" s="18" t="s">
        <v>953</v>
      </c>
      <c r="B891" s="18" t="s">
        <v>10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63</v>
      </c>
      <c r="I891">
        <v>1</v>
      </c>
    </row>
    <row r="892" spans="1:9" x14ac:dyDescent="0.2">
      <c r="A892" s="18" t="s">
        <v>1161</v>
      </c>
      <c r="B892" s="18" t="s">
        <v>10</v>
      </c>
      <c r="C892" s="2">
        <v>46099.371168564816</v>
      </c>
      <c r="D892">
        <v>531</v>
      </c>
      <c r="F892" s="2">
        <v>46099.079501898152</v>
      </c>
      <c r="G892" s="3">
        <v>46099</v>
      </c>
      <c r="H892" t="s">
        <v>63</v>
      </c>
      <c r="I892">
        <v>1</v>
      </c>
    </row>
    <row r="893" spans="1:9" x14ac:dyDescent="0.2">
      <c r="A893" s="18" t="s">
        <v>954</v>
      </c>
      <c r="B893" s="18" t="s">
        <v>10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63</v>
      </c>
      <c r="I893">
        <v>2</v>
      </c>
    </row>
    <row r="894" spans="1:9" x14ac:dyDescent="0.2">
      <c r="A894" s="18" t="s">
        <v>1384</v>
      </c>
      <c r="B894" s="18" t="s">
        <v>10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63</v>
      </c>
      <c r="I894">
        <v>2</v>
      </c>
    </row>
    <row r="895" spans="1:9" x14ac:dyDescent="0.2">
      <c r="A895" s="18" t="s">
        <v>955</v>
      </c>
      <c r="B895" s="18" t="s">
        <v>10</v>
      </c>
      <c r="C895" s="2">
        <v>46099.380611516201</v>
      </c>
      <c r="D895">
        <v>528</v>
      </c>
      <c r="F895" s="2">
        <v>46099.088944849536</v>
      </c>
      <c r="G895" s="3">
        <v>46099</v>
      </c>
      <c r="H895" t="s">
        <v>63</v>
      </c>
      <c r="I895">
        <v>2</v>
      </c>
    </row>
    <row r="896" spans="1:9" x14ac:dyDescent="0.2">
      <c r="A896" s="18" t="s">
        <v>956</v>
      </c>
      <c r="B896" s="18" t="s">
        <v>10</v>
      </c>
      <c r="C896" s="2">
        <v>46099.421552824075</v>
      </c>
      <c r="D896">
        <v>36</v>
      </c>
      <c r="F896" s="2">
        <v>46099.129886157411</v>
      </c>
      <c r="G896" s="3">
        <v>46099</v>
      </c>
      <c r="H896" t="s">
        <v>63</v>
      </c>
      <c r="I896">
        <v>3</v>
      </c>
    </row>
    <row r="897" spans="1:9" x14ac:dyDescent="0.2">
      <c r="A897" s="18" t="s">
        <v>1591</v>
      </c>
      <c r="B897" s="18" t="s">
        <v>10</v>
      </c>
      <c r="C897" s="2">
        <v>46099.458051990739</v>
      </c>
      <c r="D897">
        <v>36</v>
      </c>
      <c r="F897" s="2">
        <v>46099.166385324075</v>
      </c>
      <c r="G897" s="3">
        <v>46099</v>
      </c>
      <c r="H897" t="s">
        <v>63</v>
      </c>
      <c r="I897">
        <v>3</v>
      </c>
    </row>
    <row r="898" spans="1:9" x14ac:dyDescent="0.2">
      <c r="A898" s="18" t="s">
        <v>957</v>
      </c>
      <c r="B898" s="18" t="s">
        <v>10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63</v>
      </c>
      <c r="I898">
        <v>4</v>
      </c>
    </row>
    <row r="899" spans="1:9" x14ac:dyDescent="0.2">
      <c r="A899" s="18" t="s">
        <v>958</v>
      </c>
      <c r="B899" s="18" t="s">
        <v>10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63</v>
      </c>
      <c r="I899">
        <v>4</v>
      </c>
    </row>
    <row r="900" spans="1:9" x14ac:dyDescent="0.2">
      <c r="A900" s="18" t="s">
        <v>1329</v>
      </c>
      <c r="B900" s="18" t="s">
        <v>10</v>
      </c>
      <c r="C900" s="2">
        <v>46099.473032789349</v>
      </c>
      <c r="D900">
        <v>36</v>
      </c>
      <c r="F900" s="2">
        <v>46099.181366122684</v>
      </c>
      <c r="G900" s="3">
        <v>46099</v>
      </c>
      <c r="H900" t="s">
        <v>63</v>
      </c>
      <c r="I900">
        <v>4</v>
      </c>
    </row>
    <row r="901" spans="1:9" x14ac:dyDescent="0.2">
      <c r="A901" s="18" t="s">
        <v>1302</v>
      </c>
      <c r="B901" s="18" t="s">
        <v>10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63</v>
      </c>
      <c r="I901">
        <v>4</v>
      </c>
    </row>
    <row r="902" spans="1:9" x14ac:dyDescent="0.2">
      <c r="A902" s="18" t="s">
        <v>959</v>
      </c>
      <c r="B902" s="18" t="s">
        <v>10</v>
      </c>
      <c r="C902" s="2">
        <v>46099.483695451388</v>
      </c>
      <c r="D902">
        <v>3</v>
      </c>
      <c r="E902" s="7" t="s">
        <v>34</v>
      </c>
      <c r="F902" s="2">
        <v>46099.192028784724</v>
      </c>
      <c r="G902" s="3">
        <v>46099</v>
      </c>
      <c r="H902" t="s">
        <v>63</v>
      </c>
      <c r="I902">
        <v>4</v>
      </c>
    </row>
    <row r="903" spans="1:9" x14ac:dyDescent="0.2">
      <c r="A903" s="18" t="s">
        <v>960</v>
      </c>
      <c r="B903" s="18" t="s">
        <v>10</v>
      </c>
      <c r="C903" s="2">
        <v>46099.485804085649</v>
      </c>
      <c r="D903">
        <v>531</v>
      </c>
      <c r="F903" s="2">
        <v>46099.194137418985</v>
      </c>
      <c r="G903" s="3">
        <v>46099</v>
      </c>
      <c r="H903" t="s">
        <v>63</v>
      </c>
      <c r="I903">
        <v>4</v>
      </c>
    </row>
    <row r="904" spans="1:9" x14ac:dyDescent="0.2">
      <c r="A904" s="18" t="s">
        <v>961</v>
      </c>
      <c r="B904" s="18" t="s">
        <v>10</v>
      </c>
      <c r="C904" s="2">
        <v>46099.485866423609</v>
      </c>
      <c r="D904">
        <v>3</v>
      </c>
      <c r="F904" s="2">
        <v>46099.194199756945</v>
      </c>
      <c r="G904" s="3">
        <v>46099</v>
      </c>
      <c r="H904" t="s">
        <v>63</v>
      </c>
      <c r="I904">
        <v>4</v>
      </c>
    </row>
    <row r="905" spans="1:9" x14ac:dyDescent="0.2">
      <c r="A905" s="18" t="s">
        <v>1343</v>
      </c>
      <c r="B905" s="18" t="s">
        <v>10</v>
      </c>
      <c r="C905" s="2">
        <v>46099.490402569441</v>
      </c>
      <c r="D905">
        <v>575</v>
      </c>
      <c r="E905" s="7" t="s">
        <v>34</v>
      </c>
      <c r="F905" s="2">
        <v>46099.198735902777</v>
      </c>
      <c r="G905" s="3">
        <v>46099</v>
      </c>
      <c r="H905" t="s">
        <v>63</v>
      </c>
      <c r="I905">
        <v>4</v>
      </c>
    </row>
    <row r="906" spans="1:9" x14ac:dyDescent="0.2">
      <c r="A906" s="18" t="s">
        <v>1344</v>
      </c>
      <c r="B906" s="18" t="s">
        <v>10</v>
      </c>
      <c r="C906" s="2">
        <v>46099.491353287034</v>
      </c>
      <c r="D906">
        <v>36</v>
      </c>
      <c r="F906" s="2">
        <v>46099.19968662037</v>
      </c>
      <c r="G906" s="3">
        <v>46099</v>
      </c>
      <c r="H906" t="s">
        <v>63</v>
      </c>
      <c r="I906">
        <v>4</v>
      </c>
    </row>
    <row r="907" spans="1:9" x14ac:dyDescent="0.2">
      <c r="A907" s="18" t="s">
        <v>1067</v>
      </c>
      <c r="B907" s="18" t="s">
        <v>10</v>
      </c>
      <c r="C907" s="2">
        <v>46099.521189513885</v>
      </c>
      <c r="D907">
        <v>36</v>
      </c>
      <c r="F907" s="2">
        <v>46099.229522847221</v>
      </c>
      <c r="G907" s="3">
        <v>46099</v>
      </c>
      <c r="H907" t="s">
        <v>63</v>
      </c>
      <c r="I907">
        <v>5</v>
      </c>
    </row>
    <row r="908" spans="1:9" x14ac:dyDescent="0.2">
      <c r="A908" s="18" t="s">
        <v>962</v>
      </c>
      <c r="B908" s="18" t="s">
        <v>10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63</v>
      </c>
      <c r="I908">
        <v>5</v>
      </c>
    </row>
    <row r="909" spans="1:9" x14ac:dyDescent="0.2">
      <c r="A909" s="18" t="s">
        <v>963</v>
      </c>
      <c r="B909" s="18" t="s">
        <v>10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63</v>
      </c>
      <c r="I909">
        <v>6</v>
      </c>
    </row>
    <row r="910" spans="1:9" x14ac:dyDescent="0.2">
      <c r="A910" s="18" t="s">
        <v>964</v>
      </c>
      <c r="B910" s="18" t="s">
        <v>10</v>
      </c>
      <c r="C910" s="2">
        <v>46099.550748275462</v>
      </c>
      <c r="D910">
        <v>531</v>
      </c>
      <c r="E910" s="7" t="s">
        <v>34</v>
      </c>
      <c r="F910" s="2">
        <v>46099.259081608798</v>
      </c>
      <c r="G910" s="3">
        <v>46099</v>
      </c>
      <c r="H910" t="s">
        <v>63</v>
      </c>
      <c r="I910">
        <v>6</v>
      </c>
    </row>
    <row r="911" spans="1:9" x14ac:dyDescent="0.2">
      <c r="A911" s="18" t="s">
        <v>965</v>
      </c>
      <c r="B911" s="18" t="s">
        <v>10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63</v>
      </c>
      <c r="I911">
        <v>7</v>
      </c>
    </row>
    <row r="912" spans="1:9" x14ac:dyDescent="0.2">
      <c r="A912" s="18" t="s">
        <v>966</v>
      </c>
      <c r="B912" s="18" t="s">
        <v>10</v>
      </c>
      <c r="C912" s="2">
        <v>46099.614786064813</v>
      </c>
      <c r="D912">
        <v>531</v>
      </c>
      <c r="E912" s="7" t="s">
        <v>89</v>
      </c>
      <c r="F912" s="2">
        <v>46099.323119398148</v>
      </c>
      <c r="G912" s="3">
        <v>46099</v>
      </c>
      <c r="H912" t="s">
        <v>63</v>
      </c>
      <c r="I912">
        <v>7</v>
      </c>
    </row>
    <row r="913" spans="1:9" x14ac:dyDescent="0.2">
      <c r="A913" s="18" t="s">
        <v>967</v>
      </c>
      <c r="B913" s="18" t="s">
        <v>10</v>
      </c>
      <c r="C913" s="2">
        <v>46099.619564062501</v>
      </c>
      <c r="D913">
        <v>3</v>
      </c>
      <c r="E913" s="7" t="s">
        <v>968</v>
      </c>
      <c r="F913" s="2">
        <v>46099.327897395837</v>
      </c>
      <c r="G913" s="3">
        <v>46099</v>
      </c>
      <c r="H913" t="s">
        <v>63</v>
      </c>
      <c r="I913">
        <v>7</v>
      </c>
    </row>
    <row r="914" spans="1:9" x14ac:dyDescent="0.2">
      <c r="A914" s="18" t="s">
        <v>969</v>
      </c>
      <c r="B914" s="18" t="s">
        <v>10</v>
      </c>
      <c r="C914" s="2">
        <v>46099.628836875003</v>
      </c>
      <c r="D914">
        <v>531</v>
      </c>
      <c r="E914" s="7" t="s">
        <v>89</v>
      </c>
      <c r="F914" s="2">
        <v>46099.337170208331</v>
      </c>
      <c r="G914" s="3">
        <v>46099</v>
      </c>
      <c r="H914" t="s">
        <v>63</v>
      </c>
      <c r="I914">
        <v>8</v>
      </c>
    </row>
    <row r="915" spans="1:9" x14ac:dyDescent="0.2">
      <c r="A915" s="18" t="s">
        <v>1385</v>
      </c>
      <c r="B915" s="18" t="s">
        <v>10</v>
      </c>
      <c r="C915" s="2">
        <v>46099.630381631941</v>
      </c>
      <c r="D915">
        <v>531</v>
      </c>
      <c r="E915" s="7" t="s">
        <v>89</v>
      </c>
      <c r="F915" s="2">
        <v>46099.338714965277</v>
      </c>
      <c r="G915" s="3">
        <v>46099</v>
      </c>
      <c r="H915" t="s">
        <v>63</v>
      </c>
      <c r="I915">
        <v>8</v>
      </c>
    </row>
    <row r="916" spans="1:9" x14ac:dyDescent="0.2">
      <c r="A916" s="18" t="s">
        <v>970</v>
      </c>
      <c r="B916" s="18" t="s">
        <v>10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63</v>
      </c>
      <c r="I916">
        <v>8</v>
      </c>
    </row>
    <row r="917" spans="1:9" x14ac:dyDescent="0.2">
      <c r="A917" s="18" t="s">
        <v>971</v>
      </c>
      <c r="B917" s="18" t="s">
        <v>10</v>
      </c>
      <c r="C917" s="2">
        <v>46099.66756415509</v>
      </c>
      <c r="D917">
        <v>531</v>
      </c>
      <c r="E917" s="7" t="s">
        <v>89</v>
      </c>
      <c r="F917" s="2">
        <v>46099.375897488426</v>
      </c>
      <c r="G917" s="3">
        <v>46099</v>
      </c>
      <c r="H917" t="s">
        <v>63</v>
      </c>
      <c r="I917">
        <v>9</v>
      </c>
    </row>
    <row r="918" spans="1:9" x14ac:dyDescent="0.2">
      <c r="A918" s="18" t="s">
        <v>972</v>
      </c>
      <c r="B918" s="18" t="s">
        <v>10</v>
      </c>
      <c r="C918" s="2">
        <v>46099.669511701388</v>
      </c>
      <c r="D918">
        <v>3</v>
      </c>
      <c r="E918" s="7" t="s">
        <v>973</v>
      </c>
      <c r="F918" s="2">
        <v>46099.377845034724</v>
      </c>
      <c r="G918" s="3">
        <v>46099</v>
      </c>
      <c r="H918" t="s">
        <v>63</v>
      </c>
      <c r="I918">
        <v>9</v>
      </c>
    </row>
    <row r="919" spans="1:9" x14ac:dyDescent="0.2">
      <c r="A919" s="18" t="s">
        <v>974</v>
      </c>
      <c r="B919" s="18" t="s">
        <v>10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63</v>
      </c>
      <c r="I919">
        <v>9</v>
      </c>
    </row>
    <row r="920" spans="1:9" x14ac:dyDescent="0.2">
      <c r="A920" s="18" t="s">
        <v>975</v>
      </c>
      <c r="B920" s="18" t="s">
        <v>10</v>
      </c>
      <c r="C920" s="2">
        <v>46099.675421087966</v>
      </c>
      <c r="D920">
        <v>531</v>
      </c>
      <c r="E920" s="7" t="s">
        <v>31</v>
      </c>
      <c r="F920" s="2">
        <v>46099.383754421295</v>
      </c>
      <c r="G920" s="3">
        <v>46099</v>
      </c>
      <c r="H920" t="s">
        <v>63</v>
      </c>
      <c r="I920">
        <v>9</v>
      </c>
    </row>
    <row r="921" spans="1:9" x14ac:dyDescent="0.2">
      <c r="A921" s="18" t="s">
        <v>976</v>
      </c>
      <c r="B921" s="18" t="s">
        <v>10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63</v>
      </c>
      <c r="I921">
        <v>9</v>
      </c>
    </row>
    <row r="922" spans="1:9" x14ac:dyDescent="0.2">
      <c r="A922" s="18" t="s">
        <v>979</v>
      </c>
      <c r="B922" s="18" t="s">
        <v>10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63</v>
      </c>
      <c r="I922">
        <v>10</v>
      </c>
    </row>
    <row r="923" spans="1:9" x14ac:dyDescent="0.2">
      <c r="A923" s="18" t="s">
        <v>980</v>
      </c>
      <c r="B923" s="18" t="s">
        <v>10</v>
      </c>
      <c r="C923" s="2">
        <v>46099.719778854167</v>
      </c>
      <c r="D923">
        <v>531</v>
      </c>
      <c r="E923" s="7" t="s">
        <v>34</v>
      </c>
      <c r="F923" s="2">
        <v>46099.428112187503</v>
      </c>
      <c r="G923" s="3">
        <v>46099</v>
      </c>
      <c r="H923" t="s">
        <v>63</v>
      </c>
      <c r="I923">
        <v>10</v>
      </c>
    </row>
    <row r="924" spans="1:9" x14ac:dyDescent="0.2">
      <c r="A924" s="18" t="s">
        <v>981</v>
      </c>
      <c r="B924" s="18" t="s">
        <v>10</v>
      </c>
      <c r="C924" s="2">
        <v>46099.778229930555</v>
      </c>
      <c r="D924">
        <v>3</v>
      </c>
      <c r="E924" s="7" t="s">
        <v>874</v>
      </c>
      <c r="F924" s="2">
        <v>46099.48656326389</v>
      </c>
      <c r="G924" s="3">
        <v>46099</v>
      </c>
      <c r="H924" t="s">
        <v>63</v>
      </c>
      <c r="I924">
        <v>11</v>
      </c>
    </row>
    <row r="925" spans="1:9" x14ac:dyDescent="0.2">
      <c r="A925" s="18" t="s">
        <v>1330</v>
      </c>
      <c r="B925" s="18" t="s">
        <v>10</v>
      </c>
      <c r="C925" s="2">
        <v>46099.784744027776</v>
      </c>
      <c r="D925">
        <v>4</v>
      </c>
      <c r="E925" s="7" t="s">
        <v>874</v>
      </c>
      <c r="F925" s="2">
        <v>46099.493077361112</v>
      </c>
      <c r="G925" s="3">
        <v>46099</v>
      </c>
      <c r="H925" t="s">
        <v>63</v>
      </c>
      <c r="I925">
        <v>11</v>
      </c>
    </row>
    <row r="926" spans="1:9" x14ac:dyDescent="0.2">
      <c r="A926" s="18" t="s">
        <v>982</v>
      </c>
      <c r="B926" s="18" t="s">
        <v>10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63</v>
      </c>
      <c r="I926">
        <v>12</v>
      </c>
    </row>
    <row r="927" spans="1:9" x14ac:dyDescent="0.2">
      <c r="A927" s="18" t="s">
        <v>983</v>
      </c>
      <c r="B927" s="18" t="s">
        <v>10</v>
      </c>
      <c r="C927" s="2">
        <v>46099.844146469906</v>
      </c>
      <c r="D927">
        <v>531</v>
      </c>
      <c r="F927" s="2">
        <v>46099.552479803242</v>
      </c>
      <c r="G927" s="3">
        <v>46099</v>
      </c>
      <c r="H927" t="s">
        <v>63</v>
      </c>
      <c r="I927">
        <v>13</v>
      </c>
    </row>
    <row r="928" spans="1:9" x14ac:dyDescent="0.2">
      <c r="A928" s="18" t="s">
        <v>984</v>
      </c>
      <c r="B928" s="18" t="s">
        <v>10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63</v>
      </c>
      <c r="I928">
        <v>14</v>
      </c>
    </row>
    <row r="929" spans="1:9" x14ac:dyDescent="0.2">
      <c r="A929" s="18" t="s">
        <v>1208</v>
      </c>
      <c r="B929" s="18" t="s">
        <v>10</v>
      </c>
      <c r="C929" s="2">
        <v>46099.909361655089</v>
      </c>
      <c r="D929">
        <v>531</v>
      </c>
      <c r="F929" s="2">
        <v>46099.617694988425</v>
      </c>
      <c r="G929" s="3">
        <v>46099</v>
      </c>
      <c r="H929" t="s">
        <v>63</v>
      </c>
      <c r="I929">
        <v>14</v>
      </c>
    </row>
    <row r="930" spans="1:9" x14ac:dyDescent="0.2">
      <c r="A930" s="18" t="s">
        <v>985</v>
      </c>
      <c r="B930" s="18" t="s">
        <v>10</v>
      </c>
      <c r="C930" s="2">
        <v>46099.931100671296</v>
      </c>
      <c r="D930">
        <v>531</v>
      </c>
      <c r="F930" s="2">
        <v>46099.639434004632</v>
      </c>
      <c r="G930" s="3">
        <v>46099</v>
      </c>
      <c r="H930" t="s">
        <v>63</v>
      </c>
      <c r="I930">
        <v>15</v>
      </c>
    </row>
    <row r="931" spans="1:9" x14ac:dyDescent="0.2">
      <c r="A931" s="18" t="s">
        <v>1068</v>
      </c>
      <c r="B931" s="18" t="s">
        <v>10</v>
      </c>
      <c r="C931" s="2">
        <v>46099.944902696756</v>
      </c>
      <c r="D931">
        <v>803</v>
      </c>
      <c r="F931" s="2">
        <v>46099.653236030092</v>
      </c>
      <c r="G931" s="3">
        <v>46099</v>
      </c>
      <c r="H931" t="s">
        <v>63</v>
      </c>
      <c r="I931">
        <v>15</v>
      </c>
    </row>
    <row r="932" spans="1:9" x14ac:dyDescent="0.2">
      <c r="A932" s="18" t="s">
        <v>986</v>
      </c>
      <c r="B932" s="18" t="s">
        <v>10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63</v>
      </c>
      <c r="I932">
        <v>15</v>
      </c>
    </row>
    <row r="933" spans="1:9" x14ac:dyDescent="0.2">
      <c r="A933" s="18" t="s">
        <v>987</v>
      </c>
      <c r="B933" s="18" t="s">
        <v>10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63</v>
      </c>
      <c r="I933">
        <v>15</v>
      </c>
    </row>
    <row r="934" spans="1:9" x14ac:dyDescent="0.2">
      <c r="A934" s="18" t="s">
        <v>988</v>
      </c>
      <c r="B934" s="18" t="s">
        <v>10</v>
      </c>
      <c r="C934" s="2">
        <v>46099.98883800926</v>
      </c>
      <c r="D934">
        <v>3</v>
      </c>
      <c r="F934" s="2">
        <v>46099.697171342596</v>
      </c>
      <c r="G934" s="3">
        <v>46099</v>
      </c>
      <c r="H934" t="s">
        <v>63</v>
      </c>
      <c r="I934">
        <v>16</v>
      </c>
    </row>
    <row r="935" spans="1:9" x14ac:dyDescent="0.2">
      <c r="A935" s="18" t="s">
        <v>989</v>
      </c>
      <c r="B935" s="18" t="s">
        <v>10</v>
      </c>
      <c r="C935" s="2">
        <v>46099.992093969908</v>
      </c>
      <c r="D935">
        <v>531</v>
      </c>
      <c r="E935" s="7" t="s">
        <v>990</v>
      </c>
      <c r="F935" s="2">
        <v>46099.700427303243</v>
      </c>
      <c r="G935" s="3">
        <v>46099</v>
      </c>
      <c r="H935" t="s">
        <v>63</v>
      </c>
      <c r="I935">
        <v>16</v>
      </c>
    </row>
    <row r="936" spans="1:9" x14ac:dyDescent="0.2">
      <c r="A936" s="18" t="s">
        <v>991</v>
      </c>
      <c r="B936" s="18" t="s">
        <v>10</v>
      </c>
      <c r="C936" s="2">
        <v>46099.993530451386</v>
      </c>
      <c r="D936">
        <v>3</v>
      </c>
      <c r="F936" s="2">
        <v>46099.701863784721</v>
      </c>
      <c r="G936" s="3">
        <v>46099</v>
      </c>
      <c r="H936" t="s">
        <v>63</v>
      </c>
      <c r="I936">
        <v>16</v>
      </c>
    </row>
    <row r="937" spans="1:9" x14ac:dyDescent="0.2">
      <c r="A937" s="18" t="s">
        <v>1433</v>
      </c>
      <c r="B937" s="18" t="s">
        <v>10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63</v>
      </c>
      <c r="I937">
        <v>16</v>
      </c>
    </row>
    <row r="938" spans="1:9" x14ac:dyDescent="0.2">
      <c r="A938" s="18" t="s">
        <v>992</v>
      </c>
      <c r="B938" s="18" t="s">
        <v>10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63</v>
      </c>
      <c r="I938">
        <v>17</v>
      </c>
    </row>
    <row r="939" spans="1:9" x14ac:dyDescent="0.2">
      <c r="A939" s="18" t="s">
        <v>993</v>
      </c>
      <c r="B939" s="18" t="s">
        <v>10</v>
      </c>
      <c r="C939" s="2">
        <v>46100.331551041665</v>
      </c>
      <c r="D939">
        <v>2</v>
      </c>
      <c r="F939" s="2">
        <v>46100.039884375001</v>
      </c>
      <c r="G939" s="3">
        <v>46100</v>
      </c>
      <c r="H939" t="s">
        <v>95</v>
      </c>
      <c r="I939">
        <v>0</v>
      </c>
    </row>
    <row r="940" spans="1:9" x14ac:dyDescent="0.2">
      <c r="A940" s="18" t="s">
        <v>994</v>
      </c>
      <c r="B940" s="18" t="s">
        <v>10</v>
      </c>
      <c r="C940" s="2">
        <v>46100.364774293979</v>
      </c>
      <c r="D940">
        <v>36</v>
      </c>
      <c r="F940" s="2">
        <v>46100.073107627315</v>
      </c>
      <c r="G940" s="3">
        <v>46100</v>
      </c>
      <c r="H940" t="s">
        <v>95</v>
      </c>
      <c r="I940">
        <v>1</v>
      </c>
    </row>
    <row r="941" spans="1:9" x14ac:dyDescent="0.2">
      <c r="A941" s="18" t="s">
        <v>995</v>
      </c>
      <c r="B941" s="18" t="s">
        <v>10</v>
      </c>
      <c r="C941" s="2">
        <v>46100.381678101854</v>
      </c>
      <c r="D941">
        <v>2</v>
      </c>
      <c r="F941" s="2">
        <v>46100.090011435183</v>
      </c>
      <c r="G941" s="3">
        <v>46100</v>
      </c>
      <c r="H941" t="s">
        <v>95</v>
      </c>
      <c r="I941">
        <v>2</v>
      </c>
    </row>
    <row r="942" spans="1:9" x14ac:dyDescent="0.2">
      <c r="A942" s="18" t="s">
        <v>996</v>
      </c>
      <c r="B942" s="18" t="s">
        <v>10</v>
      </c>
      <c r="C942" s="2">
        <v>46100.381711273149</v>
      </c>
      <c r="D942">
        <v>3</v>
      </c>
      <c r="F942" s="2">
        <v>46100.090044606484</v>
      </c>
      <c r="G942" s="3">
        <v>46100</v>
      </c>
      <c r="H942" t="s">
        <v>95</v>
      </c>
      <c r="I942">
        <v>2</v>
      </c>
    </row>
    <row r="943" spans="1:9" x14ac:dyDescent="0.2">
      <c r="A943" s="18" t="s">
        <v>997</v>
      </c>
      <c r="B943" s="18" t="s">
        <v>10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95</v>
      </c>
      <c r="I943">
        <v>3</v>
      </c>
    </row>
    <row r="944" spans="1:9" x14ac:dyDescent="0.2">
      <c r="A944" s="18" t="s">
        <v>1273</v>
      </c>
      <c r="B944" s="18" t="s">
        <v>10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95</v>
      </c>
      <c r="I944">
        <v>3</v>
      </c>
    </row>
    <row r="945" spans="1:9" x14ac:dyDescent="0.2">
      <c r="A945" s="18" t="s">
        <v>1249</v>
      </c>
      <c r="B945" s="18" t="s">
        <v>10</v>
      </c>
      <c r="C945" s="2">
        <v>46100.437603576385</v>
      </c>
      <c r="D945">
        <v>531</v>
      </c>
      <c r="F945" s="2">
        <v>46100.145936909721</v>
      </c>
      <c r="G945" s="3">
        <v>46100</v>
      </c>
      <c r="H945" t="s">
        <v>95</v>
      </c>
      <c r="I945">
        <v>3</v>
      </c>
    </row>
    <row r="946" spans="1:9" x14ac:dyDescent="0.2">
      <c r="A946" s="18" t="s">
        <v>998</v>
      </c>
      <c r="B946" s="18" t="s">
        <v>10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95</v>
      </c>
      <c r="I946">
        <v>3</v>
      </c>
    </row>
    <row r="947" spans="1:9" x14ac:dyDescent="0.2">
      <c r="A947" s="18" t="s">
        <v>999</v>
      </c>
      <c r="B947" s="18" t="s">
        <v>10</v>
      </c>
      <c r="C947" s="2">
        <v>46100.443240509259</v>
      </c>
      <c r="D947">
        <v>3</v>
      </c>
      <c r="E947" s="7" t="s">
        <v>1000</v>
      </c>
      <c r="F947" s="2">
        <v>46100.151573842595</v>
      </c>
      <c r="G947" s="3">
        <v>46100</v>
      </c>
      <c r="H947" t="s">
        <v>95</v>
      </c>
      <c r="I947">
        <v>3</v>
      </c>
    </row>
    <row r="948" spans="1:9" x14ac:dyDescent="0.2">
      <c r="A948" s="18" t="s">
        <v>1001</v>
      </c>
      <c r="B948" s="18" t="s">
        <v>10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95</v>
      </c>
      <c r="I948">
        <v>3</v>
      </c>
    </row>
    <row r="949" spans="1:9" x14ac:dyDescent="0.2">
      <c r="A949" s="18" t="s">
        <v>1467</v>
      </c>
      <c r="B949" s="18" t="s">
        <v>10</v>
      </c>
      <c r="C949" s="2">
        <v>46100.458242025466</v>
      </c>
      <c r="D949">
        <v>531</v>
      </c>
      <c r="F949" s="2">
        <v>46100.166575358795</v>
      </c>
      <c r="G949" s="3">
        <v>46100</v>
      </c>
      <c r="H949" t="s">
        <v>95</v>
      </c>
      <c r="I949">
        <v>3</v>
      </c>
    </row>
    <row r="950" spans="1:9" x14ac:dyDescent="0.2">
      <c r="A950" s="18" t="s">
        <v>1002</v>
      </c>
      <c r="B950" s="18" t="s">
        <v>10</v>
      </c>
      <c r="C950" s="2">
        <v>46100.458336435186</v>
      </c>
      <c r="D950">
        <v>528</v>
      </c>
      <c r="F950" s="2">
        <v>46100.166669768521</v>
      </c>
      <c r="G950" s="3">
        <v>46100</v>
      </c>
      <c r="H950" t="s">
        <v>95</v>
      </c>
      <c r="I950">
        <v>4</v>
      </c>
    </row>
    <row r="951" spans="1:9" x14ac:dyDescent="0.2">
      <c r="A951" s="18" t="s">
        <v>1003</v>
      </c>
      <c r="B951" s="18" t="s">
        <v>10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95</v>
      </c>
      <c r="I951">
        <v>4</v>
      </c>
    </row>
    <row r="952" spans="1:9" x14ac:dyDescent="0.2">
      <c r="A952" s="18" t="s">
        <v>1490</v>
      </c>
      <c r="B952" s="18" t="s">
        <v>10</v>
      </c>
      <c r="C952" s="2">
        <v>46100.486576863426</v>
      </c>
      <c r="D952">
        <v>2</v>
      </c>
      <c r="F952" s="2">
        <v>46100.194910196762</v>
      </c>
      <c r="G952" s="3">
        <v>46100</v>
      </c>
      <c r="H952" t="s">
        <v>95</v>
      </c>
      <c r="I952">
        <v>4</v>
      </c>
    </row>
    <row r="953" spans="1:9" x14ac:dyDescent="0.2">
      <c r="A953" s="18" t="s">
        <v>1004</v>
      </c>
      <c r="B953" s="18" t="s">
        <v>10</v>
      </c>
      <c r="C953" s="2">
        <v>46100.489663229164</v>
      </c>
      <c r="D953">
        <v>3</v>
      </c>
      <c r="F953" s="2">
        <v>46100.1979965625</v>
      </c>
      <c r="G953" s="3">
        <v>46100</v>
      </c>
      <c r="H953" t="s">
        <v>95</v>
      </c>
      <c r="I953">
        <v>4</v>
      </c>
    </row>
    <row r="954" spans="1:9" x14ac:dyDescent="0.2">
      <c r="A954" s="18" t="s">
        <v>1005</v>
      </c>
      <c r="B954" s="18" t="s">
        <v>10</v>
      </c>
      <c r="C954" s="2">
        <v>46100.495742291663</v>
      </c>
      <c r="D954">
        <v>3</v>
      </c>
      <c r="E954" s="7" t="s">
        <v>305</v>
      </c>
      <c r="F954" s="2">
        <v>46100.204075624999</v>
      </c>
      <c r="G954" s="3">
        <v>46100</v>
      </c>
      <c r="H954" t="s">
        <v>95</v>
      </c>
      <c r="I954">
        <v>4</v>
      </c>
    </row>
    <row r="955" spans="1:9" x14ac:dyDescent="0.2">
      <c r="A955" s="18" t="s">
        <v>1006</v>
      </c>
      <c r="B955" s="18" t="s">
        <v>10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95</v>
      </c>
      <c r="I955">
        <v>5</v>
      </c>
    </row>
    <row r="956" spans="1:9" x14ac:dyDescent="0.2">
      <c r="A956" s="18" t="s">
        <v>1007</v>
      </c>
      <c r="B956" s="18" t="s">
        <v>10</v>
      </c>
      <c r="C956" s="2">
        <v>46100.584859282404</v>
      </c>
      <c r="D956">
        <v>575</v>
      </c>
      <c r="E956" s="7" t="s">
        <v>582</v>
      </c>
      <c r="F956" s="2">
        <v>46100.29319261574</v>
      </c>
      <c r="G956" s="3">
        <v>46100</v>
      </c>
      <c r="H956" t="s">
        <v>95</v>
      </c>
      <c r="I956">
        <v>7</v>
      </c>
    </row>
    <row r="957" spans="1:9" x14ac:dyDescent="0.2">
      <c r="A957" s="18" t="s">
        <v>1008</v>
      </c>
      <c r="B957" s="18" t="s">
        <v>10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95</v>
      </c>
      <c r="I957">
        <v>7</v>
      </c>
    </row>
    <row r="958" spans="1:9" x14ac:dyDescent="0.2">
      <c r="A958" s="18" t="s">
        <v>1592</v>
      </c>
      <c r="B958" s="18" t="s">
        <v>10</v>
      </c>
      <c r="C958" s="2">
        <v>46100.603721203704</v>
      </c>
      <c r="D958">
        <v>575</v>
      </c>
      <c r="E958" s="7" t="s">
        <v>582</v>
      </c>
      <c r="F958" s="2">
        <v>46100.31205453704</v>
      </c>
      <c r="G958" s="3">
        <v>46100</v>
      </c>
      <c r="H958" t="s">
        <v>95</v>
      </c>
      <c r="I958">
        <v>7</v>
      </c>
    </row>
    <row r="959" spans="1:9" x14ac:dyDescent="0.2">
      <c r="A959" s="18" t="s">
        <v>1009</v>
      </c>
      <c r="B959" s="18" t="s">
        <v>10</v>
      </c>
      <c r="C959" s="2">
        <v>46100.627767349535</v>
      </c>
      <c r="D959">
        <v>575</v>
      </c>
      <c r="E959" s="7" t="s">
        <v>582</v>
      </c>
      <c r="F959" s="2">
        <v>46100.336100682871</v>
      </c>
      <c r="G959" s="3">
        <v>46100</v>
      </c>
      <c r="H959" t="s">
        <v>95</v>
      </c>
      <c r="I959">
        <v>8</v>
      </c>
    </row>
    <row r="960" spans="1:9" x14ac:dyDescent="0.2">
      <c r="A960" s="18" t="s">
        <v>1010</v>
      </c>
      <c r="B960" s="18" t="s">
        <v>10</v>
      </c>
      <c r="C960" s="2">
        <v>46100.638518981483</v>
      </c>
      <c r="D960">
        <v>531</v>
      </c>
      <c r="E960" s="7" t="s">
        <v>89</v>
      </c>
      <c r="F960" s="2">
        <v>46100.346852314811</v>
      </c>
      <c r="G960" s="3">
        <v>46100</v>
      </c>
      <c r="H960" t="s">
        <v>95</v>
      </c>
      <c r="I960">
        <v>8</v>
      </c>
    </row>
    <row r="961" spans="1:9" x14ac:dyDescent="0.2">
      <c r="A961" s="18" t="s">
        <v>1011</v>
      </c>
      <c r="B961" s="18" t="s">
        <v>10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95</v>
      </c>
      <c r="I961">
        <v>8</v>
      </c>
    </row>
    <row r="962" spans="1:9" x14ac:dyDescent="0.2">
      <c r="A962" s="18" t="s">
        <v>1069</v>
      </c>
      <c r="B962" s="18" t="s">
        <v>10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95</v>
      </c>
      <c r="I962">
        <v>10</v>
      </c>
    </row>
    <row r="963" spans="1:9" x14ac:dyDescent="0.2">
      <c r="A963" s="18" t="s">
        <v>1070</v>
      </c>
      <c r="B963" s="18" t="s">
        <v>10</v>
      </c>
      <c r="C963" s="2">
        <v>46100.918403900461</v>
      </c>
      <c r="D963">
        <v>3</v>
      </c>
      <c r="E963" s="7" t="s">
        <v>1071</v>
      </c>
      <c r="F963" s="2">
        <v>46100.626737233797</v>
      </c>
      <c r="G963" s="3">
        <v>46100</v>
      </c>
      <c r="H963" t="s">
        <v>95</v>
      </c>
      <c r="I963">
        <v>15</v>
      </c>
    </row>
    <row r="964" spans="1:9" x14ac:dyDescent="0.2">
      <c r="A964" s="18" t="s">
        <v>1072</v>
      </c>
      <c r="B964" s="18" t="s">
        <v>10</v>
      </c>
      <c r="C964" s="2">
        <v>46100.918741527777</v>
      </c>
      <c r="D964">
        <v>2</v>
      </c>
      <c r="E964" s="7" t="s">
        <v>1073</v>
      </c>
      <c r="F964" s="2">
        <v>46100.627074861113</v>
      </c>
      <c r="G964" s="3">
        <v>46100</v>
      </c>
      <c r="H964" t="s">
        <v>95</v>
      </c>
      <c r="I964">
        <v>15</v>
      </c>
    </row>
    <row r="965" spans="1:9" x14ac:dyDescent="0.2">
      <c r="A965" s="18" t="s">
        <v>1074</v>
      </c>
      <c r="B965" s="18" t="s">
        <v>10</v>
      </c>
      <c r="C965" s="2">
        <v>46100.919930717595</v>
      </c>
      <c r="D965">
        <v>3</v>
      </c>
      <c r="F965" s="2">
        <v>46100.628264050923</v>
      </c>
      <c r="G965" s="3">
        <v>46100</v>
      </c>
      <c r="H965" t="s">
        <v>95</v>
      </c>
      <c r="I965">
        <v>15</v>
      </c>
    </row>
    <row r="966" spans="1:9" x14ac:dyDescent="0.2">
      <c r="A966" s="18" t="s">
        <v>1075</v>
      </c>
      <c r="B966" s="18" t="s">
        <v>10</v>
      </c>
      <c r="C966" s="2">
        <v>46101.178652071758</v>
      </c>
      <c r="D966">
        <v>531</v>
      </c>
      <c r="E966" s="7" t="s">
        <v>89</v>
      </c>
      <c r="F966" s="2">
        <v>46100.886985405094</v>
      </c>
      <c r="G966" s="3">
        <v>46100</v>
      </c>
      <c r="H966" t="s">
        <v>95</v>
      </c>
      <c r="I966">
        <v>21</v>
      </c>
    </row>
    <row r="967" spans="1:9" x14ac:dyDescent="0.2">
      <c r="A967" s="18" t="s">
        <v>1076</v>
      </c>
      <c r="B967" s="18" t="s">
        <v>10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115</v>
      </c>
      <c r="I967">
        <v>0</v>
      </c>
    </row>
    <row r="968" spans="1:9" x14ac:dyDescent="0.2">
      <c r="A968" s="18" t="s">
        <v>1077</v>
      </c>
      <c r="B968" s="18" t="s">
        <v>10</v>
      </c>
      <c r="C968" s="2">
        <v>46101.341216898145</v>
      </c>
      <c r="D968">
        <v>531</v>
      </c>
      <c r="F968" s="2">
        <v>46101.049550231481</v>
      </c>
      <c r="G968" s="3">
        <v>46101</v>
      </c>
      <c r="H968" t="s">
        <v>115</v>
      </c>
      <c r="I968">
        <v>1</v>
      </c>
    </row>
    <row r="969" spans="1:9" x14ac:dyDescent="0.2">
      <c r="A969" s="18" t="s">
        <v>1078</v>
      </c>
      <c r="B969" s="18" t="s">
        <v>10</v>
      </c>
      <c r="C969" s="2">
        <v>46101.588491400464</v>
      </c>
      <c r="D969">
        <v>531</v>
      </c>
      <c r="F969" s="2">
        <v>46101.296824733799</v>
      </c>
      <c r="G969" s="3">
        <v>46101</v>
      </c>
      <c r="H969" t="s">
        <v>115</v>
      </c>
      <c r="I969">
        <v>7</v>
      </c>
    </row>
    <row r="970" spans="1:9" x14ac:dyDescent="0.2">
      <c r="A970" s="18" t="s">
        <v>1079</v>
      </c>
      <c r="B970" s="18" t="s">
        <v>10</v>
      </c>
      <c r="C970" s="2">
        <v>46101.686879699075</v>
      </c>
      <c r="D970">
        <v>531</v>
      </c>
      <c r="E970" s="7" t="s">
        <v>31</v>
      </c>
      <c r="F970" s="2">
        <v>46101.395213032411</v>
      </c>
      <c r="G970" s="3">
        <v>46101</v>
      </c>
      <c r="H970" t="s">
        <v>115</v>
      </c>
      <c r="I970">
        <v>9</v>
      </c>
    </row>
    <row r="971" spans="1:9" x14ac:dyDescent="0.2">
      <c r="A971" s="18" t="s">
        <v>1083</v>
      </c>
      <c r="B971" s="18" t="s">
        <v>10</v>
      </c>
      <c r="C971" s="2">
        <v>46101.80687886574</v>
      </c>
      <c r="D971">
        <v>531</v>
      </c>
      <c r="F971" s="2">
        <v>46101.515212199076</v>
      </c>
      <c r="G971" s="3">
        <v>46101</v>
      </c>
      <c r="H971" t="s">
        <v>115</v>
      </c>
      <c r="I971">
        <v>12</v>
      </c>
    </row>
    <row r="972" spans="1:9" x14ac:dyDescent="0.2">
      <c r="A972" s="18" t="s">
        <v>1084</v>
      </c>
      <c r="B972" s="18" t="s">
        <v>10</v>
      </c>
      <c r="C972" s="2">
        <v>46101.807240740738</v>
      </c>
      <c r="D972">
        <v>3</v>
      </c>
      <c r="F972" s="2">
        <v>46101.515574074074</v>
      </c>
      <c r="G972" s="3">
        <v>46101</v>
      </c>
      <c r="H972" t="s">
        <v>115</v>
      </c>
      <c r="I972">
        <v>12</v>
      </c>
    </row>
    <row r="973" spans="1:9" x14ac:dyDescent="0.2">
      <c r="A973" s="18" t="s">
        <v>1085</v>
      </c>
      <c r="B973" s="18" t="s">
        <v>10</v>
      </c>
      <c r="C973" s="2">
        <v>46101.809812719905</v>
      </c>
      <c r="D973">
        <v>3</v>
      </c>
      <c r="E973" s="7" t="s">
        <v>1086</v>
      </c>
      <c r="F973" s="2">
        <v>46101.51814605324</v>
      </c>
      <c r="G973" s="3">
        <v>46101</v>
      </c>
      <c r="H973" t="s">
        <v>115</v>
      </c>
      <c r="I973">
        <v>12</v>
      </c>
    </row>
    <row r="974" spans="1:9" x14ac:dyDescent="0.2">
      <c r="A974" s="18" t="s">
        <v>1087</v>
      </c>
      <c r="B974" s="18" t="s">
        <v>10</v>
      </c>
      <c r="C974" s="2">
        <v>46101.809968819442</v>
      </c>
      <c r="D974">
        <v>3</v>
      </c>
      <c r="E974" s="7" t="s">
        <v>1088</v>
      </c>
      <c r="F974" s="2">
        <v>46101.518302152777</v>
      </c>
      <c r="G974" s="3">
        <v>46101</v>
      </c>
      <c r="H974" t="s">
        <v>115</v>
      </c>
      <c r="I974">
        <v>12</v>
      </c>
    </row>
    <row r="975" spans="1:9" x14ac:dyDescent="0.2">
      <c r="A975" s="18" t="s">
        <v>1089</v>
      </c>
      <c r="B975" s="18" t="s">
        <v>10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115</v>
      </c>
      <c r="I975">
        <v>12</v>
      </c>
    </row>
    <row r="976" spans="1:9" x14ac:dyDescent="0.2">
      <c r="A976" s="18" t="s">
        <v>1090</v>
      </c>
      <c r="B976" s="18" t="s">
        <v>10</v>
      </c>
      <c r="C976" s="2">
        <v>46101.824775740744</v>
      </c>
      <c r="D976">
        <v>531</v>
      </c>
      <c r="F976" s="2">
        <v>46101.533109074073</v>
      </c>
      <c r="G976" s="3">
        <v>46101</v>
      </c>
      <c r="H976" t="s">
        <v>115</v>
      </c>
      <c r="I976">
        <v>12</v>
      </c>
    </row>
    <row r="977" spans="1:9" x14ac:dyDescent="0.2">
      <c r="A977" s="18" t="s">
        <v>1091</v>
      </c>
      <c r="B977" s="18" t="s">
        <v>10</v>
      </c>
      <c r="C977" s="2">
        <v>46101.828788321756</v>
      </c>
      <c r="D977">
        <v>3</v>
      </c>
      <c r="E977" s="7" t="s">
        <v>60</v>
      </c>
      <c r="F977" s="2">
        <v>46101.537121655092</v>
      </c>
      <c r="G977" s="3">
        <v>46101</v>
      </c>
      <c r="H977" t="s">
        <v>115</v>
      </c>
      <c r="I977">
        <v>12</v>
      </c>
    </row>
    <row r="978" spans="1:9" x14ac:dyDescent="0.2">
      <c r="A978" s="18" t="s">
        <v>1092</v>
      </c>
      <c r="B978" s="18" t="s">
        <v>10</v>
      </c>
      <c r="C978" s="2">
        <v>46101.83601392361</v>
      </c>
      <c r="D978">
        <v>575</v>
      </c>
      <c r="F978" s="2">
        <v>46101.544347256946</v>
      </c>
      <c r="G978" s="3">
        <v>46101</v>
      </c>
      <c r="H978" t="s">
        <v>115</v>
      </c>
      <c r="I978">
        <v>13</v>
      </c>
    </row>
    <row r="979" spans="1:9" x14ac:dyDescent="0.2">
      <c r="A979" s="18" t="s">
        <v>1093</v>
      </c>
      <c r="B979" s="18" t="s">
        <v>10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115</v>
      </c>
      <c r="I979">
        <v>13</v>
      </c>
    </row>
    <row r="980" spans="1:9" x14ac:dyDescent="0.2">
      <c r="A980" s="18" t="s">
        <v>1162</v>
      </c>
      <c r="B980" s="18" t="s">
        <v>10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115</v>
      </c>
      <c r="I980">
        <v>13</v>
      </c>
    </row>
    <row r="981" spans="1:9" x14ac:dyDescent="0.2">
      <c r="A981" s="18" t="s">
        <v>1094</v>
      </c>
      <c r="B981" s="18" t="s">
        <v>10</v>
      </c>
      <c r="C981" s="2">
        <v>46101.841866921299</v>
      </c>
      <c r="D981">
        <v>3</v>
      </c>
      <c r="E981" s="7" t="s">
        <v>60</v>
      </c>
      <c r="F981" s="2">
        <v>46101.550200254627</v>
      </c>
      <c r="G981" s="3">
        <v>46101</v>
      </c>
      <c r="H981" t="s">
        <v>115</v>
      </c>
      <c r="I981">
        <v>13</v>
      </c>
    </row>
    <row r="982" spans="1:9" x14ac:dyDescent="0.2">
      <c r="A982" s="18" t="s">
        <v>1095</v>
      </c>
      <c r="B982" s="18" t="s">
        <v>10</v>
      </c>
      <c r="C982" s="2">
        <v>46101.843052256947</v>
      </c>
      <c r="D982">
        <v>3</v>
      </c>
      <c r="E982" s="7" t="s">
        <v>1088</v>
      </c>
      <c r="F982" s="2">
        <v>46101.551385590275</v>
      </c>
      <c r="G982" s="3">
        <v>46101</v>
      </c>
      <c r="H982" t="s">
        <v>115</v>
      </c>
      <c r="I982">
        <v>13</v>
      </c>
    </row>
    <row r="983" spans="1:9" x14ac:dyDescent="0.2">
      <c r="A983" s="18" t="s">
        <v>1491</v>
      </c>
      <c r="B983" s="18" t="s">
        <v>10</v>
      </c>
      <c r="C983" s="2">
        <v>46101.846547071757</v>
      </c>
      <c r="D983">
        <v>3</v>
      </c>
      <c r="E983" s="7" t="s">
        <v>60</v>
      </c>
      <c r="F983" s="2">
        <v>46101.554880405092</v>
      </c>
      <c r="G983" s="3">
        <v>46101</v>
      </c>
      <c r="H983" t="s">
        <v>115</v>
      </c>
      <c r="I983">
        <v>13</v>
      </c>
    </row>
    <row r="984" spans="1:9" x14ac:dyDescent="0.2">
      <c r="A984" s="18" t="s">
        <v>1163</v>
      </c>
      <c r="B984" s="18" t="s">
        <v>10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115</v>
      </c>
      <c r="I984">
        <v>13</v>
      </c>
    </row>
    <row r="985" spans="1:9" x14ac:dyDescent="0.2">
      <c r="A985" s="18" t="s">
        <v>1096</v>
      </c>
      <c r="B985" s="18" t="s">
        <v>10</v>
      </c>
      <c r="C985" s="2">
        <v>46101.851800949073</v>
      </c>
      <c r="D985">
        <v>3</v>
      </c>
      <c r="E985" s="7" t="s">
        <v>1097</v>
      </c>
      <c r="F985" s="2">
        <v>46101.560134282408</v>
      </c>
      <c r="G985" s="3">
        <v>46101</v>
      </c>
      <c r="H985" t="s">
        <v>115</v>
      </c>
      <c r="I985">
        <v>13</v>
      </c>
    </row>
    <row r="986" spans="1:9" x14ac:dyDescent="0.2">
      <c r="A986" s="18" t="s">
        <v>1098</v>
      </c>
      <c r="B986" s="18" t="s">
        <v>10</v>
      </c>
      <c r="C986" s="2">
        <v>46101.852310497685</v>
      </c>
      <c r="D986">
        <v>531</v>
      </c>
      <c r="E986" s="7" t="s">
        <v>1099</v>
      </c>
      <c r="F986" s="2">
        <v>46101.560643831021</v>
      </c>
      <c r="G986" s="3">
        <v>46101</v>
      </c>
      <c r="H986" t="s">
        <v>115</v>
      </c>
      <c r="I986">
        <v>13</v>
      </c>
    </row>
    <row r="987" spans="1:9" x14ac:dyDescent="0.2">
      <c r="A987" s="18" t="s">
        <v>1100</v>
      </c>
      <c r="B987" s="18" t="s">
        <v>10</v>
      </c>
      <c r="C987" s="2">
        <v>46101.855866030091</v>
      </c>
      <c r="D987">
        <v>1</v>
      </c>
      <c r="E987" s="7" t="s">
        <v>1101</v>
      </c>
      <c r="F987" s="2">
        <v>46101.564199363427</v>
      </c>
      <c r="G987" s="3">
        <v>46101</v>
      </c>
      <c r="H987" t="s">
        <v>115</v>
      </c>
      <c r="I987">
        <v>13</v>
      </c>
    </row>
    <row r="988" spans="1:9" x14ac:dyDescent="0.2">
      <c r="A988" s="18" t="s">
        <v>1102</v>
      </c>
      <c r="B988" s="18" t="s">
        <v>10</v>
      </c>
      <c r="C988" s="2">
        <v>46101.863919120369</v>
      </c>
      <c r="D988">
        <v>3</v>
      </c>
      <c r="E988" s="7" t="s">
        <v>1101</v>
      </c>
      <c r="F988" s="2">
        <v>46101.572252453705</v>
      </c>
      <c r="G988" s="3">
        <v>46101</v>
      </c>
      <c r="H988" t="s">
        <v>115</v>
      </c>
      <c r="I988">
        <v>13</v>
      </c>
    </row>
    <row r="989" spans="1:9" x14ac:dyDescent="0.2">
      <c r="A989" s="18" t="s">
        <v>1492</v>
      </c>
      <c r="B989" s="18" t="s">
        <v>10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115</v>
      </c>
      <c r="I989">
        <v>13</v>
      </c>
    </row>
    <row r="990" spans="1:9" x14ac:dyDescent="0.2">
      <c r="A990" s="18" t="s">
        <v>1103</v>
      </c>
      <c r="B990" s="18" t="s">
        <v>10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115</v>
      </c>
      <c r="I990">
        <v>13</v>
      </c>
    </row>
    <row r="991" spans="1:9" x14ac:dyDescent="0.2">
      <c r="A991" s="18" t="s">
        <v>1104</v>
      </c>
      <c r="B991" s="18" t="s">
        <v>10</v>
      </c>
      <c r="C991" s="2">
        <v>46101.87673802083</v>
      </c>
      <c r="D991">
        <v>531</v>
      </c>
      <c r="F991" s="2">
        <v>46101.585071354166</v>
      </c>
      <c r="G991" s="3">
        <v>46101</v>
      </c>
      <c r="H991" t="s">
        <v>115</v>
      </c>
      <c r="I991">
        <v>14</v>
      </c>
    </row>
    <row r="992" spans="1:9" x14ac:dyDescent="0.2">
      <c r="A992" s="18" t="s">
        <v>1105</v>
      </c>
      <c r="B992" s="18" t="s">
        <v>10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115</v>
      </c>
      <c r="I992">
        <v>14</v>
      </c>
    </row>
    <row r="993" spans="1:9" x14ac:dyDescent="0.2">
      <c r="A993" s="18" t="s">
        <v>1106</v>
      </c>
      <c r="B993" s="18" t="s">
        <v>10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115</v>
      </c>
      <c r="I993">
        <v>14</v>
      </c>
    </row>
    <row r="994" spans="1:9" x14ac:dyDescent="0.2">
      <c r="A994" s="18" t="s">
        <v>1406</v>
      </c>
      <c r="B994" s="18" t="s">
        <v>10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115</v>
      </c>
      <c r="I994">
        <v>14</v>
      </c>
    </row>
    <row r="995" spans="1:9" x14ac:dyDescent="0.2">
      <c r="A995" s="18" t="s">
        <v>1197</v>
      </c>
      <c r="B995" s="18" t="s">
        <v>10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115</v>
      </c>
      <c r="I995">
        <v>14</v>
      </c>
    </row>
    <row r="996" spans="1:9" x14ac:dyDescent="0.2">
      <c r="A996" s="18" t="s">
        <v>1107</v>
      </c>
      <c r="B996" s="18" t="s">
        <v>10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115</v>
      </c>
      <c r="I996">
        <v>14</v>
      </c>
    </row>
    <row r="997" spans="1:9" x14ac:dyDescent="0.2">
      <c r="A997" s="18" t="s">
        <v>1108</v>
      </c>
      <c r="B997" s="18" t="s">
        <v>10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115</v>
      </c>
      <c r="I997">
        <v>15</v>
      </c>
    </row>
    <row r="998" spans="1:9" x14ac:dyDescent="0.2">
      <c r="A998" s="18" t="s">
        <v>1519</v>
      </c>
      <c r="B998" s="18" t="s">
        <v>10</v>
      </c>
      <c r="C998" s="2">
        <v>46101.922184768518</v>
      </c>
      <c r="D998">
        <v>531</v>
      </c>
      <c r="F998" s="2">
        <v>46101.630518101854</v>
      </c>
      <c r="G998" s="3">
        <v>46101</v>
      </c>
      <c r="H998" t="s">
        <v>115</v>
      </c>
      <c r="I998">
        <v>15</v>
      </c>
    </row>
    <row r="999" spans="1:9" x14ac:dyDescent="0.2">
      <c r="A999" s="18" t="s">
        <v>1109</v>
      </c>
      <c r="B999" s="18" t="s">
        <v>10</v>
      </c>
      <c r="C999" s="2">
        <v>46101.922453564817</v>
      </c>
      <c r="D999">
        <v>3</v>
      </c>
      <c r="F999" s="2">
        <v>46101.630786898146</v>
      </c>
      <c r="G999" s="3">
        <v>46101</v>
      </c>
      <c r="H999" t="s">
        <v>115</v>
      </c>
      <c r="I999">
        <v>15</v>
      </c>
    </row>
    <row r="1000" spans="1:9" x14ac:dyDescent="0.2">
      <c r="A1000" s="18" t="s">
        <v>1110</v>
      </c>
      <c r="B1000" s="18" t="s">
        <v>10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115</v>
      </c>
      <c r="I1000">
        <v>15</v>
      </c>
    </row>
    <row r="1001" spans="1:9" x14ac:dyDescent="0.2">
      <c r="A1001" s="18" t="s">
        <v>1111</v>
      </c>
      <c r="B1001" s="18" t="s">
        <v>10</v>
      </c>
      <c r="C1001" s="2">
        <v>46101.932773136577</v>
      </c>
      <c r="D1001">
        <v>3</v>
      </c>
      <c r="E1001" s="7" t="s">
        <v>1112</v>
      </c>
      <c r="F1001" s="2">
        <v>46101.641106469906</v>
      </c>
      <c r="G1001" s="3">
        <v>46101</v>
      </c>
      <c r="H1001" t="s">
        <v>115</v>
      </c>
      <c r="I1001">
        <v>15</v>
      </c>
    </row>
    <row r="1002" spans="1:9" x14ac:dyDescent="0.2">
      <c r="A1002" s="18" t="s">
        <v>1113</v>
      </c>
      <c r="B1002" s="18" t="s">
        <v>10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115</v>
      </c>
      <c r="I1002">
        <v>15</v>
      </c>
    </row>
    <row r="1003" spans="1:9" x14ac:dyDescent="0.2">
      <c r="A1003" s="18" t="s">
        <v>1114</v>
      </c>
      <c r="B1003" s="18" t="s">
        <v>10</v>
      </c>
      <c r="C1003" s="2">
        <v>46101.942967604169</v>
      </c>
      <c r="D1003">
        <v>3</v>
      </c>
      <c r="E1003" s="7" t="s">
        <v>1115</v>
      </c>
      <c r="F1003" s="2">
        <v>46101.651300937498</v>
      </c>
      <c r="G1003" s="3">
        <v>46101</v>
      </c>
      <c r="H1003" t="s">
        <v>115</v>
      </c>
      <c r="I1003">
        <v>15</v>
      </c>
    </row>
    <row r="1004" spans="1:9" x14ac:dyDescent="0.2">
      <c r="A1004" s="18" t="s">
        <v>1116</v>
      </c>
      <c r="B1004" s="18" t="s">
        <v>10</v>
      </c>
      <c r="C1004" s="2">
        <v>46101.981837453706</v>
      </c>
      <c r="D1004">
        <v>3</v>
      </c>
      <c r="F1004" s="2">
        <v>46101.690170787035</v>
      </c>
      <c r="G1004" s="3">
        <v>46101</v>
      </c>
      <c r="H1004" t="s">
        <v>115</v>
      </c>
      <c r="I1004">
        <v>16</v>
      </c>
    </row>
    <row r="1005" spans="1:9" x14ac:dyDescent="0.2">
      <c r="A1005" s="18" t="s">
        <v>1117</v>
      </c>
      <c r="B1005" s="18" t="s">
        <v>10</v>
      </c>
      <c r="C1005" s="2">
        <v>46101.982796284719</v>
      </c>
      <c r="D1005">
        <v>531</v>
      </c>
      <c r="F1005" s="2">
        <v>46101.691129618055</v>
      </c>
      <c r="G1005" s="3">
        <v>46101</v>
      </c>
      <c r="H1005" t="s">
        <v>115</v>
      </c>
      <c r="I1005">
        <v>16</v>
      </c>
    </row>
    <row r="1006" spans="1:9" x14ac:dyDescent="0.2">
      <c r="A1006" s="18" t="s">
        <v>1118</v>
      </c>
      <c r="B1006" s="18" t="s">
        <v>10</v>
      </c>
      <c r="C1006" s="2">
        <v>46102.002942314815</v>
      </c>
      <c r="D1006">
        <v>531</v>
      </c>
      <c r="F1006" s="2">
        <v>46101.711275648151</v>
      </c>
      <c r="G1006" s="3">
        <v>46101</v>
      </c>
      <c r="H1006" t="s">
        <v>115</v>
      </c>
      <c r="I1006">
        <v>17</v>
      </c>
    </row>
    <row r="1007" spans="1:9" x14ac:dyDescent="0.2">
      <c r="A1007" s="18" t="s">
        <v>1119</v>
      </c>
      <c r="B1007" s="18" t="s">
        <v>10</v>
      </c>
      <c r="C1007" s="2">
        <v>46102.008859814814</v>
      </c>
      <c r="D1007">
        <v>3</v>
      </c>
      <c r="E1007" s="7" t="s">
        <v>89</v>
      </c>
      <c r="F1007" s="2">
        <v>46101.71719314815</v>
      </c>
      <c r="G1007" s="3">
        <v>46101</v>
      </c>
      <c r="H1007" t="s">
        <v>115</v>
      </c>
      <c r="I1007">
        <v>17</v>
      </c>
    </row>
    <row r="1008" spans="1:9" x14ac:dyDescent="0.2">
      <c r="A1008" s="18" t="s">
        <v>1120</v>
      </c>
      <c r="B1008" s="18" t="s">
        <v>10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115</v>
      </c>
      <c r="I1008">
        <v>17</v>
      </c>
    </row>
    <row r="1009" spans="1:9" x14ac:dyDescent="0.2">
      <c r="A1009" s="18" t="s">
        <v>1121</v>
      </c>
      <c r="B1009" s="18" t="s">
        <v>10</v>
      </c>
      <c r="C1009" s="2">
        <v>46102.011336111114</v>
      </c>
      <c r="D1009">
        <v>36</v>
      </c>
      <c r="F1009" s="2">
        <v>46101.719669444443</v>
      </c>
      <c r="G1009" s="3">
        <v>46101</v>
      </c>
      <c r="H1009" t="s">
        <v>115</v>
      </c>
      <c r="I1009">
        <v>17</v>
      </c>
    </row>
    <row r="1010" spans="1:9" x14ac:dyDescent="0.2">
      <c r="A1010" s="18" t="s">
        <v>1122</v>
      </c>
      <c r="B1010" s="18" t="s">
        <v>10</v>
      </c>
      <c r="C1010" s="2">
        <v>46102.022916041664</v>
      </c>
      <c r="D1010">
        <v>806</v>
      </c>
      <c r="F1010" s="2">
        <v>46101.731249375</v>
      </c>
      <c r="G1010" s="3">
        <v>46101</v>
      </c>
      <c r="H1010" t="s">
        <v>115</v>
      </c>
      <c r="I1010">
        <v>17</v>
      </c>
    </row>
    <row r="1011" spans="1:9" x14ac:dyDescent="0.2">
      <c r="A1011" s="18" t="s">
        <v>1468</v>
      </c>
      <c r="B1011" s="18" t="s">
        <v>10</v>
      </c>
      <c r="C1011" s="2">
        <v>46102.029148981484</v>
      </c>
      <c r="D1011">
        <v>36</v>
      </c>
      <c r="F1011" s="2">
        <v>46101.737482314813</v>
      </c>
      <c r="G1011" s="3">
        <v>46101</v>
      </c>
      <c r="H1011" t="s">
        <v>115</v>
      </c>
      <c r="I1011">
        <v>17</v>
      </c>
    </row>
    <row r="1012" spans="1:9" x14ac:dyDescent="0.2">
      <c r="A1012" s="18" t="s">
        <v>1593</v>
      </c>
      <c r="B1012" s="18" t="s">
        <v>10</v>
      </c>
      <c r="C1012" s="2">
        <v>46102.032698622686</v>
      </c>
      <c r="D1012">
        <v>36</v>
      </c>
      <c r="F1012" s="2">
        <v>46101.741031956015</v>
      </c>
      <c r="G1012" s="3">
        <v>46101</v>
      </c>
      <c r="H1012" t="s">
        <v>115</v>
      </c>
      <c r="I1012">
        <v>17</v>
      </c>
    </row>
    <row r="1013" spans="1:9" x14ac:dyDescent="0.2">
      <c r="A1013" s="18" t="s">
        <v>1469</v>
      </c>
      <c r="B1013" s="18" t="s">
        <v>10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115</v>
      </c>
      <c r="I1013">
        <v>17</v>
      </c>
    </row>
    <row r="1014" spans="1:9" x14ac:dyDescent="0.2">
      <c r="A1014" s="18" t="s">
        <v>1123</v>
      </c>
      <c r="B1014" s="18" t="s">
        <v>10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115</v>
      </c>
      <c r="I1014">
        <v>18</v>
      </c>
    </row>
    <row r="1015" spans="1:9" x14ac:dyDescent="0.2">
      <c r="A1015" s="18" t="s">
        <v>1124</v>
      </c>
      <c r="B1015" s="18" t="s">
        <v>10</v>
      </c>
      <c r="C1015" s="2">
        <v>46102.08000577546</v>
      </c>
      <c r="D1015">
        <v>3</v>
      </c>
      <c r="F1015" s="2">
        <v>46101.788339108796</v>
      </c>
      <c r="G1015" s="3">
        <v>46101</v>
      </c>
      <c r="H1015" t="s">
        <v>115</v>
      </c>
      <c r="I1015">
        <v>18</v>
      </c>
    </row>
    <row r="1016" spans="1:9" x14ac:dyDescent="0.2">
      <c r="A1016" s="18" t="s">
        <v>1125</v>
      </c>
      <c r="B1016" s="18" t="s">
        <v>10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115</v>
      </c>
      <c r="I1016">
        <v>19</v>
      </c>
    </row>
    <row r="1017" spans="1:9" x14ac:dyDescent="0.2">
      <c r="A1017" s="18" t="s">
        <v>1126</v>
      </c>
      <c r="B1017" s="18" t="s">
        <v>10</v>
      </c>
      <c r="C1017" s="2">
        <v>46102.091702743055</v>
      </c>
      <c r="D1017">
        <v>3</v>
      </c>
      <c r="F1017" s="2">
        <v>46101.800036076391</v>
      </c>
      <c r="G1017" s="3">
        <v>46101</v>
      </c>
      <c r="H1017" t="s">
        <v>115</v>
      </c>
      <c r="I1017">
        <v>19</v>
      </c>
    </row>
    <row r="1018" spans="1:9" x14ac:dyDescent="0.2">
      <c r="A1018" s="18" t="s">
        <v>1127</v>
      </c>
      <c r="B1018" s="18" t="s">
        <v>10</v>
      </c>
      <c r="C1018" s="2">
        <v>46102.091842291666</v>
      </c>
      <c r="D1018">
        <v>3</v>
      </c>
      <c r="F1018" s="2">
        <v>46101.800175625001</v>
      </c>
      <c r="G1018" s="3">
        <v>46101</v>
      </c>
      <c r="H1018" t="s">
        <v>115</v>
      </c>
      <c r="I1018">
        <v>19</v>
      </c>
    </row>
    <row r="1019" spans="1:9" x14ac:dyDescent="0.2">
      <c r="A1019" s="18" t="s">
        <v>1128</v>
      </c>
      <c r="B1019" s="18" t="s">
        <v>10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115</v>
      </c>
      <c r="I1019">
        <v>19</v>
      </c>
    </row>
    <row r="1020" spans="1:9" x14ac:dyDescent="0.2">
      <c r="A1020" s="18" t="s">
        <v>1129</v>
      </c>
      <c r="B1020" s="18" t="s">
        <v>10</v>
      </c>
      <c r="C1020" s="2">
        <v>46102.097666250003</v>
      </c>
      <c r="D1020">
        <v>3</v>
      </c>
      <c r="E1020" s="7" t="s">
        <v>1130</v>
      </c>
      <c r="F1020" s="2">
        <v>46101.805999583332</v>
      </c>
      <c r="G1020" s="3">
        <v>46101</v>
      </c>
      <c r="H1020" t="s">
        <v>115</v>
      </c>
      <c r="I1020">
        <v>19</v>
      </c>
    </row>
    <row r="1021" spans="1:9" x14ac:dyDescent="0.2">
      <c r="A1021" s="18" t="s">
        <v>1131</v>
      </c>
      <c r="B1021" s="18" t="s">
        <v>10</v>
      </c>
      <c r="C1021" s="2">
        <v>46102.101742662038</v>
      </c>
      <c r="D1021">
        <v>1</v>
      </c>
      <c r="E1021" s="7" t="s">
        <v>1099</v>
      </c>
      <c r="F1021" s="2">
        <v>46101.810075995367</v>
      </c>
      <c r="G1021" s="3">
        <v>46101</v>
      </c>
      <c r="H1021" t="s">
        <v>115</v>
      </c>
      <c r="I1021">
        <v>19</v>
      </c>
    </row>
    <row r="1022" spans="1:9" x14ac:dyDescent="0.2">
      <c r="A1022" s="18" t="s">
        <v>1132</v>
      </c>
      <c r="B1022" s="18" t="s">
        <v>10</v>
      </c>
      <c r="C1022" s="2">
        <v>46102.127913009259</v>
      </c>
      <c r="D1022">
        <v>531</v>
      </c>
      <c r="F1022" s="2">
        <v>46101.836246342595</v>
      </c>
      <c r="G1022" s="3">
        <v>46101</v>
      </c>
      <c r="H1022" t="s">
        <v>115</v>
      </c>
      <c r="I1022">
        <v>20</v>
      </c>
    </row>
    <row r="1023" spans="1:9" x14ac:dyDescent="0.2">
      <c r="A1023" s="18" t="s">
        <v>1133</v>
      </c>
      <c r="B1023" s="18" t="s">
        <v>10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115</v>
      </c>
      <c r="I1023">
        <v>20</v>
      </c>
    </row>
    <row r="1024" spans="1:9" x14ac:dyDescent="0.2">
      <c r="A1024" s="18" t="s">
        <v>1134</v>
      </c>
      <c r="B1024" s="18" t="s">
        <v>10</v>
      </c>
      <c r="C1024" s="2">
        <v>46102.150172511574</v>
      </c>
      <c r="D1024">
        <v>531</v>
      </c>
      <c r="F1024" s="2">
        <v>46101.85850584491</v>
      </c>
      <c r="G1024" s="3">
        <v>46101</v>
      </c>
      <c r="H1024" t="s">
        <v>115</v>
      </c>
      <c r="I1024">
        <v>20</v>
      </c>
    </row>
    <row r="1025" spans="1:9" x14ac:dyDescent="0.2">
      <c r="A1025" s="18" t="s">
        <v>1135</v>
      </c>
      <c r="B1025" s="18" t="s">
        <v>10</v>
      </c>
      <c r="C1025" s="2">
        <v>46102.169343622685</v>
      </c>
      <c r="D1025">
        <v>575</v>
      </c>
      <c r="F1025" s="2">
        <v>46101.877676956021</v>
      </c>
      <c r="G1025" s="3">
        <v>46101</v>
      </c>
      <c r="H1025" t="s">
        <v>115</v>
      </c>
      <c r="I1025">
        <v>21</v>
      </c>
    </row>
    <row r="1026" spans="1:9" x14ac:dyDescent="0.2">
      <c r="A1026" s="18" t="s">
        <v>1136</v>
      </c>
      <c r="B1026" s="18" t="s">
        <v>10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115</v>
      </c>
      <c r="I1026">
        <v>21</v>
      </c>
    </row>
    <row r="1027" spans="1:9" x14ac:dyDescent="0.2">
      <c r="A1027" s="18" t="s">
        <v>1137</v>
      </c>
      <c r="B1027" s="18" t="s">
        <v>10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115</v>
      </c>
      <c r="I1027">
        <v>22</v>
      </c>
    </row>
    <row r="1028" spans="1:9" x14ac:dyDescent="0.2">
      <c r="A1028" s="18" t="s">
        <v>1138</v>
      </c>
      <c r="B1028" s="18" t="s">
        <v>10</v>
      </c>
      <c r="C1028" s="2">
        <v>46102.391724155095</v>
      </c>
      <c r="D1028">
        <v>3</v>
      </c>
      <c r="E1028" s="7" t="s">
        <v>1139</v>
      </c>
      <c r="F1028" s="2">
        <v>46102.100057488424</v>
      </c>
      <c r="G1028" s="3">
        <v>46102</v>
      </c>
      <c r="H1028" t="s">
        <v>120</v>
      </c>
      <c r="I1028">
        <v>2</v>
      </c>
    </row>
    <row r="1029" spans="1:9" x14ac:dyDescent="0.2">
      <c r="A1029" s="18" t="s">
        <v>1140</v>
      </c>
      <c r="B1029" s="18" t="s">
        <v>10</v>
      </c>
      <c r="C1029" s="2">
        <v>46102.407829768519</v>
      </c>
      <c r="D1029">
        <v>575</v>
      </c>
      <c r="F1029" s="2">
        <v>46102.116163101855</v>
      </c>
      <c r="G1029" s="3">
        <v>46102</v>
      </c>
      <c r="H1029" t="s">
        <v>120</v>
      </c>
      <c r="I1029">
        <v>2</v>
      </c>
    </row>
    <row r="1030" spans="1:9" x14ac:dyDescent="0.2">
      <c r="A1030" s="18" t="s">
        <v>1141</v>
      </c>
      <c r="B1030" s="18" t="s">
        <v>10</v>
      </c>
      <c r="C1030" s="2">
        <v>46102.419711111113</v>
      </c>
      <c r="D1030">
        <v>3</v>
      </c>
      <c r="E1030" s="7" t="s">
        <v>1139</v>
      </c>
      <c r="F1030" s="2">
        <v>46102.128044444442</v>
      </c>
      <c r="G1030" s="3">
        <v>46102</v>
      </c>
      <c r="H1030" t="s">
        <v>120</v>
      </c>
      <c r="I1030">
        <v>3</v>
      </c>
    </row>
    <row r="1031" spans="1:9" x14ac:dyDescent="0.2">
      <c r="A1031" s="18" t="s">
        <v>1142</v>
      </c>
      <c r="B1031" s="18" t="s">
        <v>10</v>
      </c>
      <c r="C1031" s="2">
        <v>46102.437674189816</v>
      </c>
      <c r="D1031">
        <v>3</v>
      </c>
      <c r="F1031" s="2">
        <v>46102.146007523152</v>
      </c>
      <c r="G1031" s="3">
        <v>46102</v>
      </c>
      <c r="H1031" t="s">
        <v>120</v>
      </c>
      <c r="I1031">
        <v>3</v>
      </c>
    </row>
    <row r="1032" spans="1:9" x14ac:dyDescent="0.2">
      <c r="A1032" s="18" t="s">
        <v>1143</v>
      </c>
      <c r="B1032" s="18" t="s">
        <v>10</v>
      </c>
      <c r="C1032" s="2">
        <v>46102.443562361113</v>
      </c>
      <c r="D1032">
        <v>3</v>
      </c>
      <c r="E1032" s="7" t="s">
        <v>305</v>
      </c>
      <c r="F1032" s="2">
        <v>46102.151895694442</v>
      </c>
      <c r="G1032" s="3">
        <v>46102</v>
      </c>
      <c r="H1032" t="s">
        <v>120</v>
      </c>
      <c r="I1032">
        <v>3</v>
      </c>
    </row>
    <row r="1033" spans="1:9" x14ac:dyDescent="0.2">
      <c r="A1033" s="18" t="s">
        <v>1144</v>
      </c>
      <c r="B1033" s="18" t="s">
        <v>10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120</v>
      </c>
      <c r="I1033">
        <v>3</v>
      </c>
    </row>
    <row r="1034" spans="1:9" x14ac:dyDescent="0.2">
      <c r="A1034" s="18" t="s">
        <v>1145</v>
      </c>
      <c r="B1034" s="18" t="s">
        <v>10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120</v>
      </c>
      <c r="I1034">
        <v>4</v>
      </c>
    </row>
    <row r="1035" spans="1:9" x14ac:dyDescent="0.2">
      <c r="A1035" s="18" t="s">
        <v>1146</v>
      </c>
      <c r="B1035" s="18" t="s">
        <v>10</v>
      </c>
      <c r="C1035" s="2">
        <v>46102.464767280093</v>
      </c>
      <c r="D1035">
        <v>531</v>
      </c>
      <c r="E1035" s="7" t="s">
        <v>89</v>
      </c>
      <c r="F1035" s="2">
        <v>46102.173100613429</v>
      </c>
      <c r="G1035" s="3">
        <v>46102</v>
      </c>
      <c r="H1035" t="s">
        <v>120</v>
      </c>
      <c r="I1035">
        <v>4</v>
      </c>
    </row>
    <row r="1036" spans="1:9" x14ac:dyDescent="0.2">
      <c r="A1036" s="18" t="s">
        <v>1345</v>
      </c>
      <c r="B1036" s="18" t="s">
        <v>10</v>
      </c>
      <c r="C1036" s="2">
        <v>46102.473494606478</v>
      </c>
      <c r="D1036">
        <v>572</v>
      </c>
      <c r="F1036" s="2">
        <v>46102.181827939814</v>
      </c>
      <c r="G1036" s="3">
        <v>46102</v>
      </c>
      <c r="H1036" t="s">
        <v>120</v>
      </c>
      <c r="I1036">
        <v>4</v>
      </c>
    </row>
    <row r="1037" spans="1:9" x14ac:dyDescent="0.2">
      <c r="A1037" s="18" t="s">
        <v>1346</v>
      </c>
      <c r="B1037" s="18" t="s">
        <v>10</v>
      </c>
      <c r="C1037" s="2">
        <v>46102.481714884256</v>
      </c>
      <c r="D1037">
        <v>531</v>
      </c>
      <c r="E1037" s="7" t="s">
        <v>89</v>
      </c>
      <c r="F1037" s="2">
        <v>46102.190048217592</v>
      </c>
      <c r="G1037" s="3">
        <v>46102</v>
      </c>
      <c r="H1037" t="s">
        <v>120</v>
      </c>
      <c r="I1037">
        <v>4</v>
      </c>
    </row>
    <row r="1038" spans="1:9" x14ac:dyDescent="0.2">
      <c r="A1038" s="18" t="s">
        <v>1147</v>
      </c>
      <c r="B1038" s="18" t="s">
        <v>10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120</v>
      </c>
      <c r="I1038">
        <v>4</v>
      </c>
    </row>
    <row r="1039" spans="1:9" x14ac:dyDescent="0.2">
      <c r="A1039" s="18" t="s">
        <v>1537</v>
      </c>
      <c r="B1039" s="18" t="s">
        <v>10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120</v>
      </c>
      <c r="I1039">
        <v>4</v>
      </c>
    </row>
    <row r="1040" spans="1:9" x14ac:dyDescent="0.2">
      <c r="A1040" s="18" t="s">
        <v>1148</v>
      </c>
      <c r="B1040" s="18" t="s">
        <v>10</v>
      </c>
      <c r="C1040" s="2">
        <v>46102.541031319444</v>
      </c>
      <c r="D1040">
        <v>3</v>
      </c>
      <c r="F1040" s="2">
        <v>46102.24936465278</v>
      </c>
      <c r="G1040" s="3">
        <v>46102</v>
      </c>
      <c r="H1040" t="s">
        <v>120</v>
      </c>
      <c r="I1040">
        <v>5</v>
      </c>
    </row>
    <row r="1041" spans="1:9" x14ac:dyDescent="0.2">
      <c r="A1041" s="18" t="s">
        <v>1149</v>
      </c>
      <c r="B1041" s="18" t="s">
        <v>10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120</v>
      </c>
      <c r="I1041">
        <v>7</v>
      </c>
    </row>
    <row r="1042" spans="1:9" x14ac:dyDescent="0.2">
      <c r="A1042" s="18" t="s">
        <v>1150</v>
      </c>
      <c r="B1042" s="18" t="s">
        <v>10</v>
      </c>
      <c r="C1042" s="2">
        <v>46102.700329155094</v>
      </c>
      <c r="D1042">
        <v>3</v>
      </c>
      <c r="E1042" s="7" t="s">
        <v>1151</v>
      </c>
      <c r="F1042" s="2">
        <v>46102.408662488429</v>
      </c>
      <c r="G1042" s="3">
        <v>46102</v>
      </c>
      <c r="H1042" t="s">
        <v>120</v>
      </c>
      <c r="I1042">
        <v>9</v>
      </c>
    </row>
    <row r="1043" spans="1:9" x14ac:dyDescent="0.2">
      <c r="A1043" s="18" t="s">
        <v>1164</v>
      </c>
      <c r="B1043" s="18" t="s">
        <v>10</v>
      </c>
      <c r="C1043" s="2">
        <v>46102.71026240741</v>
      </c>
      <c r="D1043">
        <v>3</v>
      </c>
      <c r="E1043" s="7" t="s">
        <v>1151</v>
      </c>
      <c r="F1043" s="2">
        <v>46102.418595740739</v>
      </c>
      <c r="G1043" s="3">
        <v>46102</v>
      </c>
      <c r="H1043" t="s">
        <v>120</v>
      </c>
      <c r="I1043">
        <v>10</v>
      </c>
    </row>
    <row r="1044" spans="1:9" x14ac:dyDescent="0.2">
      <c r="A1044" s="18" t="s">
        <v>1165</v>
      </c>
      <c r="B1044" s="18" t="s">
        <v>10</v>
      </c>
      <c r="C1044" s="2">
        <v>46102.990061388889</v>
      </c>
      <c r="D1044">
        <v>575</v>
      </c>
      <c r="F1044" s="2">
        <v>46102.698394722225</v>
      </c>
      <c r="G1044" s="3">
        <v>46102</v>
      </c>
      <c r="H1044" t="s">
        <v>120</v>
      </c>
      <c r="I1044">
        <v>16</v>
      </c>
    </row>
    <row r="1045" spans="1:9" x14ac:dyDescent="0.2">
      <c r="A1045" s="18" t="s">
        <v>1166</v>
      </c>
      <c r="B1045" s="18" t="s">
        <v>10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120</v>
      </c>
      <c r="I1045">
        <v>22</v>
      </c>
    </row>
    <row r="1046" spans="1:9" x14ac:dyDescent="0.2">
      <c r="A1046" s="18" t="s">
        <v>1167</v>
      </c>
      <c r="B1046" s="18" t="s">
        <v>10</v>
      </c>
      <c r="C1046" s="2">
        <v>46103.468402638886</v>
      </c>
      <c r="D1046">
        <v>3</v>
      </c>
      <c r="F1046" s="2">
        <v>46103.176735972222</v>
      </c>
      <c r="G1046" s="3">
        <v>46103</v>
      </c>
      <c r="H1046" t="s">
        <v>125</v>
      </c>
      <c r="I1046">
        <v>4</v>
      </c>
    </row>
    <row r="1047" spans="1:9" x14ac:dyDescent="0.2">
      <c r="A1047" s="18" t="s">
        <v>1168</v>
      </c>
      <c r="B1047" s="18" t="s">
        <v>10</v>
      </c>
      <c r="C1047" s="2">
        <v>46103.468600925924</v>
      </c>
      <c r="D1047">
        <v>3</v>
      </c>
      <c r="F1047" s="2">
        <v>46103.17693425926</v>
      </c>
      <c r="G1047" s="3">
        <v>46103</v>
      </c>
      <c r="H1047" t="s">
        <v>125</v>
      </c>
      <c r="I1047">
        <v>4</v>
      </c>
    </row>
    <row r="1048" spans="1:9" x14ac:dyDescent="0.2">
      <c r="A1048" s="18" t="s">
        <v>1169</v>
      </c>
      <c r="B1048" s="18" t="s">
        <v>10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125</v>
      </c>
      <c r="I1048">
        <v>4</v>
      </c>
    </row>
    <row r="1049" spans="1:9" x14ac:dyDescent="0.2">
      <c r="A1049" s="18" t="s">
        <v>1170</v>
      </c>
      <c r="B1049" s="18" t="s">
        <v>10</v>
      </c>
      <c r="C1049" s="2">
        <v>46103.475049479166</v>
      </c>
      <c r="D1049">
        <v>531</v>
      </c>
      <c r="F1049" s="2">
        <v>46103.183382812502</v>
      </c>
      <c r="G1049" s="3">
        <v>46103</v>
      </c>
      <c r="H1049" t="s">
        <v>125</v>
      </c>
      <c r="I1049">
        <v>4</v>
      </c>
    </row>
    <row r="1050" spans="1:9" x14ac:dyDescent="0.2">
      <c r="A1050" s="18" t="s">
        <v>1171</v>
      </c>
      <c r="B1050" s="18" t="s">
        <v>10</v>
      </c>
      <c r="C1050" s="2">
        <v>46103.495603900461</v>
      </c>
      <c r="D1050">
        <v>531</v>
      </c>
      <c r="E1050" s="7" t="s">
        <v>31</v>
      </c>
      <c r="F1050" s="2">
        <v>46103.203937233797</v>
      </c>
      <c r="G1050" s="3">
        <v>46103</v>
      </c>
      <c r="H1050" t="s">
        <v>125</v>
      </c>
      <c r="I1050">
        <v>4</v>
      </c>
    </row>
    <row r="1051" spans="1:9" x14ac:dyDescent="0.2">
      <c r="A1051" s="18" t="s">
        <v>1172</v>
      </c>
      <c r="B1051" s="18" t="s">
        <v>10</v>
      </c>
      <c r="C1051" s="2">
        <v>46103.503232546296</v>
      </c>
      <c r="D1051">
        <v>531</v>
      </c>
      <c r="E1051" s="7" t="s">
        <v>31</v>
      </c>
      <c r="F1051" s="2">
        <v>46103.211565879632</v>
      </c>
      <c r="G1051" s="3">
        <v>46103</v>
      </c>
      <c r="H1051" t="s">
        <v>125</v>
      </c>
      <c r="I1051">
        <v>5</v>
      </c>
    </row>
    <row r="1052" spans="1:9" x14ac:dyDescent="0.2">
      <c r="A1052" s="18" t="s">
        <v>1173</v>
      </c>
      <c r="B1052" s="18" t="s">
        <v>10</v>
      </c>
      <c r="C1052" s="2">
        <v>46103.593313113422</v>
      </c>
      <c r="D1052">
        <v>531</v>
      </c>
      <c r="E1052" s="7" t="s">
        <v>275</v>
      </c>
      <c r="F1052" s="2">
        <v>46103.301646446758</v>
      </c>
      <c r="G1052" s="3">
        <v>46103</v>
      </c>
      <c r="H1052" t="s">
        <v>125</v>
      </c>
      <c r="I1052">
        <v>7</v>
      </c>
    </row>
    <row r="1053" spans="1:9" x14ac:dyDescent="0.2">
      <c r="A1053" s="18" t="s">
        <v>1174</v>
      </c>
      <c r="B1053" s="18" t="s">
        <v>10</v>
      </c>
      <c r="C1053" s="2">
        <v>46103.611841192127</v>
      </c>
      <c r="D1053">
        <v>531</v>
      </c>
      <c r="E1053" s="7" t="s">
        <v>1175</v>
      </c>
      <c r="F1053" s="2">
        <v>46103.320174525463</v>
      </c>
      <c r="G1053" s="3">
        <v>46103</v>
      </c>
      <c r="H1053" t="s">
        <v>125</v>
      </c>
      <c r="I1053">
        <v>7</v>
      </c>
    </row>
    <row r="1054" spans="1:9" x14ac:dyDescent="0.2">
      <c r="A1054" s="18" t="s">
        <v>1176</v>
      </c>
      <c r="B1054" s="18" t="s">
        <v>10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125</v>
      </c>
      <c r="I1054">
        <v>9</v>
      </c>
    </row>
    <row r="1055" spans="1:9" x14ac:dyDescent="0.2">
      <c r="A1055" s="18" t="s">
        <v>1177</v>
      </c>
      <c r="B1055" s="18" t="s">
        <v>10</v>
      </c>
      <c r="C1055" s="2">
        <v>46103.674721261574</v>
      </c>
      <c r="D1055">
        <v>35</v>
      </c>
      <c r="F1055" s="2">
        <v>46103.383054594909</v>
      </c>
      <c r="G1055" s="3">
        <v>46103</v>
      </c>
      <c r="H1055" t="s">
        <v>125</v>
      </c>
      <c r="I1055">
        <v>9</v>
      </c>
    </row>
    <row r="1056" spans="1:9" x14ac:dyDescent="0.2">
      <c r="A1056" s="18" t="s">
        <v>1178</v>
      </c>
      <c r="B1056" s="18" t="s">
        <v>10</v>
      </c>
      <c r="C1056" s="2">
        <v>46103.681660601855</v>
      </c>
      <c r="D1056">
        <v>3</v>
      </c>
      <c r="E1056" s="7" t="s">
        <v>990</v>
      </c>
      <c r="F1056" s="2">
        <v>46103.389993935183</v>
      </c>
      <c r="G1056" s="3">
        <v>46103</v>
      </c>
      <c r="H1056" t="s">
        <v>125</v>
      </c>
      <c r="I1056">
        <v>9</v>
      </c>
    </row>
    <row r="1057" spans="1:9" x14ac:dyDescent="0.2">
      <c r="A1057" s="18" t="s">
        <v>1179</v>
      </c>
      <c r="B1057" s="18" t="s">
        <v>10</v>
      </c>
      <c r="C1057" s="2">
        <v>46103.682083553242</v>
      </c>
      <c r="D1057">
        <v>3</v>
      </c>
      <c r="E1057" s="7" t="s">
        <v>1180</v>
      </c>
      <c r="F1057" s="2">
        <v>46103.390416886577</v>
      </c>
      <c r="G1057" s="3">
        <v>46103</v>
      </c>
      <c r="H1057" t="s">
        <v>125</v>
      </c>
      <c r="I1057">
        <v>9</v>
      </c>
    </row>
    <row r="1058" spans="1:9" x14ac:dyDescent="0.2">
      <c r="A1058" s="18" t="s">
        <v>1198</v>
      </c>
      <c r="B1058" s="18" t="s">
        <v>10</v>
      </c>
      <c r="C1058" s="2">
        <v>46103.753342222219</v>
      </c>
      <c r="D1058">
        <v>3</v>
      </c>
      <c r="F1058" s="2">
        <v>46103.461675555554</v>
      </c>
      <c r="G1058" s="3">
        <v>46103</v>
      </c>
      <c r="H1058" t="s">
        <v>125</v>
      </c>
      <c r="I1058">
        <v>11</v>
      </c>
    </row>
    <row r="1059" spans="1:9" x14ac:dyDescent="0.2">
      <c r="A1059" s="18" t="s">
        <v>1199</v>
      </c>
      <c r="B1059" s="18" t="s">
        <v>10</v>
      </c>
      <c r="C1059" s="2">
        <v>46103.906425416666</v>
      </c>
      <c r="D1059">
        <v>531</v>
      </c>
      <c r="E1059" s="7" t="s">
        <v>89</v>
      </c>
      <c r="F1059" s="2">
        <v>46103.614758750002</v>
      </c>
      <c r="G1059" s="3">
        <v>46103</v>
      </c>
      <c r="H1059" t="s">
        <v>125</v>
      </c>
      <c r="I1059">
        <v>14</v>
      </c>
    </row>
    <row r="1060" spans="1:9" x14ac:dyDescent="0.2">
      <c r="A1060" s="18" t="s">
        <v>1200</v>
      </c>
      <c r="B1060" s="18" t="s">
        <v>10</v>
      </c>
      <c r="C1060" s="2">
        <v>46103.987017210646</v>
      </c>
      <c r="D1060">
        <v>531</v>
      </c>
      <c r="F1060" s="2">
        <v>46103.695350543981</v>
      </c>
      <c r="G1060" s="3">
        <v>46103</v>
      </c>
      <c r="H1060" t="s">
        <v>125</v>
      </c>
      <c r="I1060">
        <v>16</v>
      </c>
    </row>
    <row r="1061" spans="1:9" x14ac:dyDescent="0.2">
      <c r="A1061" s="18" t="s">
        <v>1201</v>
      </c>
      <c r="B1061" s="18" t="s">
        <v>10</v>
      </c>
      <c r="C1061" s="2">
        <v>46104.3227468287</v>
      </c>
      <c r="D1061">
        <v>575</v>
      </c>
      <c r="F1061" s="2">
        <v>46104.031080162036</v>
      </c>
      <c r="G1061" s="3">
        <v>46104</v>
      </c>
      <c r="H1061" t="s">
        <v>11</v>
      </c>
      <c r="I1061">
        <v>0</v>
      </c>
    </row>
    <row r="1062" spans="1:9" x14ac:dyDescent="0.2">
      <c r="A1062" s="18" t="s">
        <v>1202</v>
      </c>
      <c r="B1062" s="18" t="s">
        <v>10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11</v>
      </c>
      <c r="I1062">
        <v>2</v>
      </c>
    </row>
    <row r="1063" spans="1:9" x14ac:dyDescent="0.2">
      <c r="A1063" s="18" t="s">
        <v>1203</v>
      </c>
      <c r="B1063" s="18" t="s">
        <v>10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11</v>
      </c>
      <c r="I1063">
        <v>6</v>
      </c>
    </row>
    <row r="1064" spans="1:9" x14ac:dyDescent="0.2">
      <c r="A1064" s="18" t="s">
        <v>1204</v>
      </c>
      <c r="B1064" s="18" t="s">
        <v>10</v>
      </c>
      <c r="C1064" s="2">
        <v>46104.648427002314</v>
      </c>
      <c r="D1064">
        <v>575</v>
      </c>
      <c r="F1064" s="2">
        <v>46104.35676033565</v>
      </c>
      <c r="G1064" s="3">
        <v>46104</v>
      </c>
      <c r="H1064" t="s">
        <v>11</v>
      </c>
      <c r="I1064">
        <v>8</v>
      </c>
    </row>
    <row r="1065" spans="1:9" x14ac:dyDescent="0.2">
      <c r="A1065" s="18" t="s">
        <v>1205</v>
      </c>
      <c r="B1065" s="18" t="s">
        <v>10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11</v>
      </c>
      <c r="I1065">
        <v>9</v>
      </c>
    </row>
    <row r="1066" spans="1:9" x14ac:dyDescent="0.2">
      <c r="A1066" s="18" t="s">
        <v>1209</v>
      </c>
      <c r="B1066" s="18" t="s">
        <v>10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11</v>
      </c>
      <c r="I1066">
        <v>10</v>
      </c>
    </row>
    <row r="1067" spans="1:9" x14ac:dyDescent="0.2">
      <c r="A1067" s="18" t="s">
        <v>1210</v>
      </c>
      <c r="B1067" s="18" t="s">
        <v>10</v>
      </c>
      <c r="C1067" s="2">
        <v>46104.720968182868</v>
      </c>
      <c r="D1067">
        <v>575</v>
      </c>
      <c r="E1067" s="7" t="s">
        <v>1211</v>
      </c>
      <c r="F1067" s="2">
        <v>46104.429301516204</v>
      </c>
      <c r="G1067" s="3">
        <v>46104</v>
      </c>
      <c r="H1067" t="s">
        <v>11</v>
      </c>
      <c r="I1067">
        <v>10</v>
      </c>
    </row>
    <row r="1068" spans="1:9" x14ac:dyDescent="0.2">
      <c r="A1068" s="18" t="s">
        <v>1212</v>
      </c>
      <c r="B1068" s="18" t="s">
        <v>10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11</v>
      </c>
      <c r="I1068">
        <v>10</v>
      </c>
    </row>
    <row r="1069" spans="1:9" x14ac:dyDescent="0.2">
      <c r="A1069" s="18" t="s">
        <v>1213</v>
      </c>
      <c r="B1069" s="18" t="s">
        <v>10</v>
      </c>
      <c r="C1069" s="2">
        <v>46104.727812106481</v>
      </c>
      <c r="D1069">
        <v>3</v>
      </c>
      <c r="E1069" s="7" t="s">
        <v>267</v>
      </c>
      <c r="F1069" s="2">
        <v>46104.436145439817</v>
      </c>
      <c r="G1069" s="3">
        <v>46104</v>
      </c>
      <c r="H1069" t="s">
        <v>11</v>
      </c>
      <c r="I1069">
        <v>10</v>
      </c>
    </row>
    <row r="1070" spans="1:9" x14ac:dyDescent="0.2">
      <c r="A1070" s="18" t="s">
        <v>1214</v>
      </c>
      <c r="B1070" s="18" t="s">
        <v>10</v>
      </c>
      <c r="C1070" s="2">
        <v>46104.863372951389</v>
      </c>
      <c r="D1070">
        <v>531</v>
      </c>
      <c r="F1070" s="2">
        <v>46104.571706284725</v>
      </c>
      <c r="G1070" s="3">
        <v>46104</v>
      </c>
      <c r="H1070" t="s">
        <v>11</v>
      </c>
      <c r="I1070">
        <v>13</v>
      </c>
    </row>
    <row r="1071" spans="1:9" x14ac:dyDescent="0.2">
      <c r="A1071" s="18" t="s">
        <v>1215</v>
      </c>
      <c r="B1071" s="18" t="s">
        <v>10</v>
      </c>
      <c r="C1071" s="2">
        <v>46104.933948113423</v>
      </c>
      <c r="D1071">
        <v>3</v>
      </c>
      <c r="E1071" s="7" t="s">
        <v>709</v>
      </c>
      <c r="F1071" s="2">
        <v>46104.642281446759</v>
      </c>
      <c r="G1071" s="3">
        <v>46104</v>
      </c>
      <c r="H1071" t="s">
        <v>11</v>
      </c>
      <c r="I1071">
        <v>15</v>
      </c>
    </row>
    <row r="1072" spans="1:9" x14ac:dyDescent="0.2">
      <c r="A1072" s="18" t="s">
        <v>1216</v>
      </c>
      <c r="B1072" s="18" t="s">
        <v>10</v>
      </c>
      <c r="C1072" s="2">
        <v>46104.935878842596</v>
      </c>
      <c r="D1072">
        <v>3</v>
      </c>
      <c r="F1072" s="2">
        <v>46104.644212175925</v>
      </c>
      <c r="G1072" s="3">
        <v>46104</v>
      </c>
      <c r="H1072" t="s">
        <v>11</v>
      </c>
      <c r="I1072">
        <v>15</v>
      </c>
    </row>
    <row r="1073" spans="1:9" x14ac:dyDescent="0.2">
      <c r="A1073" s="18" t="s">
        <v>1217</v>
      </c>
      <c r="B1073" s="18" t="s">
        <v>10</v>
      </c>
      <c r="C1073" s="2">
        <v>46104.959911967591</v>
      </c>
      <c r="D1073">
        <v>5</v>
      </c>
      <c r="E1073" s="7" t="s">
        <v>709</v>
      </c>
      <c r="F1073" s="2">
        <v>46104.668245300927</v>
      </c>
      <c r="G1073" s="3">
        <v>46104</v>
      </c>
      <c r="H1073" t="s">
        <v>11</v>
      </c>
      <c r="I1073">
        <v>16</v>
      </c>
    </row>
    <row r="1074" spans="1:9" x14ac:dyDescent="0.2">
      <c r="A1074" s="18" t="s">
        <v>1218</v>
      </c>
      <c r="B1074" s="18" t="s">
        <v>10</v>
      </c>
      <c r="C1074" s="2">
        <v>46105.043822106483</v>
      </c>
      <c r="D1074">
        <v>2</v>
      </c>
      <c r="E1074" s="7" t="s">
        <v>613</v>
      </c>
      <c r="F1074" s="2">
        <v>46104.752155439812</v>
      </c>
      <c r="G1074" s="3">
        <v>46104</v>
      </c>
      <c r="H1074" t="s">
        <v>11</v>
      </c>
      <c r="I1074">
        <v>18</v>
      </c>
    </row>
    <row r="1075" spans="1:9" x14ac:dyDescent="0.2">
      <c r="A1075" s="18" t="s">
        <v>1219</v>
      </c>
      <c r="B1075" s="18" t="s">
        <v>10</v>
      </c>
      <c r="C1075" s="2">
        <v>46105.046435995369</v>
      </c>
      <c r="D1075">
        <v>3</v>
      </c>
      <c r="F1075" s="2">
        <v>46104.754769328705</v>
      </c>
      <c r="G1075" s="3">
        <v>46104</v>
      </c>
      <c r="H1075" t="s">
        <v>11</v>
      </c>
      <c r="I1075">
        <v>18</v>
      </c>
    </row>
    <row r="1076" spans="1:9" x14ac:dyDescent="0.2">
      <c r="A1076" s="18" t="s">
        <v>1220</v>
      </c>
      <c r="B1076" s="18" t="s">
        <v>10</v>
      </c>
      <c r="C1076" s="2">
        <v>46105.058931493055</v>
      </c>
      <c r="D1076">
        <v>5</v>
      </c>
      <c r="E1076" s="7" t="s">
        <v>709</v>
      </c>
      <c r="F1076" s="2">
        <v>46104.767264826391</v>
      </c>
      <c r="G1076" s="3">
        <v>46104</v>
      </c>
      <c r="H1076" t="s">
        <v>11</v>
      </c>
      <c r="I1076">
        <v>18</v>
      </c>
    </row>
    <row r="1077" spans="1:9" x14ac:dyDescent="0.2">
      <c r="A1077" s="18" t="s">
        <v>1221</v>
      </c>
      <c r="B1077" s="18" t="s">
        <v>10</v>
      </c>
      <c r="C1077" s="2">
        <v>46105.106195439817</v>
      </c>
      <c r="D1077">
        <v>5</v>
      </c>
      <c r="E1077" s="7" t="s">
        <v>709</v>
      </c>
      <c r="F1077" s="2">
        <v>46104.814528773146</v>
      </c>
      <c r="G1077" s="3">
        <v>46104</v>
      </c>
      <c r="H1077" t="s">
        <v>11</v>
      </c>
      <c r="I1077">
        <v>19</v>
      </c>
    </row>
    <row r="1078" spans="1:9" x14ac:dyDescent="0.2">
      <c r="A1078" s="18" t="s">
        <v>1222</v>
      </c>
      <c r="B1078" s="18" t="s">
        <v>10</v>
      </c>
      <c r="C1078" s="2">
        <v>46105.10626818287</v>
      </c>
      <c r="D1078">
        <v>36</v>
      </c>
      <c r="E1078" s="7" t="s">
        <v>613</v>
      </c>
      <c r="F1078" s="2">
        <v>46104.814601516206</v>
      </c>
      <c r="G1078" s="3">
        <v>46104</v>
      </c>
      <c r="H1078" t="s">
        <v>11</v>
      </c>
      <c r="I1078">
        <v>19</v>
      </c>
    </row>
    <row r="1079" spans="1:9" x14ac:dyDescent="0.2">
      <c r="A1079" s="18" t="s">
        <v>1223</v>
      </c>
      <c r="B1079" s="18" t="s">
        <v>10</v>
      </c>
      <c r="C1079" s="2">
        <v>46105.296520763892</v>
      </c>
      <c r="D1079">
        <v>531</v>
      </c>
      <c r="E1079" s="7" t="s">
        <v>34</v>
      </c>
      <c r="F1079" s="2">
        <v>46105.00485409722</v>
      </c>
      <c r="G1079" s="3">
        <v>46105</v>
      </c>
      <c r="H1079" t="s">
        <v>28</v>
      </c>
      <c r="I1079">
        <v>0</v>
      </c>
    </row>
    <row r="1080" spans="1:9" x14ac:dyDescent="0.2">
      <c r="A1080" s="18" t="s">
        <v>1509</v>
      </c>
      <c r="B1080" s="18" t="s">
        <v>10</v>
      </c>
      <c r="C1080" s="2">
        <v>46105.320603171298</v>
      </c>
      <c r="D1080">
        <v>531</v>
      </c>
      <c r="E1080" s="7" t="s">
        <v>34</v>
      </c>
      <c r="F1080" s="2">
        <v>46105.028936504626</v>
      </c>
      <c r="G1080" s="3">
        <v>46105</v>
      </c>
      <c r="H1080" t="s">
        <v>28</v>
      </c>
      <c r="I1080">
        <v>0</v>
      </c>
    </row>
    <row r="1081" spans="1:9" x14ac:dyDescent="0.2">
      <c r="A1081" s="18" t="s">
        <v>1224</v>
      </c>
      <c r="B1081" s="18" t="s">
        <v>10</v>
      </c>
      <c r="C1081" s="2">
        <v>46105.338615486115</v>
      </c>
      <c r="D1081">
        <v>3</v>
      </c>
      <c r="E1081" s="7" t="s">
        <v>1225</v>
      </c>
      <c r="F1081" s="2">
        <v>46105.046948819443</v>
      </c>
      <c r="G1081" s="3">
        <v>46105</v>
      </c>
      <c r="H1081" t="s">
        <v>28</v>
      </c>
      <c r="I1081">
        <v>1</v>
      </c>
    </row>
    <row r="1082" spans="1:9" x14ac:dyDescent="0.2">
      <c r="A1082" s="18" t="s">
        <v>1226</v>
      </c>
      <c r="B1082" s="18" t="s">
        <v>10</v>
      </c>
      <c r="C1082" s="2">
        <v>46105.404223287034</v>
      </c>
      <c r="D1082">
        <v>531</v>
      </c>
      <c r="E1082" s="7" t="s">
        <v>31</v>
      </c>
      <c r="F1082" s="2">
        <v>46105.11255662037</v>
      </c>
      <c r="G1082" s="3">
        <v>46105</v>
      </c>
      <c r="H1082" t="s">
        <v>28</v>
      </c>
      <c r="I1082">
        <v>2</v>
      </c>
    </row>
    <row r="1083" spans="1:9" x14ac:dyDescent="0.2">
      <c r="A1083" s="18" t="s">
        <v>1227</v>
      </c>
      <c r="B1083" s="18" t="s">
        <v>10</v>
      </c>
      <c r="C1083" s="2">
        <v>46105.411896087964</v>
      </c>
      <c r="D1083">
        <v>2</v>
      </c>
      <c r="F1083" s="2">
        <v>46105.1202294213</v>
      </c>
      <c r="G1083" s="3">
        <v>46105</v>
      </c>
      <c r="H1083" t="s">
        <v>28</v>
      </c>
      <c r="I1083">
        <v>2</v>
      </c>
    </row>
    <row r="1084" spans="1:9" x14ac:dyDescent="0.2">
      <c r="A1084" s="18" t="s">
        <v>1228</v>
      </c>
      <c r="B1084" s="18" t="s">
        <v>10</v>
      </c>
      <c r="C1084" s="2">
        <v>46105.420724675925</v>
      </c>
      <c r="D1084">
        <v>531</v>
      </c>
      <c r="E1084" s="7" t="s">
        <v>275</v>
      </c>
      <c r="F1084" s="2">
        <v>46105.129058009261</v>
      </c>
      <c r="G1084" s="3">
        <v>46105</v>
      </c>
      <c r="H1084" t="s">
        <v>28</v>
      </c>
      <c r="I1084">
        <v>3</v>
      </c>
    </row>
    <row r="1085" spans="1:9" x14ac:dyDescent="0.2">
      <c r="A1085" s="18" t="s">
        <v>1229</v>
      </c>
      <c r="B1085" s="18" t="s">
        <v>10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28</v>
      </c>
      <c r="I1085">
        <v>3</v>
      </c>
    </row>
    <row r="1086" spans="1:9" x14ac:dyDescent="0.2">
      <c r="A1086" s="18" t="s">
        <v>1230</v>
      </c>
      <c r="B1086" s="18" t="s">
        <v>10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28</v>
      </c>
      <c r="I1086">
        <v>3</v>
      </c>
    </row>
    <row r="1087" spans="1:9" x14ac:dyDescent="0.2">
      <c r="A1087" s="18" t="s">
        <v>1231</v>
      </c>
      <c r="B1087" s="18" t="s">
        <v>10</v>
      </c>
      <c r="C1087" s="2">
        <v>46105.451446122686</v>
      </c>
      <c r="D1087">
        <v>3</v>
      </c>
      <c r="F1087" s="2">
        <v>46105.159779456022</v>
      </c>
      <c r="G1087" s="3">
        <v>46105</v>
      </c>
      <c r="H1087" t="s">
        <v>28</v>
      </c>
      <c r="I1087">
        <v>3</v>
      </c>
    </row>
    <row r="1088" spans="1:9" x14ac:dyDescent="0.2">
      <c r="A1088" s="18" t="s">
        <v>1232</v>
      </c>
      <c r="B1088" s="18" t="s">
        <v>10</v>
      </c>
      <c r="C1088" s="2">
        <v>46105.453006597221</v>
      </c>
      <c r="D1088">
        <v>3</v>
      </c>
      <c r="E1088" s="7" t="s">
        <v>1233</v>
      </c>
      <c r="F1088" s="2">
        <v>46105.161339930557</v>
      </c>
      <c r="G1088" s="3">
        <v>46105</v>
      </c>
      <c r="H1088" t="s">
        <v>28</v>
      </c>
      <c r="I1088">
        <v>3</v>
      </c>
    </row>
    <row r="1089" spans="1:9" x14ac:dyDescent="0.2">
      <c r="A1089" s="18" t="s">
        <v>1234</v>
      </c>
      <c r="B1089" s="18" t="s">
        <v>10</v>
      </c>
      <c r="C1089" s="2">
        <v>46105.463571932873</v>
      </c>
      <c r="D1089">
        <v>575</v>
      </c>
      <c r="E1089" s="7" t="s">
        <v>89</v>
      </c>
      <c r="F1089" s="2">
        <v>46105.171905266201</v>
      </c>
      <c r="G1089" s="3">
        <v>46105</v>
      </c>
      <c r="H1089" t="s">
        <v>28</v>
      </c>
      <c r="I1089">
        <v>4</v>
      </c>
    </row>
    <row r="1090" spans="1:9" x14ac:dyDescent="0.2">
      <c r="A1090" s="18" t="s">
        <v>1235</v>
      </c>
      <c r="B1090" s="18" t="s">
        <v>10</v>
      </c>
      <c r="C1090" s="2">
        <v>46105.463603078701</v>
      </c>
      <c r="D1090">
        <v>3</v>
      </c>
      <c r="F1090" s="2">
        <v>46105.171936412036</v>
      </c>
      <c r="G1090" s="3">
        <v>46105</v>
      </c>
      <c r="H1090" t="s">
        <v>28</v>
      </c>
      <c r="I1090">
        <v>4</v>
      </c>
    </row>
    <row r="1091" spans="1:9" x14ac:dyDescent="0.2">
      <c r="A1091" s="18" t="s">
        <v>1236</v>
      </c>
      <c r="B1091" s="18" t="s">
        <v>10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28</v>
      </c>
      <c r="I1091">
        <v>4</v>
      </c>
    </row>
    <row r="1092" spans="1:9" x14ac:dyDescent="0.2">
      <c r="A1092" s="18" t="s">
        <v>1237</v>
      </c>
      <c r="B1092" s="18" t="s">
        <v>10</v>
      </c>
      <c r="C1092" s="2">
        <v>46105.499283819445</v>
      </c>
      <c r="D1092">
        <v>531</v>
      </c>
      <c r="E1092" s="7" t="s">
        <v>34</v>
      </c>
      <c r="F1092" s="2">
        <v>46105.207617152781</v>
      </c>
      <c r="G1092" s="3">
        <v>46105</v>
      </c>
      <c r="H1092" t="s">
        <v>28</v>
      </c>
      <c r="I1092">
        <v>4</v>
      </c>
    </row>
    <row r="1093" spans="1:9" x14ac:dyDescent="0.2">
      <c r="A1093" s="18" t="s">
        <v>1238</v>
      </c>
      <c r="B1093" s="18" t="s">
        <v>10</v>
      </c>
      <c r="C1093" s="2">
        <v>46105.501609930558</v>
      </c>
      <c r="D1093">
        <v>575</v>
      </c>
      <c r="E1093" s="7" t="s">
        <v>34</v>
      </c>
      <c r="F1093" s="2">
        <v>46105.209943263886</v>
      </c>
      <c r="G1093" s="3">
        <v>46105</v>
      </c>
      <c r="H1093" t="s">
        <v>28</v>
      </c>
      <c r="I1093">
        <v>5</v>
      </c>
    </row>
    <row r="1094" spans="1:9" x14ac:dyDescent="0.2">
      <c r="A1094" s="18" t="s">
        <v>1239</v>
      </c>
      <c r="B1094" s="18" t="s">
        <v>10</v>
      </c>
      <c r="C1094" s="2">
        <v>46105.525591666665</v>
      </c>
      <c r="D1094">
        <v>3</v>
      </c>
      <c r="F1094" s="2">
        <v>46105.233925</v>
      </c>
      <c r="G1094" s="3">
        <v>46105</v>
      </c>
      <c r="H1094" t="s">
        <v>28</v>
      </c>
      <c r="I1094">
        <v>5</v>
      </c>
    </row>
    <row r="1095" spans="1:9" x14ac:dyDescent="0.2">
      <c r="A1095" s="18" t="s">
        <v>1240</v>
      </c>
      <c r="B1095" s="18" t="s">
        <v>10</v>
      </c>
      <c r="C1095" s="2">
        <v>46105.543075069443</v>
      </c>
      <c r="D1095">
        <v>575</v>
      </c>
      <c r="E1095" s="7" t="s">
        <v>89</v>
      </c>
      <c r="F1095" s="2">
        <v>46105.251408402779</v>
      </c>
      <c r="G1095" s="3">
        <v>46105</v>
      </c>
      <c r="H1095" t="s">
        <v>28</v>
      </c>
      <c r="I1095">
        <v>6</v>
      </c>
    </row>
    <row r="1096" spans="1:9" x14ac:dyDescent="0.2">
      <c r="A1096" s="18" t="s">
        <v>1241</v>
      </c>
      <c r="B1096" s="18" t="s">
        <v>10</v>
      </c>
      <c r="C1096" s="2">
        <v>46105.543702442126</v>
      </c>
      <c r="D1096">
        <v>575</v>
      </c>
      <c r="F1096" s="2">
        <v>46105.252035775462</v>
      </c>
      <c r="G1096" s="3">
        <v>46105</v>
      </c>
      <c r="H1096" t="s">
        <v>28</v>
      </c>
      <c r="I1096">
        <v>6</v>
      </c>
    </row>
    <row r="1097" spans="1:9" x14ac:dyDescent="0.2">
      <c r="A1097" s="18" t="s">
        <v>1407</v>
      </c>
      <c r="B1097" s="18" t="s">
        <v>10</v>
      </c>
      <c r="C1097" s="2">
        <v>46105.557712349539</v>
      </c>
      <c r="D1097">
        <v>575</v>
      </c>
      <c r="E1097" s="7" t="s">
        <v>89</v>
      </c>
      <c r="F1097" s="2">
        <v>46105.266045682867</v>
      </c>
      <c r="G1097" s="3">
        <v>46105</v>
      </c>
      <c r="H1097" t="s">
        <v>28</v>
      </c>
      <c r="I1097">
        <v>6</v>
      </c>
    </row>
    <row r="1098" spans="1:9" x14ac:dyDescent="0.2">
      <c r="A1098" s="18" t="s">
        <v>1594</v>
      </c>
      <c r="B1098" s="18" t="s">
        <v>10</v>
      </c>
      <c r="C1098" s="2">
        <v>46105.55850309028</v>
      </c>
      <c r="D1098">
        <v>575</v>
      </c>
      <c r="E1098" s="7" t="s">
        <v>89</v>
      </c>
      <c r="F1098" s="2">
        <v>46105.266836423609</v>
      </c>
      <c r="G1098" s="3">
        <v>46105</v>
      </c>
      <c r="H1098" t="s">
        <v>28</v>
      </c>
      <c r="I1098">
        <v>6</v>
      </c>
    </row>
    <row r="1099" spans="1:9" x14ac:dyDescent="0.2">
      <c r="A1099" s="18" t="s">
        <v>1520</v>
      </c>
      <c r="B1099" s="18" t="s">
        <v>10</v>
      </c>
      <c r="C1099" s="2">
        <v>46105.570095277777</v>
      </c>
      <c r="D1099">
        <v>575</v>
      </c>
      <c r="E1099" s="7" t="s">
        <v>89</v>
      </c>
      <c r="F1099" s="2">
        <v>46105.278428611113</v>
      </c>
      <c r="G1099" s="3">
        <v>46105</v>
      </c>
      <c r="H1099" t="s">
        <v>28</v>
      </c>
      <c r="I1099">
        <v>6</v>
      </c>
    </row>
    <row r="1100" spans="1:9" x14ac:dyDescent="0.2">
      <c r="A1100" s="18" t="s">
        <v>1242</v>
      </c>
      <c r="B1100" s="18" t="s">
        <v>10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28</v>
      </c>
      <c r="I1100">
        <v>6</v>
      </c>
    </row>
    <row r="1101" spans="1:9" x14ac:dyDescent="0.2">
      <c r="A1101" s="18" t="s">
        <v>1243</v>
      </c>
      <c r="B1101" s="18" t="s">
        <v>10</v>
      </c>
      <c r="C1101" s="2">
        <v>46105.593718263888</v>
      </c>
      <c r="D1101">
        <v>2</v>
      </c>
      <c r="F1101" s="2">
        <v>46105.302051597224</v>
      </c>
      <c r="G1101" s="3">
        <v>46105</v>
      </c>
      <c r="H1101" t="s">
        <v>28</v>
      </c>
      <c r="I1101">
        <v>7</v>
      </c>
    </row>
    <row r="1102" spans="1:9" x14ac:dyDescent="0.2">
      <c r="A1102" s="18" t="s">
        <v>1244</v>
      </c>
      <c r="B1102" s="18" t="s">
        <v>10</v>
      </c>
      <c r="C1102" s="2">
        <v>46105.646764155092</v>
      </c>
      <c r="D1102">
        <v>5</v>
      </c>
      <c r="E1102" s="7" t="s">
        <v>709</v>
      </c>
      <c r="F1102" s="2">
        <v>46105.355097488427</v>
      </c>
      <c r="G1102" s="3">
        <v>46105</v>
      </c>
      <c r="H1102" t="s">
        <v>28</v>
      </c>
      <c r="I1102">
        <v>8</v>
      </c>
    </row>
    <row r="1103" spans="1:9" x14ac:dyDescent="0.2">
      <c r="A1103" s="18" t="s">
        <v>1245</v>
      </c>
      <c r="B1103" s="18" t="s">
        <v>10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28</v>
      </c>
      <c r="I1103">
        <v>9</v>
      </c>
    </row>
    <row r="1104" spans="1:9" x14ac:dyDescent="0.2">
      <c r="A1104" s="18" t="s">
        <v>1250</v>
      </c>
      <c r="B1104" s="18" t="s">
        <v>10</v>
      </c>
      <c r="C1104" s="2">
        <v>46105.711148796297</v>
      </c>
      <c r="D1104">
        <v>575</v>
      </c>
      <c r="E1104" s="7" t="s">
        <v>89</v>
      </c>
      <c r="F1104" s="2">
        <v>46105.419482129633</v>
      </c>
      <c r="G1104" s="3">
        <v>46105</v>
      </c>
      <c r="H1104" t="s">
        <v>28</v>
      </c>
      <c r="I1104">
        <v>10</v>
      </c>
    </row>
    <row r="1105" spans="1:9" x14ac:dyDescent="0.2">
      <c r="A1105" s="18" t="s">
        <v>1251</v>
      </c>
      <c r="B1105" s="18" t="s">
        <v>10</v>
      </c>
      <c r="C1105" s="2">
        <v>46105.88569422454</v>
      </c>
      <c r="D1105">
        <v>531</v>
      </c>
      <c r="E1105" s="7" t="s">
        <v>709</v>
      </c>
      <c r="F1105" s="2">
        <v>46105.594027557869</v>
      </c>
      <c r="G1105" s="3">
        <v>46105</v>
      </c>
      <c r="H1105" t="s">
        <v>28</v>
      </c>
      <c r="I1105">
        <v>14</v>
      </c>
    </row>
    <row r="1106" spans="1:9" x14ac:dyDescent="0.2">
      <c r="A1106" s="18" t="s">
        <v>1252</v>
      </c>
      <c r="B1106" s="18" t="s">
        <v>10</v>
      </c>
      <c r="C1106" s="2">
        <v>46105.887712118056</v>
      </c>
      <c r="D1106">
        <v>3</v>
      </c>
      <c r="F1106" s="2">
        <v>46105.596045451392</v>
      </c>
      <c r="G1106" s="3">
        <v>46105</v>
      </c>
      <c r="H1106" t="s">
        <v>28</v>
      </c>
      <c r="I1106">
        <v>14</v>
      </c>
    </row>
    <row r="1107" spans="1:9" x14ac:dyDescent="0.2">
      <c r="A1107" s="18" t="s">
        <v>1253</v>
      </c>
      <c r="B1107" s="18" t="s">
        <v>10</v>
      </c>
      <c r="C1107" s="2">
        <v>46105.887809548614</v>
      </c>
      <c r="D1107">
        <v>3</v>
      </c>
      <c r="E1107" s="7" t="s">
        <v>60</v>
      </c>
      <c r="F1107" s="2">
        <v>46105.596142881943</v>
      </c>
      <c r="G1107" s="3">
        <v>46105</v>
      </c>
      <c r="H1107" t="s">
        <v>28</v>
      </c>
      <c r="I1107">
        <v>14</v>
      </c>
    </row>
    <row r="1108" spans="1:9" x14ac:dyDescent="0.2">
      <c r="A1108" s="18" t="s">
        <v>1254</v>
      </c>
      <c r="B1108" s="18" t="s">
        <v>10</v>
      </c>
      <c r="C1108" s="2">
        <v>46105.904056874999</v>
      </c>
      <c r="D1108">
        <v>531</v>
      </c>
      <c r="F1108" s="2">
        <v>46105.612390208335</v>
      </c>
      <c r="G1108" s="3">
        <v>46105</v>
      </c>
      <c r="H1108" t="s">
        <v>28</v>
      </c>
      <c r="I1108">
        <v>14</v>
      </c>
    </row>
    <row r="1109" spans="1:9" x14ac:dyDescent="0.2">
      <c r="A1109" s="18" t="s">
        <v>1255</v>
      </c>
      <c r="B1109" s="18" t="s">
        <v>10</v>
      </c>
      <c r="C1109" s="2">
        <v>46105.919936840277</v>
      </c>
      <c r="D1109">
        <v>531</v>
      </c>
      <c r="E1109" s="7" t="s">
        <v>709</v>
      </c>
      <c r="F1109" s="2">
        <v>46105.628270173613</v>
      </c>
      <c r="G1109" s="3">
        <v>46105</v>
      </c>
      <c r="H1109" t="s">
        <v>28</v>
      </c>
      <c r="I1109">
        <v>15</v>
      </c>
    </row>
    <row r="1110" spans="1:9" x14ac:dyDescent="0.2">
      <c r="A1110" s="18" t="s">
        <v>1256</v>
      </c>
      <c r="B1110" s="18" t="s">
        <v>10</v>
      </c>
      <c r="C1110" s="2">
        <v>46105.964968773151</v>
      </c>
      <c r="D1110">
        <v>531</v>
      </c>
      <c r="E1110" s="7" t="s">
        <v>709</v>
      </c>
      <c r="F1110" s="2">
        <v>46105.673302106479</v>
      </c>
      <c r="G1110" s="3">
        <v>46105</v>
      </c>
      <c r="H1110" t="s">
        <v>28</v>
      </c>
      <c r="I1110">
        <v>16</v>
      </c>
    </row>
    <row r="1111" spans="1:9" x14ac:dyDescent="0.2">
      <c r="A1111" s="18" t="s">
        <v>1257</v>
      </c>
      <c r="B1111" s="18" t="s">
        <v>10</v>
      </c>
      <c r="C1111" s="2">
        <v>46106.033690856479</v>
      </c>
      <c r="D1111">
        <v>531</v>
      </c>
      <c r="E1111" s="7" t="s">
        <v>709</v>
      </c>
      <c r="F1111" s="2">
        <v>46105.742024189814</v>
      </c>
      <c r="G1111" s="3">
        <v>46105</v>
      </c>
      <c r="H1111" t="s">
        <v>28</v>
      </c>
      <c r="I1111">
        <v>17</v>
      </c>
    </row>
    <row r="1112" spans="1:9" x14ac:dyDescent="0.2">
      <c r="A1112" s="18" t="s">
        <v>1258</v>
      </c>
      <c r="B1112" s="18" t="s">
        <v>10</v>
      </c>
      <c r="C1112" s="2">
        <v>46106.084664988426</v>
      </c>
      <c r="D1112">
        <v>531</v>
      </c>
      <c r="E1112" s="7" t="s">
        <v>709</v>
      </c>
      <c r="F1112" s="2">
        <v>46105.792998321762</v>
      </c>
      <c r="G1112" s="3">
        <v>46105</v>
      </c>
      <c r="H1112" t="s">
        <v>28</v>
      </c>
      <c r="I1112">
        <v>19</v>
      </c>
    </row>
    <row r="1113" spans="1:9" x14ac:dyDescent="0.2">
      <c r="A1113" s="18" t="s">
        <v>1259</v>
      </c>
      <c r="B1113" s="18" t="s">
        <v>10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63</v>
      </c>
      <c r="I1113">
        <v>0</v>
      </c>
    </row>
    <row r="1114" spans="1:9" x14ac:dyDescent="0.2">
      <c r="A1114" s="18" t="s">
        <v>1260</v>
      </c>
      <c r="B1114" s="18" t="s">
        <v>10</v>
      </c>
      <c r="C1114" s="2">
        <v>46106.330663182867</v>
      </c>
      <c r="D1114">
        <v>3</v>
      </c>
      <c r="E1114" s="7" t="s">
        <v>1115</v>
      </c>
      <c r="F1114" s="2">
        <v>46106.038996516203</v>
      </c>
      <c r="G1114" s="3">
        <v>46106</v>
      </c>
      <c r="H1114" t="s">
        <v>63</v>
      </c>
      <c r="I1114">
        <v>0</v>
      </c>
    </row>
    <row r="1115" spans="1:9" x14ac:dyDescent="0.2">
      <c r="A1115" s="18" t="s">
        <v>1261</v>
      </c>
      <c r="B1115" s="18" t="s">
        <v>10</v>
      </c>
      <c r="C1115" s="2">
        <v>46106.33376134259</v>
      </c>
      <c r="D1115">
        <v>3</v>
      </c>
      <c r="E1115" s="7" t="s">
        <v>1115</v>
      </c>
      <c r="F1115" s="2">
        <v>46106.042094675926</v>
      </c>
      <c r="G1115" s="3">
        <v>46106</v>
      </c>
      <c r="H1115" t="s">
        <v>63</v>
      </c>
      <c r="I1115">
        <v>1</v>
      </c>
    </row>
    <row r="1116" spans="1:9" x14ac:dyDescent="0.2">
      <c r="A1116" s="18" t="s">
        <v>1262</v>
      </c>
      <c r="B1116" s="18" t="s">
        <v>10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63</v>
      </c>
      <c r="I1116">
        <v>1</v>
      </c>
    </row>
    <row r="1117" spans="1:9" x14ac:dyDescent="0.2">
      <c r="A1117" s="18" t="s">
        <v>1263</v>
      </c>
      <c r="B1117" s="18" t="s">
        <v>10</v>
      </c>
      <c r="C1117" s="2">
        <v>46106.449750266205</v>
      </c>
      <c r="D1117">
        <v>36</v>
      </c>
      <c r="F1117" s="2">
        <v>46106.158083599534</v>
      </c>
      <c r="G1117" s="3">
        <v>46106</v>
      </c>
      <c r="H1117" t="s">
        <v>63</v>
      </c>
      <c r="I1117">
        <v>3</v>
      </c>
    </row>
    <row r="1118" spans="1:9" x14ac:dyDescent="0.2">
      <c r="A1118" s="18" t="s">
        <v>1264</v>
      </c>
      <c r="B1118" s="18" t="s">
        <v>10</v>
      </c>
      <c r="C1118" s="2">
        <v>46106.468030787037</v>
      </c>
      <c r="D1118">
        <v>2</v>
      </c>
      <c r="E1118" s="7" t="s">
        <v>1265</v>
      </c>
      <c r="F1118" s="2">
        <v>46106.176364120372</v>
      </c>
      <c r="G1118" s="3">
        <v>46106</v>
      </c>
      <c r="H1118" t="s">
        <v>63</v>
      </c>
      <c r="I1118">
        <v>4</v>
      </c>
    </row>
    <row r="1119" spans="1:9" x14ac:dyDescent="0.2">
      <c r="A1119" s="18" t="s">
        <v>1266</v>
      </c>
      <c r="B1119" s="18" t="s">
        <v>10</v>
      </c>
      <c r="C1119" s="2">
        <v>46106.47683796296</v>
      </c>
      <c r="D1119">
        <v>593</v>
      </c>
      <c r="F1119" s="2">
        <v>46106.185171296296</v>
      </c>
      <c r="G1119" s="3">
        <v>46106</v>
      </c>
      <c r="H1119" t="s">
        <v>63</v>
      </c>
      <c r="I1119">
        <v>4</v>
      </c>
    </row>
    <row r="1120" spans="1:9" x14ac:dyDescent="0.2">
      <c r="A1120" s="18" t="s">
        <v>1267</v>
      </c>
      <c r="B1120" s="18" t="s">
        <v>10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63</v>
      </c>
      <c r="I1120">
        <v>5</v>
      </c>
    </row>
    <row r="1121" spans="1:9" x14ac:dyDescent="0.2">
      <c r="A1121" s="18" t="s">
        <v>1268</v>
      </c>
      <c r="B1121" s="18" t="s">
        <v>10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63</v>
      </c>
      <c r="I1121">
        <v>6</v>
      </c>
    </row>
    <row r="1122" spans="1:9" x14ac:dyDescent="0.2">
      <c r="A1122" s="18" t="s">
        <v>1269</v>
      </c>
      <c r="B1122" s="18" t="s">
        <v>10</v>
      </c>
      <c r="C1122" s="2">
        <v>46106.625753472224</v>
      </c>
      <c r="D1122">
        <v>3</v>
      </c>
      <c r="E1122" s="7" t="s">
        <v>709</v>
      </c>
      <c r="F1122" s="2">
        <v>46106.334086805553</v>
      </c>
      <c r="G1122" s="3">
        <v>46106</v>
      </c>
      <c r="H1122" t="s">
        <v>63</v>
      </c>
      <c r="I1122">
        <v>8</v>
      </c>
    </row>
    <row r="1123" spans="1:9" x14ac:dyDescent="0.2">
      <c r="A1123" s="18" t="s">
        <v>1470</v>
      </c>
      <c r="B1123" s="18" t="s">
        <v>10</v>
      </c>
      <c r="C1123" s="2">
        <v>46106.625843287038</v>
      </c>
      <c r="D1123">
        <v>3</v>
      </c>
      <c r="E1123" s="7" t="s">
        <v>709</v>
      </c>
      <c r="F1123" s="2">
        <v>46106.334176620374</v>
      </c>
      <c r="G1123" s="3">
        <v>46106</v>
      </c>
      <c r="H1123" t="s">
        <v>63</v>
      </c>
      <c r="I1123">
        <v>8</v>
      </c>
    </row>
    <row r="1124" spans="1:9" x14ac:dyDescent="0.2">
      <c r="A1124" s="18" t="s">
        <v>1270</v>
      </c>
      <c r="B1124" s="18" t="s">
        <v>10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63</v>
      </c>
      <c r="I1124">
        <v>8</v>
      </c>
    </row>
    <row r="1125" spans="1:9" x14ac:dyDescent="0.2">
      <c r="A1125" s="18" t="s">
        <v>1303</v>
      </c>
      <c r="B1125" s="18" t="s">
        <v>10</v>
      </c>
      <c r="C1125" s="2">
        <v>46106.638987442129</v>
      </c>
      <c r="D1125">
        <v>531</v>
      </c>
      <c r="E1125" s="7" t="s">
        <v>709</v>
      </c>
      <c r="F1125" s="2">
        <v>46106.347320775465</v>
      </c>
      <c r="G1125" s="3">
        <v>46106</v>
      </c>
      <c r="H1125" t="s">
        <v>63</v>
      </c>
      <c r="I1125">
        <v>8</v>
      </c>
    </row>
    <row r="1126" spans="1:9" x14ac:dyDescent="0.2">
      <c r="A1126" s="18" t="s">
        <v>1271</v>
      </c>
      <c r="B1126" s="18" t="s">
        <v>10</v>
      </c>
      <c r="C1126" s="2">
        <v>46106.680528912038</v>
      </c>
      <c r="D1126">
        <v>531</v>
      </c>
      <c r="E1126" s="7" t="s">
        <v>89</v>
      </c>
      <c r="F1126" s="2">
        <v>46106.388862245367</v>
      </c>
      <c r="G1126" s="3">
        <v>46106</v>
      </c>
      <c r="H1126" t="s">
        <v>63</v>
      </c>
      <c r="I1126">
        <v>9</v>
      </c>
    </row>
    <row r="1127" spans="1:9" x14ac:dyDescent="0.2">
      <c r="A1127" s="18" t="s">
        <v>1493</v>
      </c>
      <c r="B1127" s="18" t="s">
        <v>10</v>
      </c>
      <c r="C1127" s="2">
        <v>46106.693677847223</v>
      </c>
      <c r="D1127">
        <v>531</v>
      </c>
      <c r="E1127" s="7" t="s">
        <v>89</v>
      </c>
      <c r="F1127" s="2">
        <v>46106.402011180558</v>
      </c>
      <c r="G1127" s="3">
        <v>46106</v>
      </c>
      <c r="H1127" t="s">
        <v>63</v>
      </c>
      <c r="I1127">
        <v>9</v>
      </c>
    </row>
    <row r="1128" spans="1:9" x14ac:dyDescent="0.2">
      <c r="A1128" s="18" t="s">
        <v>1274</v>
      </c>
      <c r="B1128" s="18" t="s">
        <v>10</v>
      </c>
      <c r="C1128" s="2">
        <v>46106.705131053241</v>
      </c>
      <c r="D1128">
        <v>531</v>
      </c>
      <c r="E1128" s="7" t="s">
        <v>89</v>
      </c>
      <c r="F1128" s="2">
        <v>46106.413464386576</v>
      </c>
      <c r="G1128" s="3">
        <v>46106</v>
      </c>
      <c r="H1128" t="s">
        <v>63</v>
      </c>
      <c r="I1128">
        <v>9</v>
      </c>
    </row>
    <row r="1129" spans="1:9" x14ac:dyDescent="0.2">
      <c r="A1129" s="18" t="s">
        <v>1275</v>
      </c>
      <c r="B1129" s="18" t="s">
        <v>10</v>
      </c>
      <c r="C1129" s="2">
        <v>46106.712643171297</v>
      </c>
      <c r="D1129">
        <v>1</v>
      </c>
      <c r="E1129" s="7" t="s">
        <v>1115</v>
      </c>
      <c r="F1129" s="2">
        <v>46106.420976504633</v>
      </c>
      <c r="G1129" s="3">
        <v>46106</v>
      </c>
      <c r="H1129" t="s">
        <v>63</v>
      </c>
      <c r="I1129">
        <v>10</v>
      </c>
    </row>
    <row r="1130" spans="1:9" x14ac:dyDescent="0.2">
      <c r="A1130" s="18" t="s">
        <v>1595</v>
      </c>
      <c r="B1130" s="18" t="s">
        <v>10</v>
      </c>
      <c r="C1130" s="2">
        <v>46106.717520914353</v>
      </c>
      <c r="D1130">
        <v>1</v>
      </c>
      <c r="E1130" s="7" t="s">
        <v>1115</v>
      </c>
      <c r="F1130" s="2">
        <v>46106.425854247682</v>
      </c>
      <c r="G1130" s="3">
        <v>46106</v>
      </c>
      <c r="H1130" t="s">
        <v>63</v>
      </c>
      <c r="I1130">
        <v>10</v>
      </c>
    </row>
    <row r="1131" spans="1:9" x14ac:dyDescent="0.2">
      <c r="A1131" s="18" t="s">
        <v>1276</v>
      </c>
      <c r="B1131" s="18" t="s">
        <v>10</v>
      </c>
      <c r="C1131" s="2">
        <v>46106.717769606483</v>
      </c>
      <c r="D1131">
        <v>575</v>
      </c>
      <c r="E1131" s="7" t="s">
        <v>60</v>
      </c>
      <c r="F1131" s="2">
        <v>46106.426102939811</v>
      </c>
      <c r="G1131" s="3">
        <v>46106</v>
      </c>
      <c r="H1131" t="s">
        <v>63</v>
      </c>
      <c r="I1131">
        <v>10</v>
      </c>
    </row>
    <row r="1132" spans="1:9" x14ac:dyDescent="0.2">
      <c r="A1132" s="18" t="s">
        <v>1277</v>
      </c>
      <c r="B1132" s="18" t="s">
        <v>10</v>
      </c>
      <c r="C1132" s="2">
        <v>46106.723203182868</v>
      </c>
      <c r="D1132">
        <v>531</v>
      </c>
      <c r="E1132" s="7" t="s">
        <v>89</v>
      </c>
      <c r="F1132" s="2">
        <v>46106.431536516204</v>
      </c>
      <c r="G1132" s="3">
        <v>46106</v>
      </c>
      <c r="H1132" t="s">
        <v>63</v>
      </c>
      <c r="I1132">
        <v>10</v>
      </c>
    </row>
    <row r="1133" spans="1:9" x14ac:dyDescent="0.2">
      <c r="A1133" s="18" t="s">
        <v>1408</v>
      </c>
      <c r="B1133" s="18" t="s">
        <v>10</v>
      </c>
      <c r="C1133" s="2">
        <v>46106.726391597222</v>
      </c>
      <c r="D1133">
        <v>531</v>
      </c>
      <c r="E1133" s="7" t="s">
        <v>89</v>
      </c>
      <c r="F1133" s="2">
        <v>46106.434724930557</v>
      </c>
      <c r="G1133" s="3">
        <v>46106</v>
      </c>
      <c r="H1133" t="s">
        <v>63</v>
      </c>
      <c r="I1133">
        <v>10</v>
      </c>
    </row>
    <row r="1134" spans="1:9" x14ac:dyDescent="0.2">
      <c r="A1134" s="18" t="s">
        <v>1278</v>
      </c>
      <c r="B1134" s="18" t="s">
        <v>10</v>
      </c>
      <c r="C1134" s="2">
        <v>46106.95060275463</v>
      </c>
      <c r="D1134">
        <v>3</v>
      </c>
      <c r="E1134" s="7" t="s">
        <v>60</v>
      </c>
      <c r="F1134" s="2">
        <v>46106.658936087966</v>
      </c>
      <c r="G1134" s="3">
        <v>46106</v>
      </c>
      <c r="H1134" t="s">
        <v>63</v>
      </c>
      <c r="I1134">
        <v>15</v>
      </c>
    </row>
    <row r="1135" spans="1:9" x14ac:dyDescent="0.2">
      <c r="A1135" s="18" t="s">
        <v>1279</v>
      </c>
      <c r="B1135" s="18" t="s">
        <v>10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63</v>
      </c>
      <c r="I1135">
        <v>15</v>
      </c>
    </row>
    <row r="1136" spans="1:9" x14ac:dyDescent="0.2">
      <c r="A1136" s="18" t="s">
        <v>1280</v>
      </c>
      <c r="B1136" s="18" t="s">
        <v>10</v>
      </c>
      <c r="C1136" s="2">
        <v>46106.961066261574</v>
      </c>
      <c r="D1136">
        <v>4</v>
      </c>
      <c r="E1136" s="7" t="s">
        <v>60</v>
      </c>
      <c r="F1136" s="2">
        <v>46106.66939959491</v>
      </c>
      <c r="G1136" s="3">
        <v>46106</v>
      </c>
      <c r="H1136" t="s">
        <v>63</v>
      </c>
      <c r="I1136">
        <v>16</v>
      </c>
    </row>
    <row r="1137" spans="1:9" x14ac:dyDescent="0.2">
      <c r="A1137" s="18" t="s">
        <v>1281</v>
      </c>
      <c r="B1137" s="18" t="s">
        <v>10</v>
      </c>
      <c r="C1137" s="2">
        <v>46107.292439745368</v>
      </c>
      <c r="D1137">
        <v>891</v>
      </c>
      <c r="F1137" s="2">
        <v>46107.000773078704</v>
      </c>
      <c r="G1137" s="3">
        <v>46107</v>
      </c>
      <c r="H1137" t="s">
        <v>95</v>
      </c>
      <c r="I1137">
        <v>0</v>
      </c>
    </row>
    <row r="1138" spans="1:9" x14ac:dyDescent="0.2">
      <c r="A1138" s="18" t="s">
        <v>1282</v>
      </c>
      <c r="B1138" s="18" t="s">
        <v>10</v>
      </c>
      <c r="C1138" s="2">
        <v>46107.39035115741</v>
      </c>
      <c r="D1138">
        <v>1</v>
      </c>
      <c r="E1138" s="7" t="s">
        <v>1115</v>
      </c>
      <c r="F1138" s="2">
        <v>46107.098684490738</v>
      </c>
      <c r="G1138" s="3">
        <v>46107</v>
      </c>
      <c r="H1138" t="s">
        <v>95</v>
      </c>
      <c r="I1138">
        <v>2</v>
      </c>
    </row>
    <row r="1139" spans="1:9" x14ac:dyDescent="0.2">
      <c r="A1139" s="18" t="s">
        <v>1386</v>
      </c>
      <c r="B1139" s="18" t="s">
        <v>10</v>
      </c>
      <c r="C1139" s="2">
        <v>46107.409841689812</v>
      </c>
      <c r="D1139">
        <v>3</v>
      </c>
      <c r="E1139" s="7" t="s">
        <v>1115</v>
      </c>
      <c r="F1139" s="2">
        <v>46107.118175023148</v>
      </c>
      <c r="G1139" s="3">
        <v>46107</v>
      </c>
      <c r="H1139" t="s">
        <v>95</v>
      </c>
      <c r="I1139">
        <v>2</v>
      </c>
    </row>
    <row r="1140" spans="1:9" x14ac:dyDescent="0.2">
      <c r="A1140" s="18" t="s">
        <v>1283</v>
      </c>
      <c r="B1140" s="18" t="s">
        <v>10</v>
      </c>
      <c r="C1140" s="2">
        <v>46107.44612310185</v>
      </c>
      <c r="D1140">
        <v>3</v>
      </c>
      <c r="F1140" s="2">
        <v>46107.154456435186</v>
      </c>
      <c r="G1140" s="3">
        <v>46107</v>
      </c>
      <c r="H1140" t="s">
        <v>95</v>
      </c>
      <c r="I1140">
        <v>3</v>
      </c>
    </row>
    <row r="1141" spans="1:9" x14ac:dyDescent="0.2">
      <c r="A1141" s="18" t="s">
        <v>1284</v>
      </c>
      <c r="B1141" s="18" t="s">
        <v>10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95</v>
      </c>
      <c r="I1141">
        <v>4</v>
      </c>
    </row>
    <row r="1142" spans="1:9" x14ac:dyDescent="0.2">
      <c r="A1142" s="18" t="s">
        <v>1285</v>
      </c>
      <c r="B1142" s="18" t="s">
        <v>10</v>
      </c>
      <c r="C1142" s="2">
        <v>46107.500777997688</v>
      </c>
      <c r="D1142">
        <v>1</v>
      </c>
      <c r="F1142" s="2">
        <v>46107.209111331016</v>
      </c>
      <c r="G1142" s="3">
        <v>46107</v>
      </c>
      <c r="H1142" t="s">
        <v>95</v>
      </c>
      <c r="I1142">
        <v>5</v>
      </c>
    </row>
    <row r="1143" spans="1:9" x14ac:dyDescent="0.2">
      <c r="A1143" s="18" t="s">
        <v>1471</v>
      </c>
      <c r="B1143" s="18" t="s">
        <v>10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95</v>
      </c>
      <c r="I1143">
        <v>5</v>
      </c>
    </row>
    <row r="1144" spans="1:9" x14ac:dyDescent="0.2">
      <c r="A1144" s="18" t="s">
        <v>1286</v>
      </c>
      <c r="B1144" s="18" t="s">
        <v>10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95</v>
      </c>
      <c r="I1144">
        <v>5</v>
      </c>
    </row>
    <row r="1145" spans="1:9" x14ac:dyDescent="0.2">
      <c r="A1145" s="18" t="s">
        <v>1287</v>
      </c>
      <c r="B1145" s="18" t="s">
        <v>10</v>
      </c>
      <c r="C1145" s="2">
        <v>46107.575537546298</v>
      </c>
      <c r="D1145">
        <v>531</v>
      </c>
      <c r="F1145" s="2">
        <v>46107.283870879626</v>
      </c>
      <c r="G1145" s="3">
        <v>46107</v>
      </c>
      <c r="H1145" t="s">
        <v>95</v>
      </c>
      <c r="I1145">
        <v>6</v>
      </c>
    </row>
    <row r="1146" spans="1:9" x14ac:dyDescent="0.2">
      <c r="A1146" s="18" t="s">
        <v>1288</v>
      </c>
      <c r="B1146" s="18" t="s">
        <v>10</v>
      </c>
      <c r="C1146" s="2">
        <v>46107.59436412037</v>
      </c>
      <c r="D1146">
        <v>575</v>
      </c>
      <c r="E1146" s="7" t="s">
        <v>582</v>
      </c>
      <c r="F1146" s="2">
        <v>46107.302697453706</v>
      </c>
      <c r="G1146" s="3">
        <v>46107</v>
      </c>
      <c r="H1146" t="s">
        <v>95</v>
      </c>
      <c r="I1146">
        <v>7</v>
      </c>
    </row>
    <row r="1147" spans="1:9" x14ac:dyDescent="0.2">
      <c r="A1147" s="18" t="s">
        <v>1289</v>
      </c>
      <c r="B1147" s="18" t="s">
        <v>10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95</v>
      </c>
      <c r="I1147">
        <v>7</v>
      </c>
    </row>
    <row r="1148" spans="1:9" x14ac:dyDescent="0.2">
      <c r="A1148" s="18" t="s">
        <v>1290</v>
      </c>
      <c r="B1148" s="18" t="s">
        <v>10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95</v>
      </c>
      <c r="I1148">
        <v>8</v>
      </c>
    </row>
    <row r="1149" spans="1:9" x14ac:dyDescent="0.2">
      <c r="A1149" s="18" t="s">
        <v>1291</v>
      </c>
      <c r="B1149" s="18" t="s">
        <v>10</v>
      </c>
      <c r="C1149" s="2">
        <v>46107.68575665509</v>
      </c>
      <c r="D1149">
        <v>891</v>
      </c>
      <c r="F1149" s="2">
        <v>46107.394089988426</v>
      </c>
      <c r="G1149" s="3">
        <v>46107</v>
      </c>
      <c r="H1149" t="s">
        <v>95</v>
      </c>
      <c r="I1149">
        <v>9</v>
      </c>
    </row>
    <row r="1150" spans="1:9" x14ac:dyDescent="0.2">
      <c r="A1150" s="18" t="s">
        <v>1293</v>
      </c>
      <c r="B1150" s="18" t="s">
        <v>10</v>
      </c>
      <c r="C1150" s="2">
        <v>46107.708744942131</v>
      </c>
      <c r="D1150">
        <v>531</v>
      </c>
      <c r="F1150" s="2">
        <v>46107.417078275466</v>
      </c>
      <c r="G1150" s="3">
        <v>46107</v>
      </c>
      <c r="H1150" t="s">
        <v>95</v>
      </c>
      <c r="I1150">
        <v>10</v>
      </c>
    </row>
    <row r="1151" spans="1:9" x14ac:dyDescent="0.2">
      <c r="A1151" s="18" t="s">
        <v>1294</v>
      </c>
      <c r="B1151" s="18" t="s">
        <v>10</v>
      </c>
      <c r="C1151" s="2">
        <v>46107.986115300926</v>
      </c>
      <c r="D1151">
        <v>531</v>
      </c>
      <c r="F1151" s="2">
        <v>46107.694448634262</v>
      </c>
      <c r="G1151" s="3">
        <v>46107</v>
      </c>
      <c r="H1151" t="s">
        <v>95</v>
      </c>
      <c r="I1151">
        <v>16</v>
      </c>
    </row>
    <row r="1152" spans="1:9" x14ac:dyDescent="0.2">
      <c r="A1152" s="18" t="s">
        <v>1295</v>
      </c>
      <c r="B1152" s="18" t="s">
        <v>10</v>
      </c>
      <c r="C1152" s="2">
        <v>46108.168776597224</v>
      </c>
      <c r="D1152">
        <v>3</v>
      </c>
      <c r="F1152" s="2">
        <v>46107.877109930552</v>
      </c>
      <c r="G1152" s="3">
        <v>46107</v>
      </c>
      <c r="H1152" t="s">
        <v>95</v>
      </c>
      <c r="I1152">
        <v>21</v>
      </c>
    </row>
    <row r="1153" spans="1:9" x14ac:dyDescent="0.2">
      <c r="A1153" s="18" t="s">
        <v>1296</v>
      </c>
      <c r="B1153" s="18" t="s">
        <v>10</v>
      </c>
      <c r="C1153" s="2">
        <v>46108.278416469904</v>
      </c>
      <c r="D1153">
        <v>575</v>
      </c>
      <c r="E1153" s="7" t="s">
        <v>582</v>
      </c>
      <c r="F1153" s="2">
        <v>46107.98674980324</v>
      </c>
      <c r="G1153" s="3">
        <v>46107</v>
      </c>
      <c r="H1153" t="s">
        <v>95</v>
      </c>
      <c r="I1153">
        <v>23</v>
      </c>
    </row>
    <row r="1154" spans="1:9" x14ac:dyDescent="0.2">
      <c r="A1154" s="18" t="s">
        <v>1297</v>
      </c>
      <c r="B1154" s="18" t="s">
        <v>10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115</v>
      </c>
      <c r="I1154">
        <v>2</v>
      </c>
    </row>
    <row r="1155" spans="1:9" x14ac:dyDescent="0.2">
      <c r="A1155" s="18" t="s">
        <v>1298</v>
      </c>
      <c r="B1155" s="18" t="s">
        <v>10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115</v>
      </c>
      <c r="I1155">
        <v>4</v>
      </c>
    </row>
    <row r="1156" spans="1:9" x14ac:dyDescent="0.2">
      <c r="A1156" s="18" t="s">
        <v>1299</v>
      </c>
      <c r="B1156" s="18" t="s">
        <v>10</v>
      </c>
      <c r="C1156" s="2">
        <v>46108.516784247688</v>
      </c>
      <c r="D1156">
        <v>531</v>
      </c>
      <c r="F1156" s="2">
        <v>46108.225117581016</v>
      </c>
      <c r="G1156" s="3">
        <v>46108</v>
      </c>
      <c r="H1156" t="s">
        <v>115</v>
      </c>
      <c r="I1156">
        <v>5</v>
      </c>
    </row>
    <row r="1157" spans="1:9" x14ac:dyDescent="0.2">
      <c r="A1157" s="18" t="s">
        <v>1304</v>
      </c>
      <c r="B1157" s="18" t="s">
        <v>10</v>
      </c>
      <c r="C1157" s="2">
        <v>46108.711080057874</v>
      </c>
      <c r="D1157">
        <v>3</v>
      </c>
      <c r="F1157" s="2">
        <v>46108.419413391202</v>
      </c>
      <c r="G1157" s="3">
        <v>46108</v>
      </c>
      <c r="H1157" t="s">
        <v>115</v>
      </c>
      <c r="I1157">
        <v>10</v>
      </c>
    </row>
    <row r="1158" spans="1:9" x14ac:dyDescent="0.2">
      <c r="A1158" s="18" t="s">
        <v>1305</v>
      </c>
      <c r="B1158" s="18" t="s">
        <v>10</v>
      </c>
      <c r="C1158" s="2">
        <v>46108.764624780095</v>
      </c>
      <c r="D1158">
        <v>3</v>
      </c>
      <c r="F1158" s="2">
        <v>46108.472958113423</v>
      </c>
      <c r="G1158" s="3">
        <v>46108</v>
      </c>
      <c r="H1158" t="s">
        <v>115</v>
      </c>
      <c r="I1158">
        <v>11</v>
      </c>
    </row>
    <row r="1159" spans="1:9" x14ac:dyDescent="0.2">
      <c r="A1159" s="18" t="s">
        <v>1306</v>
      </c>
      <c r="B1159" s="18" t="s">
        <v>10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115</v>
      </c>
      <c r="I1159">
        <v>14</v>
      </c>
    </row>
    <row r="1160" spans="1:9" x14ac:dyDescent="0.2">
      <c r="A1160" s="18" t="s">
        <v>1307</v>
      </c>
      <c r="B1160" s="18" t="s">
        <v>10</v>
      </c>
      <c r="C1160" s="2">
        <v>46108.907201817128</v>
      </c>
      <c r="D1160">
        <v>531</v>
      </c>
      <c r="E1160" s="7" t="s">
        <v>1308</v>
      </c>
      <c r="F1160" s="2">
        <v>46108.615535150464</v>
      </c>
      <c r="G1160" s="3">
        <v>46108</v>
      </c>
      <c r="H1160" t="s">
        <v>115</v>
      </c>
      <c r="I1160">
        <v>14</v>
      </c>
    </row>
    <row r="1161" spans="1:9" x14ac:dyDescent="0.2">
      <c r="A1161" s="18" t="s">
        <v>1309</v>
      </c>
      <c r="B1161" s="18" t="s">
        <v>10</v>
      </c>
      <c r="C1161" s="2">
        <v>46108.917906631941</v>
      </c>
      <c r="D1161">
        <v>531</v>
      </c>
      <c r="E1161" s="7" t="s">
        <v>1308</v>
      </c>
      <c r="F1161" s="2">
        <v>46108.626239965277</v>
      </c>
      <c r="G1161" s="3">
        <v>46108</v>
      </c>
      <c r="H1161" t="s">
        <v>115</v>
      </c>
      <c r="I1161">
        <v>15</v>
      </c>
    </row>
    <row r="1162" spans="1:9" x14ac:dyDescent="0.2">
      <c r="A1162" s="18" t="s">
        <v>1310</v>
      </c>
      <c r="B1162" s="18" t="s">
        <v>10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115</v>
      </c>
      <c r="I1162">
        <v>17</v>
      </c>
    </row>
    <row r="1163" spans="1:9" x14ac:dyDescent="0.2">
      <c r="A1163" s="18" t="s">
        <v>1311</v>
      </c>
      <c r="B1163" s="18" t="s">
        <v>10</v>
      </c>
      <c r="C1163" s="2">
        <v>46109.601040162037</v>
      </c>
      <c r="D1163">
        <v>531</v>
      </c>
      <c r="E1163" s="7" t="s">
        <v>275</v>
      </c>
      <c r="F1163" s="2">
        <v>46109.309373495373</v>
      </c>
      <c r="G1163" s="3">
        <v>46109</v>
      </c>
      <c r="H1163" t="s">
        <v>120</v>
      </c>
      <c r="I1163">
        <v>7</v>
      </c>
    </row>
    <row r="1164" spans="1:9" x14ac:dyDescent="0.2">
      <c r="A1164" s="18" t="s">
        <v>1312</v>
      </c>
      <c r="B1164" s="18" t="s">
        <v>10</v>
      </c>
      <c r="C1164" s="2">
        <v>46109.602806886571</v>
      </c>
      <c r="D1164">
        <v>531</v>
      </c>
      <c r="E1164" s="7" t="s">
        <v>31</v>
      </c>
      <c r="F1164" s="2">
        <v>46109.311140219907</v>
      </c>
      <c r="G1164" s="3">
        <v>46109</v>
      </c>
      <c r="H1164" t="s">
        <v>120</v>
      </c>
      <c r="I1164">
        <v>7</v>
      </c>
    </row>
    <row r="1165" spans="1:9" x14ac:dyDescent="0.2">
      <c r="A1165" s="18" t="s">
        <v>1313</v>
      </c>
      <c r="B1165" s="18" t="s">
        <v>10</v>
      </c>
      <c r="C1165" s="2">
        <v>46109.697956932869</v>
      </c>
      <c r="D1165">
        <v>3</v>
      </c>
      <c r="E1165" s="7" t="s">
        <v>1314</v>
      </c>
      <c r="F1165" s="2">
        <v>46109.406290266204</v>
      </c>
      <c r="G1165" s="3">
        <v>46109</v>
      </c>
      <c r="H1165" t="s">
        <v>120</v>
      </c>
      <c r="I1165">
        <v>9</v>
      </c>
    </row>
    <row r="1166" spans="1:9" x14ac:dyDescent="0.2">
      <c r="A1166" s="18" t="s">
        <v>1315</v>
      </c>
      <c r="B1166" s="18" t="s">
        <v>10</v>
      </c>
      <c r="C1166" s="2">
        <v>46109.700186828704</v>
      </c>
      <c r="D1166">
        <v>531</v>
      </c>
      <c r="F1166" s="2">
        <v>46109.40852016204</v>
      </c>
      <c r="G1166" s="3">
        <v>46109</v>
      </c>
      <c r="H1166" t="s">
        <v>120</v>
      </c>
      <c r="I1166">
        <v>9</v>
      </c>
    </row>
    <row r="1167" spans="1:9" x14ac:dyDescent="0.2">
      <c r="A1167" s="18" t="s">
        <v>1317</v>
      </c>
      <c r="B1167" s="18" t="s">
        <v>10</v>
      </c>
      <c r="C1167" s="2">
        <v>46109.745393495374</v>
      </c>
      <c r="D1167">
        <v>531</v>
      </c>
      <c r="F1167" s="2">
        <v>46109.453726828702</v>
      </c>
      <c r="G1167" s="3">
        <v>46109</v>
      </c>
      <c r="H1167" t="s">
        <v>120</v>
      </c>
      <c r="I1167">
        <v>10</v>
      </c>
    </row>
    <row r="1168" spans="1:9" x14ac:dyDescent="0.2">
      <c r="A1168" s="18" t="s">
        <v>1318</v>
      </c>
      <c r="B1168" s="18" t="s">
        <v>10</v>
      </c>
      <c r="C1168" s="2">
        <v>46109.92667119213</v>
      </c>
      <c r="D1168">
        <v>3</v>
      </c>
      <c r="E1168" s="7" t="s">
        <v>728</v>
      </c>
      <c r="F1168" s="2">
        <v>46109.635004525466</v>
      </c>
      <c r="G1168" s="3">
        <v>46109</v>
      </c>
      <c r="H1168" t="s">
        <v>120</v>
      </c>
      <c r="I1168">
        <v>15</v>
      </c>
    </row>
    <row r="1169" spans="1:9" x14ac:dyDescent="0.2">
      <c r="A1169" s="18" t="s">
        <v>1319</v>
      </c>
      <c r="B1169" s="18" t="s">
        <v>10</v>
      </c>
      <c r="C1169" s="2">
        <v>46110.353296851848</v>
      </c>
      <c r="D1169">
        <v>575</v>
      </c>
      <c r="E1169" s="7" t="s">
        <v>1320</v>
      </c>
      <c r="F1169" s="2">
        <v>46110.061630185184</v>
      </c>
      <c r="G1169" s="3">
        <v>46110</v>
      </c>
      <c r="H1169" t="s">
        <v>125</v>
      </c>
      <c r="I1169">
        <v>1</v>
      </c>
    </row>
    <row r="1170" spans="1:9" x14ac:dyDescent="0.2">
      <c r="A1170" s="18" t="s">
        <v>1321</v>
      </c>
      <c r="B1170" s="18" t="s">
        <v>10</v>
      </c>
      <c r="C1170" s="2">
        <v>46110.606193356478</v>
      </c>
      <c r="D1170">
        <v>3</v>
      </c>
      <c r="F1170" s="2">
        <v>46110.314526689814</v>
      </c>
      <c r="G1170" s="3">
        <v>46110</v>
      </c>
      <c r="H1170" t="s">
        <v>125</v>
      </c>
      <c r="I1170">
        <v>7</v>
      </c>
    </row>
    <row r="1171" spans="1:9" x14ac:dyDescent="0.2">
      <c r="A1171" s="18" t="s">
        <v>1322</v>
      </c>
      <c r="B1171" s="18" t="s">
        <v>10</v>
      </c>
      <c r="C1171" s="2">
        <v>46110.66461240741</v>
      </c>
      <c r="D1171">
        <v>3</v>
      </c>
      <c r="E1171" s="7" t="s">
        <v>1323</v>
      </c>
      <c r="F1171" s="2">
        <v>46110.372945740739</v>
      </c>
      <c r="G1171" s="3">
        <v>46110</v>
      </c>
      <c r="H1171" t="s">
        <v>125</v>
      </c>
      <c r="I1171">
        <v>8</v>
      </c>
    </row>
    <row r="1172" spans="1:9" x14ac:dyDescent="0.2">
      <c r="A1172" s="18" t="s">
        <v>1324</v>
      </c>
      <c r="B1172" s="18" t="s">
        <v>10</v>
      </c>
      <c r="C1172" s="2">
        <v>46110.665861689813</v>
      </c>
      <c r="D1172">
        <v>575</v>
      </c>
      <c r="E1172" s="7" t="s">
        <v>1325</v>
      </c>
      <c r="F1172" s="2">
        <v>46110.374195023149</v>
      </c>
      <c r="G1172" s="3">
        <v>46110</v>
      </c>
      <c r="H1172" t="s">
        <v>125</v>
      </c>
      <c r="I1172">
        <v>8</v>
      </c>
    </row>
    <row r="1173" spans="1:9" x14ac:dyDescent="0.2">
      <c r="A1173" s="18" t="s">
        <v>1331</v>
      </c>
      <c r="B1173" s="18" t="s">
        <v>10</v>
      </c>
      <c r="C1173" s="2">
        <v>46110.88758855324</v>
      </c>
      <c r="D1173">
        <v>3</v>
      </c>
      <c r="F1173" s="2">
        <v>46110.595921886576</v>
      </c>
      <c r="G1173" s="3">
        <v>46110</v>
      </c>
      <c r="H1173" t="s">
        <v>125</v>
      </c>
      <c r="I1173">
        <v>14</v>
      </c>
    </row>
    <row r="1174" spans="1:9" x14ac:dyDescent="0.2">
      <c r="A1174" s="18" t="s">
        <v>1332</v>
      </c>
      <c r="B1174" s="18" t="s">
        <v>10</v>
      </c>
      <c r="C1174" s="2">
        <v>46111.413127280095</v>
      </c>
      <c r="D1174">
        <v>3</v>
      </c>
      <c r="F1174" s="2">
        <v>46111.121460613424</v>
      </c>
      <c r="G1174" s="3">
        <v>46111</v>
      </c>
      <c r="H1174" t="s">
        <v>11</v>
      </c>
      <c r="I1174">
        <v>2</v>
      </c>
    </row>
    <row r="1175" spans="1:9" x14ac:dyDescent="0.2">
      <c r="A1175" s="18" t="s">
        <v>1333</v>
      </c>
      <c r="B1175" s="18" t="s">
        <v>10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11</v>
      </c>
      <c r="I1175">
        <v>3</v>
      </c>
    </row>
    <row r="1176" spans="1:9" x14ac:dyDescent="0.2">
      <c r="A1176" s="18" t="s">
        <v>1334</v>
      </c>
      <c r="B1176" s="18" t="s">
        <v>10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11</v>
      </c>
      <c r="I1176">
        <v>3</v>
      </c>
    </row>
    <row r="1177" spans="1:9" x14ac:dyDescent="0.2">
      <c r="A1177" s="18" t="s">
        <v>1335</v>
      </c>
      <c r="B1177" s="18" t="s">
        <v>10</v>
      </c>
      <c r="C1177" s="2">
        <v>46111.462504131945</v>
      </c>
      <c r="D1177">
        <v>3</v>
      </c>
      <c r="E1177" s="7" t="s">
        <v>1336</v>
      </c>
      <c r="F1177" s="2">
        <v>46111.170837465281</v>
      </c>
      <c r="G1177" s="3">
        <v>46111</v>
      </c>
      <c r="H1177" t="s">
        <v>11</v>
      </c>
      <c r="I1177">
        <v>4</v>
      </c>
    </row>
    <row r="1178" spans="1:9" x14ac:dyDescent="0.2">
      <c r="A1178" s="18" t="s">
        <v>1337</v>
      </c>
      <c r="B1178" s="18" t="s">
        <v>10</v>
      </c>
      <c r="C1178" s="2">
        <v>46111.647904942132</v>
      </c>
      <c r="D1178">
        <v>1</v>
      </c>
      <c r="E1178" s="7" t="s">
        <v>1338</v>
      </c>
      <c r="F1178" s="2">
        <v>46111.356238275461</v>
      </c>
      <c r="G1178" s="3">
        <v>46111</v>
      </c>
      <c r="H1178" t="s">
        <v>11</v>
      </c>
      <c r="I1178">
        <v>8</v>
      </c>
    </row>
    <row r="1179" spans="1:9" x14ac:dyDescent="0.2">
      <c r="A1179" s="18" t="s">
        <v>1339</v>
      </c>
      <c r="B1179" s="18" t="s">
        <v>10</v>
      </c>
      <c r="C1179" s="2">
        <v>46111.661344641201</v>
      </c>
      <c r="D1179">
        <v>5</v>
      </c>
      <c r="E1179" s="7" t="s">
        <v>709</v>
      </c>
      <c r="F1179" s="2">
        <v>46111.369677974537</v>
      </c>
      <c r="G1179" s="3">
        <v>46111</v>
      </c>
      <c r="H1179" t="s">
        <v>11</v>
      </c>
      <c r="I1179">
        <v>8</v>
      </c>
    </row>
    <row r="1180" spans="1:9" x14ac:dyDescent="0.2">
      <c r="A1180" s="18" t="s">
        <v>1340</v>
      </c>
      <c r="B1180" s="18" t="s">
        <v>10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11</v>
      </c>
      <c r="I1180">
        <v>8</v>
      </c>
    </row>
    <row r="1181" spans="1:9" x14ac:dyDescent="0.2">
      <c r="A1181" s="18" t="s">
        <v>1347</v>
      </c>
      <c r="B1181" s="18" t="s">
        <v>10</v>
      </c>
      <c r="C1181" s="2">
        <v>46111.724528680556</v>
      </c>
      <c r="D1181">
        <v>531</v>
      </c>
      <c r="E1181" s="7" t="s">
        <v>31</v>
      </c>
      <c r="F1181" s="2">
        <v>46111.432862013891</v>
      </c>
      <c r="G1181" s="3">
        <v>46111</v>
      </c>
      <c r="H1181" t="s">
        <v>11</v>
      </c>
      <c r="I1181">
        <v>10</v>
      </c>
    </row>
    <row r="1182" spans="1:9" x14ac:dyDescent="0.2">
      <c r="A1182" s="18" t="s">
        <v>1348</v>
      </c>
      <c r="B1182" s="18" t="s">
        <v>10</v>
      </c>
      <c r="C1182" s="2">
        <v>46111.736147071759</v>
      </c>
      <c r="D1182">
        <v>3</v>
      </c>
      <c r="E1182" s="7" t="s">
        <v>1349</v>
      </c>
      <c r="F1182" s="2">
        <v>46111.444480405095</v>
      </c>
      <c r="G1182" s="3">
        <v>46111</v>
      </c>
      <c r="H1182" t="s">
        <v>11</v>
      </c>
      <c r="I1182">
        <v>10</v>
      </c>
    </row>
    <row r="1183" spans="1:9" x14ac:dyDescent="0.2">
      <c r="A1183" s="18" t="s">
        <v>1446</v>
      </c>
      <c r="B1183" s="18" t="s">
        <v>10</v>
      </c>
      <c r="C1183" s="2">
        <v>46111.74774943287</v>
      </c>
      <c r="D1183">
        <v>531</v>
      </c>
      <c r="E1183" s="7" t="s">
        <v>31</v>
      </c>
      <c r="F1183" s="2">
        <v>46111.456082766206</v>
      </c>
      <c r="G1183" s="3">
        <v>46111</v>
      </c>
      <c r="H1183" t="s">
        <v>11</v>
      </c>
      <c r="I1183">
        <v>10</v>
      </c>
    </row>
    <row r="1184" spans="1:9" x14ac:dyDescent="0.2">
      <c r="A1184" s="18" t="s">
        <v>1350</v>
      </c>
      <c r="B1184" s="18" t="s">
        <v>10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11</v>
      </c>
      <c r="I1184">
        <v>11</v>
      </c>
    </row>
    <row r="1185" spans="1:9" x14ac:dyDescent="0.2">
      <c r="A1185" s="18" t="s">
        <v>1351</v>
      </c>
      <c r="B1185" s="18" t="s">
        <v>10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28</v>
      </c>
      <c r="I1185">
        <v>1</v>
      </c>
    </row>
    <row r="1186" spans="1:9" x14ac:dyDescent="0.2">
      <c r="A1186" s="18" t="s">
        <v>1352</v>
      </c>
      <c r="B1186" s="18" t="s">
        <v>10</v>
      </c>
      <c r="C1186" s="2">
        <v>46112.377282384259</v>
      </c>
      <c r="D1186">
        <v>3</v>
      </c>
      <c r="E1186" s="7" t="s">
        <v>60</v>
      </c>
      <c r="F1186" s="2">
        <v>46112.085615717595</v>
      </c>
      <c r="G1186" s="3">
        <v>46112</v>
      </c>
      <c r="H1186" t="s">
        <v>28</v>
      </c>
      <c r="I1186">
        <v>2</v>
      </c>
    </row>
    <row r="1187" spans="1:9" x14ac:dyDescent="0.2">
      <c r="A1187" s="18" t="s">
        <v>1353</v>
      </c>
      <c r="B1187" s="18" t="s">
        <v>10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28</v>
      </c>
      <c r="I1187">
        <v>3</v>
      </c>
    </row>
    <row r="1188" spans="1:9" x14ac:dyDescent="0.2">
      <c r="A1188" s="18" t="s">
        <v>1354</v>
      </c>
      <c r="B1188" s="18" t="s">
        <v>10</v>
      </c>
      <c r="C1188" s="2">
        <v>46112.458764537034</v>
      </c>
      <c r="D1188">
        <v>531</v>
      </c>
      <c r="F1188" s="2">
        <v>46112.16709787037</v>
      </c>
      <c r="G1188" s="3">
        <v>46112</v>
      </c>
      <c r="H1188" t="s">
        <v>28</v>
      </c>
      <c r="I1188">
        <v>4</v>
      </c>
    </row>
    <row r="1189" spans="1:9" x14ac:dyDescent="0.2">
      <c r="A1189" s="18" t="s">
        <v>1355</v>
      </c>
      <c r="B1189" s="18" t="s">
        <v>10</v>
      </c>
      <c r="C1189" s="2">
        <v>46112.469149606484</v>
      </c>
      <c r="D1189">
        <v>575</v>
      </c>
      <c r="E1189" s="7" t="s">
        <v>582</v>
      </c>
      <c r="F1189" s="2">
        <v>46112.177482939813</v>
      </c>
      <c r="G1189" s="3">
        <v>46112</v>
      </c>
      <c r="H1189" t="s">
        <v>28</v>
      </c>
      <c r="I1189">
        <v>4</v>
      </c>
    </row>
    <row r="1190" spans="1:9" x14ac:dyDescent="0.2">
      <c r="A1190" s="18" t="s">
        <v>1356</v>
      </c>
      <c r="B1190" s="18" t="s">
        <v>10</v>
      </c>
      <c r="C1190" s="2">
        <v>46112.471933715278</v>
      </c>
      <c r="D1190">
        <v>575</v>
      </c>
      <c r="E1190" s="7" t="s">
        <v>60</v>
      </c>
      <c r="F1190" s="2">
        <v>46112.180267048614</v>
      </c>
      <c r="G1190" s="3">
        <v>46112</v>
      </c>
      <c r="H1190" t="s">
        <v>28</v>
      </c>
      <c r="I1190">
        <v>4</v>
      </c>
    </row>
    <row r="1191" spans="1:9" x14ac:dyDescent="0.2">
      <c r="A1191" s="18" t="s">
        <v>1521</v>
      </c>
      <c r="B1191" s="18" t="s">
        <v>10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28</v>
      </c>
      <c r="I1191">
        <v>4</v>
      </c>
    </row>
    <row r="1192" spans="1:9" x14ac:dyDescent="0.2">
      <c r="A1192" s="18" t="s">
        <v>1357</v>
      </c>
      <c r="B1192" s="18" t="s">
        <v>10</v>
      </c>
      <c r="C1192" s="2">
        <v>46112.500389224537</v>
      </c>
      <c r="D1192">
        <v>3</v>
      </c>
      <c r="E1192" s="7" t="s">
        <v>60</v>
      </c>
      <c r="F1192" s="2">
        <v>46112.208722557873</v>
      </c>
      <c r="G1192" s="3">
        <v>46112</v>
      </c>
      <c r="H1192" t="s">
        <v>28</v>
      </c>
      <c r="I1192">
        <v>5</v>
      </c>
    </row>
    <row r="1193" spans="1:9" x14ac:dyDescent="0.2">
      <c r="A1193" s="18" t="s">
        <v>1358</v>
      </c>
      <c r="B1193" s="18" t="s">
        <v>10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28</v>
      </c>
      <c r="I1193">
        <v>5</v>
      </c>
    </row>
    <row r="1194" spans="1:9" x14ac:dyDescent="0.2">
      <c r="A1194" s="18" t="s">
        <v>1359</v>
      </c>
      <c r="B1194" s="18" t="s">
        <v>10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28</v>
      </c>
      <c r="I1194">
        <v>5</v>
      </c>
    </row>
    <row r="1195" spans="1:9" x14ac:dyDescent="0.2">
      <c r="A1195" s="18" t="s">
        <v>1360</v>
      </c>
      <c r="B1195" s="18" t="s">
        <v>10</v>
      </c>
      <c r="C1195" s="2">
        <v>46112.609833437498</v>
      </c>
      <c r="D1195">
        <v>3</v>
      </c>
      <c r="E1195" s="7" t="s">
        <v>1115</v>
      </c>
      <c r="F1195" s="2">
        <v>46112.318166770834</v>
      </c>
      <c r="G1195" s="3">
        <v>46112</v>
      </c>
      <c r="H1195" t="s">
        <v>28</v>
      </c>
      <c r="I1195">
        <v>7</v>
      </c>
    </row>
    <row r="1196" spans="1:9" x14ac:dyDescent="0.2">
      <c r="A1196" s="18" t="s">
        <v>1361</v>
      </c>
      <c r="B1196" s="18" t="s">
        <v>10</v>
      </c>
      <c r="C1196" s="2">
        <v>46112.641540335651</v>
      </c>
      <c r="D1196">
        <v>531</v>
      </c>
      <c r="E1196" s="7" t="s">
        <v>31</v>
      </c>
      <c r="F1196" s="2">
        <v>46112.34987366898</v>
      </c>
      <c r="G1196" s="3">
        <v>46112</v>
      </c>
      <c r="H1196" t="s">
        <v>28</v>
      </c>
      <c r="I1196">
        <v>8</v>
      </c>
    </row>
    <row r="1197" spans="1:9" x14ac:dyDescent="0.2">
      <c r="A1197" s="18" t="s">
        <v>1364</v>
      </c>
      <c r="B1197" s="18" t="s">
        <v>10</v>
      </c>
      <c r="C1197" s="2">
        <v>46112.656383993053</v>
      </c>
      <c r="D1197">
        <v>531</v>
      </c>
      <c r="E1197" s="7" t="s">
        <v>31</v>
      </c>
      <c r="F1197" s="2">
        <v>46112.364717326389</v>
      </c>
      <c r="G1197" s="3">
        <v>46112</v>
      </c>
      <c r="H1197" t="s">
        <v>28</v>
      </c>
      <c r="I1197">
        <v>8</v>
      </c>
    </row>
    <row r="1198" spans="1:9" x14ac:dyDescent="0.2">
      <c r="A1198" s="18" t="s">
        <v>1365</v>
      </c>
      <c r="B1198" s="18" t="s">
        <v>10</v>
      </c>
      <c r="C1198" s="2">
        <v>46112.718791921296</v>
      </c>
      <c r="D1198">
        <v>35</v>
      </c>
      <c r="F1198" s="2">
        <v>46112.427125254631</v>
      </c>
      <c r="G1198" s="3">
        <v>46112</v>
      </c>
      <c r="H1198" t="s">
        <v>28</v>
      </c>
      <c r="I1198">
        <v>10</v>
      </c>
    </row>
    <row r="1199" spans="1:9" x14ac:dyDescent="0.2">
      <c r="A1199" s="18" t="s">
        <v>1366</v>
      </c>
      <c r="B1199" s="18" t="s">
        <v>10</v>
      </c>
      <c r="C1199" s="2">
        <v>46112.735576990737</v>
      </c>
      <c r="D1199">
        <v>35</v>
      </c>
      <c r="E1199" s="7" t="s">
        <v>165</v>
      </c>
      <c r="F1199" s="2">
        <v>46112.443910324073</v>
      </c>
      <c r="G1199" s="3">
        <v>46112</v>
      </c>
      <c r="H1199" t="s">
        <v>28</v>
      </c>
      <c r="I1199">
        <v>10</v>
      </c>
    </row>
    <row r="1200" spans="1:9" x14ac:dyDescent="0.2">
      <c r="A1200" s="18" t="s">
        <v>1367</v>
      </c>
      <c r="B1200" s="18" t="s">
        <v>10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28</v>
      </c>
      <c r="I1200">
        <v>11</v>
      </c>
    </row>
    <row r="1201" spans="1:9" x14ac:dyDescent="0.2">
      <c r="A1201" s="18" t="s">
        <v>1522</v>
      </c>
      <c r="B1201" s="18" t="s">
        <v>10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28</v>
      </c>
      <c r="I1201">
        <v>11</v>
      </c>
    </row>
    <row r="1202" spans="1:9" x14ac:dyDescent="0.2">
      <c r="A1202" s="18" t="s">
        <v>1368</v>
      </c>
      <c r="B1202" s="18" t="s">
        <v>10</v>
      </c>
      <c r="C1202" s="2">
        <v>46112.803565775466</v>
      </c>
      <c r="D1202">
        <v>35</v>
      </c>
      <c r="F1202" s="2">
        <v>46112.511899108795</v>
      </c>
      <c r="G1202" s="3">
        <v>46112</v>
      </c>
      <c r="H1202" t="s">
        <v>28</v>
      </c>
      <c r="I1202">
        <v>12</v>
      </c>
    </row>
    <row r="1203" spans="1:9" x14ac:dyDescent="0.2">
      <c r="A1203" s="18" t="s">
        <v>1369</v>
      </c>
      <c r="B1203" s="18" t="s">
        <v>10</v>
      </c>
      <c r="C1203" s="2">
        <v>46112.859259490739</v>
      </c>
      <c r="D1203">
        <v>3</v>
      </c>
      <c r="F1203" s="2">
        <v>46112.567592824074</v>
      </c>
      <c r="G1203" s="3">
        <v>46112</v>
      </c>
      <c r="H1203" t="s">
        <v>28</v>
      </c>
      <c r="I1203">
        <v>13</v>
      </c>
    </row>
    <row r="1204" spans="1:9" x14ac:dyDescent="0.2">
      <c r="A1204" s="18" t="s">
        <v>1370</v>
      </c>
      <c r="B1204" s="18" t="s">
        <v>10</v>
      </c>
      <c r="C1204" s="2">
        <v>46112.886357569441</v>
      </c>
      <c r="D1204">
        <v>531</v>
      </c>
      <c r="E1204" s="7" t="s">
        <v>31</v>
      </c>
      <c r="F1204" s="2">
        <v>46112.594690902777</v>
      </c>
      <c r="G1204" s="3">
        <v>46112</v>
      </c>
      <c r="H1204" t="s">
        <v>28</v>
      </c>
      <c r="I1204">
        <v>14</v>
      </c>
    </row>
    <row r="1205" spans="1:9" x14ac:dyDescent="0.2">
      <c r="A1205" s="18" t="s">
        <v>1371</v>
      </c>
      <c r="B1205" s="18" t="s">
        <v>10</v>
      </c>
      <c r="C1205" s="2">
        <v>46112.92497659722</v>
      </c>
      <c r="D1205">
        <v>531</v>
      </c>
      <c r="E1205" s="7" t="s">
        <v>275</v>
      </c>
      <c r="F1205" s="2">
        <v>46112.633309930556</v>
      </c>
      <c r="G1205" s="3">
        <v>46112</v>
      </c>
      <c r="H1205" t="s">
        <v>28</v>
      </c>
      <c r="I1205">
        <v>15</v>
      </c>
    </row>
    <row r="1206" spans="1:9" x14ac:dyDescent="0.2">
      <c r="A1206" s="18" t="s">
        <v>1372</v>
      </c>
      <c r="B1206" s="18" t="s">
        <v>10</v>
      </c>
      <c r="C1206" s="2">
        <v>46112.940342314818</v>
      </c>
      <c r="D1206">
        <v>531</v>
      </c>
      <c r="E1206" s="7" t="s">
        <v>31</v>
      </c>
      <c r="F1206" s="2">
        <v>46112.648675648146</v>
      </c>
      <c r="G1206" s="3">
        <v>46112</v>
      </c>
      <c r="H1206" t="s">
        <v>28</v>
      </c>
      <c r="I1206">
        <v>15</v>
      </c>
    </row>
    <row r="1207" spans="1:9" x14ac:dyDescent="0.2">
      <c r="A1207" s="18" t="s">
        <v>1373</v>
      </c>
      <c r="B1207" s="18" t="s">
        <v>10</v>
      </c>
      <c r="C1207" s="2">
        <v>46113.01424640046</v>
      </c>
      <c r="D1207">
        <v>531</v>
      </c>
      <c r="E1207" s="7" t="s">
        <v>31</v>
      </c>
      <c r="F1207" s="2">
        <v>46112.722579733796</v>
      </c>
      <c r="G1207" s="3">
        <v>46112</v>
      </c>
      <c r="H1207" t="s">
        <v>28</v>
      </c>
      <c r="I1207">
        <v>17</v>
      </c>
    </row>
    <row r="1208" spans="1:9" x14ac:dyDescent="0.2">
      <c r="A1208" s="18" t="s">
        <v>1374</v>
      </c>
      <c r="B1208" s="18" t="s">
        <v>10</v>
      </c>
      <c r="C1208" s="2">
        <v>46113.017012314813</v>
      </c>
      <c r="D1208">
        <v>3</v>
      </c>
      <c r="E1208" s="7" t="s">
        <v>1375</v>
      </c>
      <c r="F1208" s="2">
        <v>46112.725345648149</v>
      </c>
      <c r="G1208" s="3">
        <v>46112</v>
      </c>
      <c r="H1208" t="s">
        <v>28</v>
      </c>
      <c r="I1208">
        <v>17</v>
      </c>
    </row>
    <row r="1209" spans="1:9" x14ac:dyDescent="0.2">
      <c r="A1209" s="18" t="s">
        <v>1376</v>
      </c>
      <c r="B1209" s="18" t="s">
        <v>10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28</v>
      </c>
      <c r="I1209">
        <v>22</v>
      </c>
    </row>
    <row r="1210" spans="1:9" x14ac:dyDescent="0.2">
      <c r="A1210" s="18" t="s">
        <v>1377</v>
      </c>
      <c r="B1210" s="18" t="s">
        <v>10</v>
      </c>
      <c r="C1210" s="2">
        <v>46113.330726481479</v>
      </c>
      <c r="D1210">
        <v>894</v>
      </c>
      <c r="F1210" s="2">
        <v>46113.039059814815</v>
      </c>
      <c r="G1210" s="3">
        <v>46113</v>
      </c>
      <c r="H1210" t="s">
        <v>63</v>
      </c>
      <c r="I1210">
        <v>0</v>
      </c>
    </row>
    <row r="1211" spans="1:9" x14ac:dyDescent="0.2">
      <c r="A1211" s="18" t="s">
        <v>1378</v>
      </c>
      <c r="B1211" s="18" t="s">
        <v>10</v>
      </c>
      <c r="C1211" s="2">
        <v>46113.403891111113</v>
      </c>
      <c r="D1211">
        <v>531</v>
      </c>
      <c r="E1211" s="7" t="s">
        <v>31</v>
      </c>
      <c r="F1211" s="2">
        <v>46113.112224444441</v>
      </c>
      <c r="G1211" s="3">
        <v>46113</v>
      </c>
      <c r="H1211" t="s">
        <v>63</v>
      </c>
      <c r="I1211">
        <v>2</v>
      </c>
    </row>
    <row r="1212" spans="1:9" x14ac:dyDescent="0.2">
      <c r="A1212" s="18" t="s">
        <v>1379</v>
      </c>
      <c r="B1212" s="18" t="s">
        <v>10</v>
      </c>
      <c r="C1212" s="2">
        <v>46113.422562199077</v>
      </c>
      <c r="D1212">
        <v>531</v>
      </c>
      <c r="F1212" s="2">
        <v>46113.130895532406</v>
      </c>
      <c r="G1212" s="3">
        <v>46113</v>
      </c>
      <c r="H1212" t="s">
        <v>63</v>
      </c>
      <c r="I1212">
        <v>3</v>
      </c>
    </row>
    <row r="1213" spans="1:9" x14ac:dyDescent="0.2">
      <c r="A1213" s="18" t="s">
        <v>1387</v>
      </c>
      <c r="B1213" s="18" t="s">
        <v>10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63</v>
      </c>
      <c r="I1213">
        <v>3</v>
      </c>
    </row>
    <row r="1214" spans="1:9" x14ac:dyDescent="0.2">
      <c r="A1214" s="18" t="s">
        <v>1380</v>
      </c>
      <c r="B1214" s="18" t="s">
        <v>10</v>
      </c>
      <c r="C1214" s="2">
        <v>46113.450692303239</v>
      </c>
      <c r="D1214">
        <v>531</v>
      </c>
      <c r="E1214" s="7" t="s">
        <v>31</v>
      </c>
      <c r="F1214" s="2">
        <v>46113.159025636574</v>
      </c>
      <c r="G1214" s="3">
        <v>46113</v>
      </c>
      <c r="H1214" t="s">
        <v>63</v>
      </c>
      <c r="I1214">
        <v>3</v>
      </c>
    </row>
    <row r="1215" spans="1:9" x14ac:dyDescent="0.2">
      <c r="A1215" s="18" t="s">
        <v>1381</v>
      </c>
      <c r="B1215" s="18" t="s">
        <v>10</v>
      </c>
      <c r="C1215" s="2">
        <v>46113.474786956016</v>
      </c>
      <c r="D1215">
        <v>531</v>
      </c>
      <c r="F1215" s="2">
        <v>46113.183120289352</v>
      </c>
      <c r="G1215" s="3">
        <v>46113</v>
      </c>
      <c r="H1215" t="s">
        <v>63</v>
      </c>
      <c r="I1215">
        <v>4</v>
      </c>
    </row>
    <row r="1216" spans="1:9" x14ac:dyDescent="0.2">
      <c r="A1216" s="18" t="s">
        <v>1447</v>
      </c>
      <c r="B1216" s="18" t="s">
        <v>10</v>
      </c>
      <c r="C1216" s="2">
        <v>46113.493990069444</v>
      </c>
      <c r="D1216">
        <v>531</v>
      </c>
      <c r="F1216" s="2">
        <v>46113.20232340278</v>
      </c>
      <c r="G1216" s="3">
        <v>46113</v>
      </c>
      <c r="H1216" t="s">
        <v>63</v>
      </c>
      <c r="I1216">
        <v>4</v>
      </c>
    </row>
    <row r="1217" spans="1:9" x14ac:dyDescent="0.2">
      <c r="A1217" s="18" t="s">
        <v>1382</v>
      </c>
      <c r="B1217" s="18" t="s">
        <v>10</v>
      </c>
      <c r="C1217" s="2">
        <v>46113.59918957176</v>
      </c>
      <c r="D1217">
        <v>531</v>
      </c>
      <c r="E1217" s="7" t="s">
        <v>31</v>
      </c>
      <c r="F1217" s="2">
        <v>46113.307522905096</v>
      </c>
      <c r="G1217" s="3">
        <v>46113</v>
      </c>
      <c r="H1217" t="s">
        <v>63</v>
      </c>
      <c r="I1217">
        <v>7</v>
      </c>
    </row>
    <row r="1218" spans="1:9" x14ac:dyDescent="0.2">
      <c r="A1218" s="18" t="s">
        <v>1388</v>
      </c>
      <c r="B1218" s="18" t="s">
        <v>10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63</v>
      </c>
      <c r="I1218">
        <v>11</v>
      </c>
    </row>
    <row r="1219" spans="1:9" x14ac:dyDescent="0.2">
      <c r="A1219" s="18" t="s">
        <v>1389</v>
      </c>
      <c r="B1219" s="18" t="s">
        <v>10</v>
      </c>
      <c r="C1219" s="2">
        <v>46113.767982627316</v>
      </c>
      <c r="D1219">
        <v>3</v>
      </c>
      <c r="E1219" s="7" t="s">
        <v>1390</v>
      </c>
      <c r="F1219" s="2">
        <v>46113.476315960645</v>
      </c>
      <c r="G1219" s="3">
        <v>46113</v>
      </c>
      <c r="H1219" t="s">
        <v>63</v>
      </c>
      <c r="I1219">
        <v>11</v>
      </c>
    </row>
    <row r="1220" spans="1:9" x14ac:dyDescent="0.2">
      <c r="A1220" s="18" t="s">
        <v>1448</v>
      </c>
      <c r="B1220" s="18" t="s">
        <v>10</v>
      </c>
      <c r="C1220" s="2">
        <v>46113.786373263887</v>
      </c>
      <c r="D1220">
        <v>3</v>
      </c>
      <c r="E1220" s="7" t="s">
        <v>1390</v>
      </c>
      <c r="F1220" s="2">
        <v>46113.494706597223</v>
      </c>
      <c r="G1220" s="3">
        <v>46113</v>
      </c>
      <c r="H1220" t="s">
        <v>63</v>
      </c>
      <c r="I1220">
        <v>11</v>
      </c>
    </row>
    <row r="1221" spans="1:9" x14ac:dyDescent="0.2">
      <c r="A1221" s="18" t="s">
        <v>1391</v>
      </c>
      <c r="B1221" s="18" t="s">
        <v>10</v>
      </c>
      <c r="C1221" s="2">
        <v>46113.839796261571</v>
      </c>
      <c r="D1221">
        <v>3</v>
      </c>
      <c r="E1221" s="7" t="s">
        <v>1390</v>
      </c>
      <c r="F1221" s="2">
        <v>46113.548129594907</v>
      </c>
      <c r="G1221" s="3">
        <v>46113</v>
      </c>
      <c r="H1221" t="s">
        <v>63</v>
      </c>
      <c r="I1221">
        <v>13</v>
      </c>
    </row>
    <row r="1222" spans="1:9" x14ac:dyDescent="0.2">
      <c r="A1222" s="18" t="s">
        <v>1392</v>
      </c>
      <c r="B1222" s="18" t="s">
        <v>10</v>
      </c>
      <c r="C1222" s="2">
        <v>46114.292727615742</v>
      </c>
      <c r="D1222">
        <v>3</v>
      </c>
      <c r="E1222" s="7" t="s">
        <v>1375</v>
      </c>
      <c r="F1222" s="2">
        <v>46114.001060949071</v>
      </c>
      <c r="G1222" s="3">
        <v>46114</v>
      </c>
      <c r="H1222" t="s">
        <v>95</v>
      </c>
      <c r="I1222">
        <v>0</v>
      </c>
    </row>
    <row r="1223" spans="1:9" x14ac:dyDescent="0.2">
      <c r="A1223" s="18" t="s">
        <v>1393</v>
      </c>
      <c r="B1223" s="18" t="s">
        <v>10</v>
      </c>
      <c r="C1223" s="2">
        <v>46114.294289375001</v>
      </c>
      <c r="D1223">
        <v>3</v>
      </c>
      <c r="F1223" s="2">
        <v>46114.002622708336</v>
      </c>
      <c r="G1223" s="3">
        <v>46114</v>
      </c>
      <c r="H1223" t="s">
        <v>95</v>
      </c>
      <c r="I1223">
        <v>0</v>
      </c>
    </row>
    <row r="1224" spans="1:9" x14ac:dyDescent="0.2">
      <c r="A1224" s="18" t="s">
        <v>1434</v>
      </c>
      <c r="B1224" s="18" t="s">
        <v>10</v>
      </c>
      <c r="C1224" s="2">
        <v>46114.294731423608</v>
      </c>
      <c r="D1224">
        <v>575</v>
      </c>
      <c r="F1224" s="2">
        <v>46114.003064756944</v>
      </c>
      <c r="G1224" s="3">
        <v>46114</v>
      </c>
      <c r="H1224" t="s">
        <v>95</v>
      </c>
      <c r="I1224">
        <v>0</v>
      </c>
    </row>
    <row r="1225" spans="1:9" x14ac:dyDescent="0.2">
      <c r="A1225" s="18" t="s">
        <v>1394</v>
      </c>
      <c r="B1225" s="18" t="s">
        <v>10</v>
      </c>
      <c r="C1225" s="2">
        <v>46114.439335925927</v>
      </c>
      <c r="D1225">
        <v>3</v>
      </c>
      <c r="E1225" s="7" t="s">
        <v>1395</v>
      </c>
      <c r="F1225" s="2">
        <v>46114.147669259262</v>
      </c>
      <c r="G1225" s="3">
        <v>46114</v>
      </c>
      <c r="H1225" t="s">
        <v>95</v>
      </c>
      <c r="I1225">
        <v>3</v>
      </c>
    </row>
    <row r="1226" spans="1:9" x14ac:dyDescent="0.2">
      <c r="A1226" s="18" t="s">
        <v>1396</v>
      </c>
      <c r="B1226" s="18" t="s">
        <v>10</v>
      </c>
      <c r="C1226" s="2">
        <v>46114.442514548609</v>
      </c>
      <c r="D1226">
        <v>3</v>
      </c>
      <c r="F1226" s="2">
        <v>46114.150847881945</v>
      </c>
      <c r="G1226" s="3">
        <v>46114</v>
      </c>
      <c r="H1226" t="s">
        <v>95</v>
      </c>
      <c r="I1226">
        <v>3</v>
      </c>
    </row>
    <row r="1227" spans="1:9" x14ac:dyDescent="0.2">
      <c r="A1227" s="18" t="s">
        <v>1397</v>
      </c>
      <c r="B1227" s="18" t="s">
        <v>10</v>
      </c>
      <c r="C1227" s="2">
        <v>46114.443249768519</v>
      </c>
      <c r="D1227">
        <v>3</v>
      </c>
      <c r="F1227" s="2">
        <v>46114.151583101855</v>
      </c>
      <c r="G1227" s="3">
        <v>46114</v>
      </c>
      <c r="H1227" t="s">
        <v>95</v>
      </c>
      <c r="I1227">
        <v>3</v>
      </c>
    </row>
    <row r="1228" spans="1:9" x14ac:dyDescent="0.2">
      <c r="A1228" s="18" t="s">
        <v>1398</v>
      </c>
      <c r="B1228" s="18" t="s">
        <v>10</v>
      </c>
      <c r="C1228" s="2">
        <v>46114.445070543981</v>
      </c>
      <c r="D1228">
        <v>3</v>
      </c>
      <c r="E1228" s="7" t="s">
        <v>1399</v>
      </c>
      <c r="F1228" s="2">
        <v>46114.153403877317</v>
      </c>
      <c r="G1228" s="3">
        <v>46114</v>
      </c>
      <c r="H1228" t="s">
        <v>95</v>
      </c>
      <c r="I1228">
        <v>3</v>
      </c>
    </row>
    <row r="1229" spans="1:9" x14ac:dyDescent="0.2">
      <c r="A1229" s="18" t="s">
        <v>1400</v>
      </c>
      <c r="B1229" s="18" t="s">
        <v>10</v>
      </c>
      <c r="C1229" s="2">
        <v>46114.447235196756</v>
      </c>
      <c r="D1229">
        <v>3</v>
      </c>
      <c r="F1229" s="2">
        <v>46114.155568530092</v>
      </c>
      <c r="G1229" s="3">
        <v>46114</v>
      </c>
      <c r="H1229" t="s">
        <v>95</v>
      </c>
      <c r="I1229">
        <v>3</v>
      </c>
    </row>
    <row r="1230" spans="1:9" x14ac:dyDescent="0.2">
      <c r="A1230" s="18" t="s">
        <v>1401</v>
      </c>
      <c r="B1230" s="18" t="s">
        <v>10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95</v>
      </c>
      <c r="I1230">
        <v>4</v>
      </c>
    </row>
    <row r="1231" spans="1:9" x14ac:dyDescent="0.2">
      <c r="A1231" s="18" t="s">
        <v>1409</v>
      </c>
      <c r="B1231" s="18" t="s">
        <v>10</v>
      </c>
      <c r="C1231" s="2">
        <v>46114.482756006946</v>
      </c>
      <c r="D1231">
        <v>530</v>
      </c>
      <c r="F1231" s="2">
        <v>46114.191089340275</v>
      </c>
      <c r="G1231" s="3">
        <v>46114</v>
      </c>
      <c r="H1231" t="s">
        <v>95</v>
      </c>
      <c r="I1231">
        <v>4</v>
      </c>
    </row>
    <row r="1232" spans="1:9" x14ac:dyDescent="0.2">
      <c r="A1232" s="18" t="s">
        <v>1402</v>
      </c>
      <c r="B1232" s="18" t="s">
        <v>10</v>
      </c>
      <c r="C1232" s="2">
        <v>46114.690100798609</v>
      </c>
      <c r="D1232">
        <v>575</v>
      </c>
      <c r="F1232" s="2">
        <v>46114.398434131945</v>
      </c>
      <c r="G1232" s="3">
        <v>46114</v>
      </c>
      <c r="H1232" t="s">
        <v>95</v>
      </c>
      <c r="I1232">
        <v>9</v>
      </c>
    </row>
    <row r="1233" spans="1:9" x14ac:dyDescent="0.2">
      <c r="A1233" s="18" t="s">
        <v>1403</v>
      </c>
      <c r="B1233" s="18" t="s">
        <v>10</v>
      </c>
      <c r="C1233" s="2">
        <v>46114.690257997689</v>
      </c>
      <c r="D1233">
        <v>3</v>
      </c>
      <c r="E1233" s="7" t="s">
        <v>1115</v>
      </c>
      <c r="F1233" s="2">
        <v>46114.398591331017</v>
      </c>
      <c r="G1233" s="3">
        <v>46114</v>
      </c>
      <c r="H1233" t="s">
        <v>95</v>
      </c>
      <c r="I1233">
        <v>9</v>
      </c>
    </row>
    <row r="1234" spans="1:9" x14ac:dyDescent="0.2">
      <c r="A1234" s="18" t="s">
        <v>1404</v>
      </c>
      <c r="B1234" s="18" t="s">
        <v>10</v>
      </c>
      <c r="C1234" s="2">
        <v>46114.694070231482</v>
      </c>
      <c r="D1234">
        <v>3</v>
      </c>
      <c r="E1234" s="7" t="s">
        <v>305</v>
      </c>
      <c r="F1234" s="2">
        <v>46114.402403564818</v>
      </c>
      <c r="G1234" s="3">
        <v>46114</v>
      </c>
      <c r="H1234" t="s">
        <v>95</v>
      </c>
      <c r="I1234">
        <v>9</v>
      </c>
    </row>
    <row r="1235" spans="1:9" x14ac:dyDescent="0.2">
      <c r="A1235" s="18" t="s">
        <v>1410</v>
      </c>
      <c r="B1235" s="18" t="s">
        <v>10</v>
      </c>
      <c r="C1235" s="2">
        <v>46114.849817962961</v>
      </c>
      <c r="D1235">
        <v>3</v>
      </c>
      <c r="F1235" s="2">
        <v>46114.558151296296</v>
      </c>
      <c r="G1235" s="3">
        <v>46114</v>
      </c>
      <c r="H1235" t="s">
        <v>95</v>
      </c>
      <c r="I1235">
        <v>13</v>
      </c>
    </row>
    <row r="1236" spans="1:9" x14ac:dyDescent="0.2">
      <c r="A1236" s="18" t="s">
        <v>1411</v>
      </c>
      <c r="B1236" s="18" t="s">
        <v>10</v>
      </c>
      <c r="C1236" s="2">
        <v>46114.849916851854</v>
      </c>
      <c r="D1236">
        <v>3</v>
      </c>
      <c r="E1236" s="7" t="s">
        <v>1412</v>
      </c>
      <c r="F1236" s="2">
        <v>46114.558250185182</v>
      </c>
      <c r="G1236" s="3">
        <v>46114</v>
      </c>
      <c r="H1236" t="s">
        <v>95</v>
      </c>
      <c r="I1236">
        <v>13</v>
      </c>
    </row>
    <row r="1237" spans="1:9" x14ac:dyDescent="0.2">
      <c r="A1237" s="18" t="s">
        <v>1413</v>
      </c>
      <c r="B1237" s="18" t="s">
        <v>10</v>
      </c>
      <c r="C1237" s="2">
        <v>46114.889596875</v>
      </c>
      <c r="D1237">
        <v>575</v>
      </c>
      <c r="F1237" s="2">
        <v>46114.597930208336</v>
      </c>
      <c r="G1237" s="3">
        <v>46114</v>
      </c>
      <c r="H1237" t="s">
        <v>95</v>
      </c>
      <c r="I1237">
        <v>14</v>
      </c>
    </row>
    <row r="1238" spans="1:9" x14ac:dyDescent="0.2">
      <c r="A1238" s="18" t="s">
        <v>1414</v>
      </c>
      <c r="B1238" s="18" t="s">
        <v>10</v>
      </c>
      <c r="C1238" s="2">
        <v>46114.900689768518</v>
      </c>
      <c r="D1238">
        <v>3</v>
      </c>
      <c r="E1238" s="7" t="s">
        <v>1412</v>
      </c>
      <c r="F1238" s="2">
        <v>46114.609023101853</v>
      </c>
      <c r="G1238" s="3">
        <v>46114</v>
      </c>
      <c r="H1238" t="s">
        <v>95</v>
      </c>
      <c r="I1238">
        <v>14</v>
      </c>
    </row>
    <row r="1239" spans="1:9" x14ac:dyDescent="0.2">
      <c r="A1239" s="18" t="s">
        <v>1415</v>
      </c>
      <c r="B1239" s="18" t="s">
        <v>10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95</v>
      </c>
      <c r="I1239">
        <v>16</v>
      </c>
    </row>
    <row r="1240" spans="1:9" x14ac:dyDescent="0.2">
      <c r="A1240" s="18" t="s">
        <v>1416</v>
      </c>
      <c r="B1240" s="18" t="s">
        <v>10</v>
      </c>
      <c r="C1240" s="2">
        <v>46114.97419990741</v>
      </c>
      <c r="D1240">
        <v>3</v>
      </c>
      <c r="E1240" s="7" t="s">
        <v>1417</v>
      </c>
      <c r="F1240" s="2">
        <v>46114.682533240739</v>
      </c>
      <c r="G1240" s="3">
        <v>46114</v>
      </c>
      <c r="H1240" t="s">
        <v>95</v>
      </c>
      <c r="I1240">
        <v>16</v>
      </c>
    </row>
    <row r="1241" spans="1:9" x14ac:dyDescent="0.2">
      <c r="A1241" s="18" t="s">
        <v>1418</v>
      </c>
      <c r="B1241" s="18" t="s">
        <v>10</v>
      </c>
      <c r="C1241" s="2">
        <v>46115.006935011574</v>
      </c>
      <c r="D1241">
        <v>3</v>
      </c>
      <c r="E1241" s="7" t="s">
        <v>1412</v>
      </c>
      <c r="F1241" s="2">
        <v>46114.715268344909</v>
      </c>
      <c r="G1241" s="3">
        <v>46114</v>
      </c>
      <c r="H1241" t="s">
        <v>95</v>
      </c>
      <c r="I1241">
        <v>17</v>
      </c>
    </row>
    <row r="1242" spans="1:9" x14ac:dyDescent="0.2">
      <c r="A1242" s="18" t="s">
        <v>1419</v>
      </c>
      <c r="B1242" s="18" t="s">
        <v>10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95</v>
      </c>
      <c r="I1242">
        <v>19</v>
      </c>
    </row>
    <row r="1243" spans="1:9" x14ac:dyDescent="0.2">
      <c r="A1243" s="18" t="s">
        <v>1420</v>
      </c>
      <c r="B1243" s="18" t="s">
        <v>10</v>
      </c>
      <c r="C1243" s="2">
        <v>46115.107848657404</v>
      </c>
      <c r="D1243">
        <v>575</v>
      </c>
      <c r="F1243" s="2">
        <v>46114.81618199074</v>
      </c>
      <c r="G1243" s="3">
        <v>46114</v>
      </c>
      <c r="H1243" t="s">
        <v>95</v>
      </c>
      <c r="I1243">
        <v>19</v>
      </c>
    </row>
    <row r="1244" spans="1:9" x14ac:dyDescent="0.2">
      <c r="A1244" s="18" t="s">
        <v>1421</v>
      </c>
      <c r="B1244" s="18" t="s">
        <v>10</v>
      </c>
      <c r="C1244" s="2">
        <v>46115.109397106484</v>
      </c>
      <c r="D1244">
        <v>3</v>
      </c>
      <c r="E1244" s="7" t="s">
        <v>305</v>
      </c>
      <c r="F1244" s="2">
        <v>46114.817730439812</v>
      </c>
      <c r="G1244" s="3">
        <v>46114</v>
      </c>
      <c r="H1244" t="s">
        <v>95</v>
      </c>
      <c r="I1244">
        <v>19</v>
      </c>
    </row>
    <row r="1245" spans="1:9" x14ac:dyDescent="0.2">
      <c r="A1245" s="18" t="s">
        <v>1422</v>
      </c>
      <c r="B1245" s="18" t="s">
        <v>10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115</v>
      </c>
      <c r="I1245">
        <v>0</v>
      </c>
    </row>
    <row r="1246" spans="1:9" x14ac:dyDescent="0.2">
      <c r="A1246" s="18" t="s">
        <v>1423</v>
      </c>
      <c r="B1246" s="18" t="s">
        <v>10</v>
      </c>
      <c r="C1246" s="2">
        <v>46115.398946597219</v>
      </c>
      <c r="D1246">
        <v>912</v>
      </c>
      <c r="F1246" s="2">
        <v>46115.107279930555</v>
      </c>
      <c r="G1246" s="3">
        <v>46115</v>
      </c>
      <c r="H1246" t="s">
        <v>115</v>
      </c>
      <c r="I1246">
        <v>2</v>
      </c>
    </row>
    <row r="1247" spans="1:9" x14ac:dyDescent="0.2">
      <c r="A1247" s="18" t="s">
        <v>1424</v>
      </c>
      <c r="B1247" s="18" t="s">
        <v>10</v>
      </c>
      <c r="C1247" s="2">
        <v>46115.417415752316</v>
      </c>
      <c r="D1247">
        <v>35</v>
      </c>
      <c r="E1247" s="7" t="s">
        <v>1425</v>
      </c>
      <c r="F1247" s="2">
        <v>46115.125749085651</v>
      </c>
      <c r="G1247" s="3">
        <v>46115</v>
      </c>
      <c r="H1247" t="s">
        <v>115</v>
      </c>
      <c r="I1247">
        <v>3</v>
      </c>
    </row>
    <row r="1248" spans="1:9" x14ac:dyDescent="0.2">
      <c r="A1248" s="18" t="s">
        <v>1426</v>
      </c>
      <c r="B1248" s="18" t="s">
        <v>10</v>
      </c>
      <c r="C1248" s="2">
        <v>46115.46528384259</v>
      </c>
      <c r="D1248">
        <v>912</v>
      </c>
      <c r="F1248" s="2">
        <v>46115.173617175926</v>
      </c>
      <c r="G1248" s="3">
        <v>46115</v>
      </c>
      <c r="H1248" t="s">
        <v>115</v>
      </c>
      <c r="I1248">
        <v>4</v>
      </c>
    </row>
    <row r="1249" spans="1:9" x14ac:dyDescent="0.2">
      <c r="A1249" s="18" t="s">
        <v>1427</v>
      </c>
      <c r="B1249" s="18" t="s">
        <v>10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115</v>
      </c>
      <c r="I1249">
        <v>7</v>
      </c>
    </row>
    <row r="1250" spans="1:9" x14ac:dyDescent="0.2">
      <c r="A1250" s="18" t="s">
        <v>1428</v>
      </c>
      <c r="B1250" s="18" t="s">
        <v>10</v>
      </c>
      <c r="C1250" s="2">
        <v>46115.616166099535</v>
      </c>
      <c r="D1250">
        <v>3</v>
      </c>
      <c r="F1250" s="2">
        <v>46115.324499432871</v>
      </c>
      <c r="G1250" s="3">
        <v>46115</v>
      </c>
      <c r="H1250" t="s">
        <v>115</v>
      </c>
      <c r="I1250">
        <v>7</v>
      </c>
    </row>
    <row r="1251" spans="1:9" x14ac:dyDescent="0.2">
      <c r="A1251" s="18" t="s">
        <v>1435</v>
      </c>
      <c r="B1251" s="18" t="s">
        <v>10</v>
      </c>
      <c r="C1251" s="2">
        <v>46115.858290439814</v>
      </c>
      <c r="D1251">
        <v>3</v>
      </c>
      <c r="E1251" s="7" t="s">
        <v>60</v>
      </c>
      <c r="F1251" s="2">
        <v>46115.566623773149</v>
      </c>
      <c r="G1251" s="3">
        <v>46115</v>
      </c>
      <c r="H1251" t="s">
        <v>115</v>
      </c>
      <c r="I1251">
        <v>13</v>
      </c>
    </row>
    <row r="1252" spans="1:9" x14ac:dyDescent="0.2">
      <c r="A1252" s="18" t="s">
        <v>1436</v>
      </c>
      <c r="B1252" s="18" t="s">
        <v>10</v>
      </c>
      <c r="C1252" s="2">
        <v>46116.210632129631</v>
      </c>
      <c r="D1252">
        <v>3</v>
      </c>
      <c r="E1252" s="7" t="s">
        <v>305</v>
      </c>
      <c r="F1252" s="2">
        <v>46115.918965462966</v>
      </c>
      <c r="G1252" s="3">
        <v>46115</v>
      </c>
      <c r="H1252" t="s">
        <v>115</v>
      </c>
      <c r="I1252">
        <v>22</v>
      </c>
    </row>
    <row r="1253" spans="1:9" x14ac:dyDescent="0.2">
      <c r="A1253" s="18" t="s">
        <v>1437</v>
      </c>
      <c r="B1253" s="18" t="s">
        <v>10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120</v>
      </c>
      <c r="I1253">
        <v>4</v>
      </c>
    </row>
    <row r="1254" spans="1:9" x14ac:dyDescent="0.2">
      <c r="A1254" s="18" t="s">
        <v>1438</v>
      </c>
      <c r="B1254" s="18" t="s">
        <v>10</v>
      </c>
      <c r="C1254" s="2">
        <v>46116.482318391201</v>
      </c>
      <c r="D1254">
        <v>2</v>
      </c>
      <c r="E1254" s="7" t="s">
        <v>1439</v>
      </c>
      <c r="F1254" s="2">
        <v>46116.190651724537</v>
      </c>
      <c r="G1254" s="3">
        <v>46116</v>
      </c>
      <c r="H1254" t="s">
        <v>120</v>
      </c>
      <c r="I1254">
        <v>4</v>
      </c>
    </row>
    <row r="1255" spans="1:9" x14ac:dyDescent="0.2">
      <c r="A1255" s="18" t="s">
        <v>1440</v>
      </c>
      <c r="B1255" s="18" t="s">
        <v>10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120</v>
      </c>
      <c r="I1255">
        <v>4</v>
      </c>
    </row>
    <row r="1256" spans="1:9" x14ac:dyDescent="0.2">
      <c r="A1256" s="18" t="s">
        <v>1441</v>
      </c>
      <c r="B1256" s="18" t="s">
        <v>10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120</v>
      </c>
      <c r="I1256">
        <v>4</v>
      </c>
    </row>
    <row r="1257" spans="1:9" x14ac:dyDescent="0.2">
      <c r="A1257" s="18" t="s">
        <v>1442</v>
      </c>
      <c r="B1257" s="18" t="s">
        <v>10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120</v>
      </c>
      <c r="I1257">
        <v>4</v>
      </c>
    </row>
    <row r="1258" spans="1:9" x14ac:dyDescent="0.2">
      <c r="A1258" s="18" t="s">
        <v>1443</v>
      </c>
      <c r="B1258" s="18" t="s">
        <v>10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120</v>
      </c>
      <c r="I1258">
        <v>5</v>
      </c>
    </row>
    <row r="1259" spans="1:9" x14ac:dyDescent="0.2">
      <c r="A1259" s="18" t="s">
        <v>1444</v>
      </c>
      <c r="B1259" s="18" t="s">
        <v>10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120</v>
      </c>
      <c r="I1259">
        <v>5</v>
      </c>
    </row>
    <row r="1260" spans="1:9" x14ac:dyDescent="0.2">
      <c r="A1260" s="18" t="s">
        <v>1449</v>
      </c>
      <c r="B1260" s="18" t="s">
        <v>10</v>
      </c>
      <c r="C1260" s="2">
        <v>46117.068018136575</v>
      </c>
      <c r="D1260">
        <v>3</v>
      </c>
      <c r="F1260" s="2">
        <v>46116.776351469911</v>
      </c>
      <c r="G1260" s="3">
        <v>46116</v>
      </c>
      <c r="H1260" t="s">
        <v>120</v>
      </c>
      <c r="I1260">
        <v>18</v>
      </c>
    </row>
    <row r="1261" spans="1:9" x14ac:dyDescent="0.2">
      <c r="A1261" s="18" t="s">
        <v>1450</v>
      </c>
      <c r="B1261" s="18" t="s">
        <v>10</v>
      </c>
      <c r="C1261" s="2">
        <v>46117.068944467595</v>
      </c>
      <c r="D1261">
        <v>3</v>
      </c>
      <c r="E1261" s="7" t="s">
        <v>305</v>
      </c>
      <c r="F1261" s="2">
        <v>46116.777277800924</v>
      </c>
      <c r="G1261" s="3">
        <v>46116</v>
      </c>
      <c r="H1261" t="s">
        <v>120</v>
      </c>
      <c r="I1261">
        <v>18</v>
      </c>
    </row>
    <row r="1262" spans="1:9" x14ac:dyDescent="0.2">
      <c r="A1262" s="18" t="s">
        <v>1451</v>
      </c>
      <c r="B1262" s="18" t="s">
        <v>10</v>
      </c>
      <c r="C1262" s="2">
        <v>46117.119444930555</v>
      </c>
      <c r="D1262">
        <v>3</v>
      </c>
      <c r="F1262" s="2">
        <v>46116.827778263891</v>
      </c>
      <c r="G1262" s="3">
        <v>46116</v>
      </c>
      <c r="H1262" t="s">
        <v>120</v>
      </c>
      <c r="I1262">
        <v>19</v>
      </c>
    </row>
    <row r="1263" spans="1:9" x14ac:dyDescent="0.2">
      <c r="A1263" s="18" t="s">
        <v>1452</v>
      </c>
      <c r="B1263" s="18" t="s">
        <v>10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120</v>
      </c>
      <c r="I1263">
        <v>20</v>
      </c>
    </row>
    <row r="1264" spans="1:9" x14ac:dyDescent="0.2">
      <c r="A1264" s="18" t="s">
        <v>1453</v>
      </c>
      <c r="B1264" s="18" t="s">
        <v>10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120</v>
      </c>
      <c r="I1264">
        <v>20</v>
      </c>
    </row>
    <row r="1265" spans="1:9" x14ac:dyDescent="0.2">
      <c r="A1265" s="18" t="s">
        <v>1454</v>
      </c>
      <c r="B1265" s="18" t="s">
        <v>10</v>
      </c>
      <c r="C1265" s="2">
        <v>46117.174816990744</v>
      </c>
      <c r="D1265">
        <v>3</v>
      </c>
      <c r="E1265" s="7" t="s">
        <v>305</v>
      </c>
      <c r="F1265" s="2">
        <v>46116.883150324073</v>
      </c>
      <c r="G1265" s="3">
        <v>46116</v>
      </c>
      <c r="H1265" t="s">
        <v>120</v>
      </c>
      <c r="I1265">
        <v>21</v>
      </c>
    </row>
    <row r="1266" spans="1:9" x14ac:dyDescent="0.2">
      <c r="A1266" s="18" t="s">
        <v>1455</v>
      </c>
      <c r="B1266" s="18" t="s">
        <v>10</v>
      </c>
      <c r="C1266" s="2">
        <v>46117.228274305555</v>
      </c>
      <c r="D1266">
        <v>3</v>
      </c>
      <c r="E1266" s="7" t="s">
        <v>305</v>
      </c>
      <c r="F1266" s="2">
        <v>46116.936607638891</v>
      </c>
      <c r="G1266" s="3">
        <v>46116</v>
      </c>
      <c r="H1266" t="s">
        <v>120</v>
      </c>
      <c r="I1266">
        <v>22</v>
      </c>
    </row>
    <row r="1267" spans="1:9" x14ac:dyDescent="0.2">
      <c r="A1267" s="18" t="s">
        <v>1456</v>
      </c>
      <c r="B1267" s="18" t="s">
        <v>10</v>
      </c>
      <c r="C1267" s="2">
        <v>46117.407773888888</v>
      </c>
      <c r="D1267">
        <v>3</v>
      </c>
      <c r="E1267" s="7" t="s">
        <v>15</v>
      </c>
      <c r="F1267" s="2">
        <v>46117.116107222224</v>
      </c>
      <c r="G1267" s="3">
        <v>46117</v>
      </c>
      <c r="H1267" t="s">
        <v>125</v>
      </c>
      <c r="I1267">
        <v>2</v>
      </c>
    </row>
    <row r="1268" spans="1:9" x14ac:dyDescent="0.2">
      <c r="A1268" s="18" t="s">
        <v>1457</v>
      </c>
      <c r="B1268" s="18" t="s">
        <v>10</v>
      </c>
      <c r="C1268" s="2">
        <v>46117.587941504629</v>
      </c>
      <c r="D1268">
        <v>3</v>
      </c>
      <c r="E1268" s="7" t="s">
        <v>1458</v>
      </c>
      <c r="F1268" s="2">
        <v>46117.296274837965</v>
      </c>
      <c r="G1268" s="3">
        <v>46117</v>
      </c>
      <c r="H1268" t="s">
        <v>125</v>
      </c>
      <c r="I1268">
        <v>7</v>
      </c>
    </row>
    <row r="1269" spans="1:9" x14ac:dyDescent="0.2">
      <c r="A1269" s="18" t="s">
        <v>1459</v>
      </c>
      <c r="B1269" s="18" t="s">
        <v>10</v>
      </c>
      <c r="C1269" s="2">
        <v>46117.588660266207</v>
      </c>
      <c r="D1269">
        <v>2</v>
      </c>
      <c r="F1269" s="2">
        <v>46117.296993599535</v>
      </c>
      <c r="G1269" s="3">
        <v>46117</v>
      </c>
      <c r="H1269" t="s">
        <v>125</v>
      </c>
      <c r="I1269">
        <v>7</v>
      </c>
    </row>
    <row r="1270" spans="1:9" x14ac:dyDescent="0.2">
      <c r="A1270" s="18" t="s">
        <v>1460</v>
      </c>
      <c r="B1270" s="18" t="s">
        <v>10</v>
      </c>
      <c r="C1270" s="2">
        <v>46117.588802557868</v>
      </c>
      <c r="D1270">
        <v>3</v>
      </c>
      <c r="E1270" s="7" t="s">
        <v>1461</v>
      </c>
      <c r="F1270" s="2">
        <v>46117.297135891204</v>
      </c>
      <c r="G1270" s="3">
        <v>46117</v>
      </c>
      <c r="H1270" t="s">
        <v>125</v>
      </c>
      <c r="I1270">
        <v>7</v>
      </c>
    </row>
    <row r="1271" spans="1:9" x14ac:dyDescent="0.2">
      <c r="A1271" s="18" t="s">
        <v>1462</v>
      </c>
      <c r="B1271" s="18" t="s">
        <v>10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125</v>
      </c>
      <c r="I1271">
        <v>9</v>
      </c>
    </row>
    <row r="1272" spans="1:9" x14ac:dyDescent="0.2">
      <c r="A1272" s="18" t="s">
        <v>1463</v>
      </c>
      <c r="B1272" s="18" t="s">
        <v>10</v>
      </c>
      <c r="C1272" s="2">
        <v>46117.689668715277</v>
      </c>
      <c r="D1272">
        <v>3</v>
      </c>
      <c r="E1272" s="7" t="s">
        <v>1320</v>
      </c>
      <c r="F1272" s="2">
        <v>46117.398002048612</v>
      </c>
      <c r="G1272" s="3">
        <v>46117</v>
      </c>
      <c r="H1272" t="s">
        <v>125</v>
      </c>
      <c r="I1272">
        <v>9</v>
      </c>
    </row>
    <row r="1273" spans="1:9" x14ac:dyDescent="0.2">
      <c r="A1273" s="18" t="s">
        <v>1472</v>
      </c>
      <c r="B1273" s="18" t="s">
        <v>10</v>
      </c>
      <c r="C1273" s="2">
        <v>46117.843648761576</v>
      </c>
      <c r="D1273">
        <v>530</v>
      </c>
      <c r="E1273" s="7" t="s">
        <v>34</v>
      </c>
      <c r="F1273" s="2">
        <v>46117.551982094905</v>
      </c>
      <c r="G1273" s="3">
        <v>46117</v>
      </c>
      <c r="H1273" t="s">
        <v>125</v>
      </c>
      <c r="I1273">
        <v>13</v>
      </c>
    </row>
    <row r="1274" spans="1:9" x14ac:dyDescent="0.2">
      <c r="A1274" s="18" t="s">
        <v>1473</v>
      </c>
      <c r="B1274" s="18" t="s">
        <v>10</v>
      </c>
      <c r="C1274" s="2">
        <v>46117.845748136577</v>
      </c>
      <c r="D1274">
        <v>3</v>
      </c>
      <c r="E1274" s="7" t="s">
        <v>305</v>
      </c>
      <c r="F1274" s="2">
        <v>46117.554081469905</v>
      </c>
      <c r="G1274" s="3">
        <v>46117</v>
      </c>
      <c r="H1274" t="s">
        <v>125</v>
      </c>
      <c r="I1274">
        <v>13</v>
      </c>
    </row>
    <row r="1275" spans="1:9" x14ac:dyDescent="0.2">
      <c r="A1275" s="18" t="s">
        <v>1474</v>
      </c>
      <c r="B1275" s="18" t="s">
        <v>10</v>
      </c>
      <c r="C1275" s="2">
        <v>46117.854399490738</v>
      </c>
      <c r="D1275">
        <v>3</v>
      </c>
      <c r="E1275" s="7" t="s">
        <v>1475</v>
      </c>
      <c r="F1275" s="2">
        <v>46117.562732824073</v>
      </c>
      <c r="G1275" s="3">
        <v>46117</v>
      </c>
      <c r="H1275" t="s">
        <v>125</v>
      </c>
      <c r="I1275">
        <v>13</v>
      </c>
    </row>
    <row r="1276" spans="1:9" x14ac:dyDescent="0.2">
      <c r="A1276" s="18" t="s">
        <v>1476</v>
      </c>
      <c r="B1276" s="18" t="s">
        <v>10</v>
      </c>
      <c r="C1276" s="2">
        <v>46117.857391759258</v>
      </c>
      <c r="D1276">
        <v>3</v>
      </c>
      <c r="E1276" s="7" t="s">
        <v>625</v>
      </c>
      <c r="F1276" s="2">
        <v>46117.565725092594</v>
      </c>
      <c r="G1276" s="3">
        <v>46117</v>
      </c>
      <c r="H1276" t="s">
        <v>125</v>
      </c>
      <c r="I1276">
        <v>13</v>
      </c>
    </row>
    <row r="1277" spans="1:9" x14ac:dyDescent="0.2">
      <c r="A1277" s="18" t="s">
        <v>1494</v>
      </c>
      <c r="B1277" s="18" t="s">
        <v>10</v>
      </c>
      <c r="C1277" s="2">
        <v>46117.865140729169</v>
      </c>
      <c r="D1277">
        <v>3</v>
      </c>
      <c r="E1277" s="7" t="s">
        <v>625</v>
      </c>
      <c r="F1277" s="2">
        <v>46117.573474062498</v>
      </c>
      <c r="G1277" s="3">
        <v>46117</v>
      </c>
      <c r="H1277" t="s">
        <v>125</v>
      </c>
      <c r="I1277">
        <v>13</v>
      </c>
    </row>
    <row r="1278" spans="1:9" x14ac:dyDescent="0.2">
      <c r="A1278" s="18" t="s">
        <v>1477</v>
      </c>
      <c r="B1278" s="18" t="s">
        <v>10</v>
      </c>
      <c r="C1278" s="2">
        <v>46117.875437824077</v>
      </c>
      <c r="D1278">
        <v>2</v>
      </c>
      <c r="E1278" s="7" t="s">
        <v>1478</v>
      </c>
      <c r="F1278" s="2">
        <v>46117.583771157406</v>
      </c>
      <c r="G1278" s="3">
        <v>46117</v>
      </c>
      <c r="H1278" t="s">
        <v>125</v>
      </c>
      <c r="I1278">
        <v>14</v>
      </c>
    </row>
    <row r="1279" spans="1:9" x14ac:dyDescent="0.2">
      <c r="A1279" s="18" t="s">
        <v>1479</v>
      </c>
      <c r="B1279" s="18" t="s">
        <v>10</v>
      </c>
      <c r="C1279" s="2">
        <v>46117.875569317126</v>
      </c>
      <c r="D1279">
        <v>3</v>
      </c>
      <c r="E1279" s="7" t="s">
        <v>625</v>
      </c>
      <c r="F1279" s="2">
        <v>46117.583902650462</v>
      </c>
      <c r="G1279" s="3">
        <v>46117</v>
      </c>
      <c r="H1279" t="s">
        <v>125</v>
      </c>
      <c r="I1279">
        <v>14</v>
      </c>
    </row>
    <row r="1280" spans="1:9" x14ac:dyDescent="0.2">
      <c r="A1280" s="18" t="s">
        <v>1480</v>
      </c>
      <c r="B1280" s="18" t="s">
        <v>10</v>
      </c>
      <c r="C1280" s="2">
        <v>46117.895972349535</v>
      </c>
      <c r="D1280">
        <v>530</v>
      </c>
      <c r="E1280" s="7" t="s">
        <v>34</v>
      </c>
      <c r="F1280" s="2">
        <v>46117.604305682871</v>
      </c>
      <c r="G1280" s="3">
        <v>46117</v>
      </c>
      <c r="H1280" t="s">
        <v>125</v>
      </c>
      <c r="I1280">
        <v>14</v>
      </c>
    </row>
    <row r="1281" spans="1:9" x14ac:dyDescent="0.2">
      <c r="A1281" s="18" t="s">
        <v>1481</v>
      </c>
      <c r="B1281" s="18" t="s">
        <v>10</v>
      </c>
      <c r="C1281" s="2">
        <v>46118.12548422454</v>
      </c>
      <c r="D1281">
        <v>530</v>
      </c>
      <c r="E1281" s="7" t="s">
        <v>34</v>
      </c>
      <c r="F1281" s="2">
        <v>46117.833817557868</v>
      </c>
      <c r="G1281" s="3">
        <v>46117</v>
      </c>
      <c r="H1281" t="s">
        <v>125</v>
      </c>
      <c r="I1281">
        <v>20</v>
      </c>
    </row>
    <row r="1282" spans="1:9" x14ac:dyDescent="0.2">
      <c r="A1282" s="18" t="s">
        <v>1482</v>
      </c>
      <c r="B1282" s="18" t="s">
        <v>10</v>
      </c>
      <c r="C1282" s="2">
        <v>46118.349659687497</v>
      </c>
      <c r="D1282">
        <v>3</v>
      </c>
      <c r="E1282" s="7" t="s">
        <v>1483</v>
      </c>
      <c r="F1282" s="2">
        <v>46118.057993020833</v>
      </c>
      <c r="G1282" s="3">
        <v>46118</v>
      </c>
      <c r="H1282" t="s">
        <v>11</v>
      </c>
      <c r="I1282">
        <v>1</v>
      </c>
    </row>
    <row r="1283" spans="1:9" x14ac:dyDescent="0.2">
      <c r="A1283" s="18" t="s">
        <v>1484</v>
      </c>
      <c r="B1283" s="18" t="s">
        <v>10</v>
      </c>
      <c r="C1283" s="2">
        <v>46118.349827048609</v>
      </c>
      <c r="D1283">
        <v>3</v>
      </c>
      <c r="E1283" s="7" t="s">
        <v>1485</v>
      </c>
      <c r="F1283" s="2">
        <v>46118.058160381945</v>
      </c>
      <c r="G1283" s="3">
        <v>46118</v>
      </c>
      <c r="H1283" t="s">
        <v>11</v>
      </c>
      <c r="I1283">
        <v>1</v>
      </c>
    </row>
    <row r="1284" spans="1:9" x14ac:dyDescent="0.2">
      <c r="A1284" s="18" t="s">
        <v>1486</v>
      </c>
      <c r="B1284" s="18" t="s">
        <v>10</v>
      </c>
      <c r="C1284" s="2">
        <v>46118.36666576389</v>
      </c>
      <c r="D1284">
        <v>912</v>
      </c>
      <c r="F1284" s="2">
        <v>46118.074999097225</v>
      </c>
      <c r="G1284" s="3">
        <v>46118</v>
      </c>
      <c r="H1284" t="s">
        <v>11</v>
      </c>
      <c r="I1284">
        <v>1</v>
      </c>
    </row>
    <row r="1285" spans="1:9" x14ac:dyDescent="0.2">
      <c r="A1285" s="18" t="s">
        <v>1487</v>
      </c>
      <c r="B1285" s="18" t="s">
        <v>10</v>
      </c>
      <c r="C1285" s="2">
        <v>46118.535436435188</v>
      </c>
      <c r="D1285">
        <v>3</v>
      </c>
      <c r="F1285" s="2">
        <v>46118.243769768516</v>
      </c>
      <c r="G1285" s="3">
        <v>46118</v>
      </c>
      <c r="H1285" t="s">
        <v>11</v>
      </c>
      <c r="I1285">
        <v>5</v>
      </c>
    </row>
    <row r="1286" spans="1:9" x14ac:dyDescent="0.2">
      <c r="A1286" s="18" t="s">
        <v>1488</v>
      </c>
      <c r="B1286" s="18" t="s">
        <v>10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11</v>
      </c>
      <c r="I1286">
        <v>6</v>
      </c>
    </row>
    <row r="1287" spans="1:9" x14ac:dyDescent="0.2">
      <c r="A1287" s="18" t="s">
        <v>1495</v>
      </c>
      <c r="B1287" s="18" t="s">
        <v>10</v>
      </c>
      <c r="C1287" s="2">
        <v>46118.788777939815</v>
      </c>
      <c r="D1287">
        <v>530</v>
      </c>
      <c r="F1287" s="2">
        <v>46118.497111273151</v>
      </c>
      <c r="G1287" s="3">
        <v>46118</v>
      </c>
      <c r="H1287" t="s">
        <v>11</v>
      </c>
      <c r="I1287">
        <v>11</v>
      </c>
    </row>
    <row r="1288" spans="1:9" x14ac:dyDescent="0.2">
      <c r="A1288" s="18" t="s">
        <v>1496</v>
      </c>
      <c r="B1288" s="18" t="s">
        <v>10</v>
      </c>
      <c r="C1288" s="2">
        <v>46118.810397141206</v>
      </c>
      <c r="D1288">
        <v>575</v>
      </c>
      <c r="E1288" s="7" t="s">
        <v>1320</v>
      </c>
      <c r="F1288" s="2">
        <v>46118.518730474534</v>
      </c>
      <c r="G1288" s="3">
        <v>46118</v>
      </c>
      <c r="H1288" t="s">
        <v>11</v>
      </c>
      <c r="I1288">
        <v>12</v>
      </c>
    </row>
    <row r="1289" spans="1:9" x14ac:dyDescent="0.2">
      <c r="A1289" s="18" t="s">
        <v>1497</v>
      </c>
      <c r="B1289" s="18" t="s">
        <v>10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11</v>
      </c>
      <c r="I1289">
        <v>15</v>
      </c>
    </row>
    <row r="1290" spans="1:9" x14ac:dyDescent="0.2">
      <c r="A1290" s="18" t="s">
        <v>1498</v>
      </c>
      <c r="B1290" s="18" t="s">
        <v>10</v>
      </c>
      <c r="C1290" s="2">
        <v>46119.114397256948</v>
      </c>
      <c r="D1290">
        <v>575</v>
      </c>
      <c r="E1290" s="7" t="s">
        <v>301</v>
      </c>
      <c r="F1290" s="2">
        <v>46118.822730590276</v>
      </c>
      <c r="G1290" s="3">
        <v>46118</v>
      </c>
      <c r="H1290" t="s">
        <v>11</v>
      </c>
      <c r="I1290">
        <v>19</v>
      </c>
    </row>
    <row r="1291" spans="1:9" x14ac:dyDescent="0.2">
      <c r="A1291" s="18" t="s">
        <v>1499</v>
      </c>
      <c r="B1291" s="18" t="s">
        <v>10</v>
      </c>
      <c r="C1291" s="2">
        <v>46119.129153391201</v>
      </c>
      <c r="D1291">
        <v>575</v>
      </c>
      <c r="E1291" s="7" t="s">
        <v>301</v>
      </c>
      <c r="F1291" s="2">
        <v>46118.837486724537</v>
      </c>
      <c r="G1291" s="3">
        <v>46118</v>
      </c>
      <c r="H1291" t="s">
        <v>11</v>
      </c>
      <c r="I1291">
        <v>20</v>
      </c>
    </row>
    <row r="1292" spans="1:9" x14ac:dyDescent="0.2">
      <c r="A1292" s="18" t="s">
        <v>1500</v>
      </c>
      <c r="B1292" s="18" t="s">
        <v>10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11</v>
      </c>
      <c r="I1292">
        <v>22</v>
      </c>
    </row>
    <row r="1293" spans="1:9" x14ac:dyDescent="0.2">
      <c r="A1293" s="18" t="s">
        <v>1501</v>
      </c>
      <c r="B1293" s="18" t="s">
        <v>10</v>
      </c>
      <c r="C1293" s="2">
        <v>46119.25084724537</v>
      </c>
      <c r="D1293">
        <v>912</v>
      </c>
      <c r="F1293" s="2">
        <v>46118.959180578706</v>
      </c>
      <c r="G1293" s="3">
        <v>46118</v>
      </c>
      <c r="H1293" t="s">
        <v>11</v>
      </c>
      <c r="I1293">
        <v>23</v>
      </c>
    </row>
    <row r="1294" spans="1:9" x14ac:dyDescent="0.2">
      <c r="A1294" s="18" t="s">
        <v>1502</v>
      </c>
      <c r="B1294" s="18" t="s">
        <v>10</v>
      </c>
      <c r="C1294" s="2">
        <v>46119.331416701389</v>
      </c>
      <c r="D1294">
        <v>575</v>
      </c>
      <c r="F1294" s="2">
        <v>46119.039750034724</v>
      </c>
      <c r="G1294" s="3">
        <v>46119</v>
      </c>
      <c r="H1294" t="s">
        <v>28</v>
      </c>
      <c r="I1294">
        <v>0</v>
      </c>
    </row>
    <row r="1295" spans="1:9" x14ac:dyDescent="0.2">
      <c r="A1295" s="18" t="s">
        <v>1503</v>
      </c>
      <c r="B1295" s="18" t="s">
        <v>10</v>
      </c>
      <c r="C1295" s="2">
        <v>46119.354669872686</v>
      </c>
      <c r="D1295">
        <v>575</v>
      </c>
      <c r="F1295" s="2">
        <v>46119.063003206022</v>
      </c>
      <c r="G1295" s="3">
        <v>46119</v>
      </c>
      <c r="H1295" t="s">
        <v>28</v>
      </c>
      <c r="I1295">
        <v>1</v>
      </c>
    </row>
    <row r="1296" spans="1:9" x14ac:dyDescent="0.2">
      <c r="A1296" s="18" t="s">
        <v>1504</v>
      </c>
      <c r="B1296" s="18" t="s">
        <v>10</v>
      </c>
      <c r="C1296" s="2">
        <v>46119.435157222222</v>
      </c>
      <c r="D1296">
        <v>575</v>
      </c>
      <c r="E1296" s="7" t="s">
        <v>582</v>
      </c>
      <c r="F1296" s="2">
        <v>46119.143490555558</v>
      </c>
      <c r="G1296" s="3">
        <v>46119</v>
      </c>
      <c r="H1296" t="s">
        <v>28</v>
      </c>
      <c r="I1296">
        <v>3</v>
      </c>
    </row>
    <row r="1297" spans="1:9" x14ac:dyDescent="0.2">
      <c r="A1297" s="18" t="s">
        <v>1505</v>
      </c>
      <c r="B1297" s="18" t="s">
        <v>10</v>
      </c>
      <c r="C1297" s="2">
        <v>46119.495102499997</v>
      </c>
      <c r="D1297">
        <v>3</v>
      </c>
      <c r="E1297" s="7" t="s">
        <v>60</v>
      </c>
      <c r="F1297" s="2">
        <v>46119.203435833333</v>
      </c>
      <c r="G1297" s="3">
        <v>46119</v>
      </c>
      <c r="H1297" t="s">
        <v>28</v>
      </c>
      <c r="I1297">
        <v>4</v>
      </c>
    </row>
    <row r="1298" spans="1:9" x14ac:dyDescent="0.2">
      <c r="A1298" s="18" t="s">
        <v>1506</v>
      </c>
      <c r="B1298" s="18" t="s">
        <v>10</v>
      </c>
      <c r="C1298" s="2">
        <v>46119.531651851852</v>
      </c>
      <c r="D1298">
        <v>1</v>
      </c>
      <c r="E1298" s="7" t="s">
        <v>1338</v>
      </c>
      <c r="F1298" s="2">
        <v>46119.239985185188</v>
      </c>
      <c r="G1298" s="3">
        <v>46119</v>
      </c>
      <c r="H1298" t="s">
        <v>28</v>
      </c>
      <c r="I1298">
        <v>5</v>
      </c>
    </row>
    <row r="1299" spans="1:9" x14ac:dyDescent="0.2">
      <c r="A1299" s="18" t="s">
        <v>1507</v>
      </c>
      <c r="B1299" s="18" t="s">
        <v>10</v>
      </c>
      <c r="C1299" s="2">
        <v>46119.53770335648</v>
      </c>
      <c r="D1299">
        <v>575</v>
      </c>
      <c r="F1299" s="2">
        <v>46119.246036689816</v>
      </c>
      <c r="G1299" s="3">
        <v>46119</v>
      </c>
      <c r="H1299" t="s">
        <v>28</v>
      </c>
      <c r="I1299">
        <v>5</v>
      </c>
    </row>
    <row r="1300" spans="1:9" x14ac:dyDescent="0.2">
      <c r="A1300" s="18" t="s">
        <v>1508</v>
      </c>
      <c r="B1300" s="18" t="s">
        <v>10</v>
      </c>
      <c r="C1300" s="2">
        <v>46119.576840787035</v>
      </c>
      <c r="D1300">
        <v>530</v>
      </c>
      <c r="F1300" s="2">
        <v>46119.28517412037</v>
      </c>
      <c r="G1300" s="3">
        <v>46119</v>
      </c>
      <c r="H1300" t="s">
        <v>28</v>
      </c>
      <c r="I1300">
        <v>6</v>
      </c>
    </row>
    <row r="1301" spans="1:9" x14ac:dyDescent="0.2">
      <c r="A1301" s="18" t="s">
        <v>1510</v>
      </c>
      <c r="B1301" s="18" t="s">
        <v>10</v>
      </c>
      <c r="C1301" s="2">
        <v>46119.745309641206</v>
      </c>
      <c r="D1301">
        <v>575</v>
      </c>
      <c r="F1301" s="2">
        <v>46119.453642974535</v>
      </c>
      <c r="G1301" s="3">
        <v>46119</v>
      </c>
      <c r="H1301" t="s">
        <v>28</v>
      </c>
      <c r="I1301">
        <v>10</v>
      </c>
    </row>
    <row r="1302" spans="1:9" x14ac:dyDescent="0.2">
      <c r="A1302" s="18" t="s">
        <v>1511</v>
      </c>
      <c r="B1302" s="18" t="s">
        <v>10</v>
      </c>
      <c r="C1302" s="2">
        <v>46120.392569050928</v>
      </c>
      <c r="D1302">
        <v>575</v>
      </c>
      <c r="F1302" s="2">
        <v>46120.100902384256</v>
      </c>
      <c r="G1302" s="3">
        <v>46120</v>
      </c>
      <c r="H1302" t="s">
        <v>63</v>
      </c>
      <c r="I1302">
        <v>2</v>
      </c>
    </row>
    <row r="1303" spans="1:9" x14ac:dyDescent="0.2">
      <c r="A1303" s="18" t="s">
        <v>1512</v>
      </c>
      <c r="B1303" s="18" t="s">
        <v>10</v>
      </c>
      <c r="C1303" s="2">
        <v>46120.427831805559</v>
      </c>
      <c r="D1303">
        <v>3</v>
      </c>
      <c r="E1303" s="7" t="s">
        <v>1513</v>
      </c>
      <c r="F1303" s="2">
        <v>46120.136165138887</v>
      </c>
      <c r="G1303" s="3">
        <v>46120</v>
      </c>
      <c r="H1303" t="s">
        <v>63</v>
      </c>
      <c r="I1303">
        <v>3</v>
      </c>
    </row>
    <row r="1304" spans="1:9" x14ac:dyDescent="0.2">
      <c r="A1304" s="18" t="s">
        <v>1514</v>
      </c>
      <c r="B1304" s="18" t="s">
        <v>10</v>
      </c>
      <c r="C1304" s="2">
        <v>46120.428160798612</v>
      </c>
      <c r="D1304">
        <v>3</v>
      </c>
      <c r="E1304" s="7" t="s">
        <v>1515</v>
      </c>
      <c r="F1304" s="2">
        <v>46120.136494131948</v>
      </c>
      <c r="G1304" s="3">
        <v>46120</v>
      </c>
      <c r="H1304" t="s">
        <v>63</v>
      </c>
      <c r="I1304">
        <v>3</v>
      </c>
    </row>
    <row r="1305" spans="1:9" x14ac:dyDescent="0.2">
      <c r="A1305" s="18" t="s">
        <v>1516</v>
      </c>
      <c r="B1305" s="18" t="s">
        <v>10</v>
      </c>
      <c r="C1305" s="2">
        <v>46120.439439247682</v>
      </c>
      <c r="D1305">
        <v>3</v>
      </c>
      <c r="E1305" s="7" t="s">
        <v>1517</v>
      </c>
      <c r="F1305" s="2">
        <v>46120.147772581018</v>
      </c>
      <c r="G1305" s="3">
        <v>46120</v>
      </c>
      <c r="H1305" t="s">
        <v>63</v>
      </c>
      <c r="I1305">
        <v>3</v>
      </c>
    </row>
    <row r="1306" spans="1:9" x14ac:dyDescent="0.2">
      <c r="A1306" s="18" t="s">
        <v>1523</v>
      </c>
      <c r="B1306" s="18" t="s">
        <v>10</v>
      </c>
      <c r="C1306" s="2">
        <v>46120.845844085648</v>
      </c>
      <c r="D1306">
        <v>575</v>
      </c>
      <c r="E1306" s="7" t="s">
        <v>34</v>
      </c>
      <c r="F1306" s="2">
        <v>46120.554177418984</v>
      </c>
      <c r="G1306" s="3">
        <v>46120</v>
      </c>
      <c r="H1306" t="s">
        <v>63</v>
      </c>
      <c r="I1306">
        <v>13</v>
      </c>
    </row>
    <row r="1307" spans="1:9" x14ac:dyDescent="0.2">
      <c r="A1307" s="18" t="s">
        <v>1524</v>
      </c>
      <c r="B1307" s="18" t="s">
        <v>10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63</v>
      </c>
      <c r="I1307">
        <v>15</v>
      </c>
    </row>
    <row r="1308" spans="1:9" x14ac:dyDescent="0.2">
      <c r="A1308" s="18" t="s">
        <v>1525</v>
      </c>
      <c r="B1308" s="18" t="s">
        <v>10</v>
      </c>
      <c r="C1308" s="2">
        <v>46121.42897015046</v>
      </c>
      <c r="D1308">
        <v>3</v>
      </c>
      <c r="F1308" s="2">
        <v>46121.137303483796</v>
      </c>
      <c r="G1308" s="3">
        <v>46121</v>
      </c>
      <c r="H1308" t="s">
        <v>95</v>
      </c>
      <c r="I1308">
        <v>3</v>
      </c>
    </row>
    <row r="1309" spans="1:9" x14ac:dyDescent="0.2">
      <c r="A1309" s="18" t="s">
        <v>1538</v>
      </c>
      <c r="B1309" s="18" t="s">
        <v>10</v>
      </c>
      <c r="C1309" s="2">
        <v>46121.437078831019</v>
      </c>
      <c r="D1309">
        <v>530</v>
      </c>
      <c r="F1309" s="2">
        <v>46121.145412164355</v>
      </c>
      <c r="G1309" s="3">
        <v>46121</v>
      </c>
      <c r="H1309" t="s">
        <v>95</v>
      </c>
      <c r="I1309">
        <v>3</v>
      </c>
    </row>
    <row r="1310" spans="1:9" x14ac:dyDescent="0.2">
      <c r="A1310" s="18" t="s">
        <v>1526</v>
      </c>
      <c r="B1310" s="18" t="s">
        <v>10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95</v>
      </c>
      <c r="I1310">
        <v>6</v>
      </c>
    </row>
    <row r="1311" spans="1:9" x14ac:dyDescent="0.2">
      <c r="A1311" s="18" t="s">
        <v>1527</v>
      </c>
      <c r="B1311" s="18" t="s">
        <v>10</v>
      </c>
      <c r="C1311" s="2">
        <v>46121.548177523146</v>
      </c>
      <c r="D1311">
        <v>3</v>
      </c>
      <c r="E1311" s="7" t="s">
        <v>590</v>
      </c>
      <c r="F1311" s="2">
        <v>46121.256510856481</v>
      </c>
      <c r="G1311" s="3">
        <v>46121</v>
      </c>
      <c r="H1311" t="s">
        <v>95</v>
      </c>
      <c r="I1311">
        <v>6</v>
      </c>
    </row>
    <row r="1312" spans="1:9" x14ac:dyDescent="0.2">
      <c r="A1312" s="18" t="s">
        <v>1528</v>
      </c>
      <c r="B1312" s="18" t="s">
        <v>10</v>
      </c>
      <c r="C1312" s="2">
        <v>46121.586263784724</v>
      </c>
      <c r="D1312">
        <v>575</v>
      </c>
      <c r="F1312" s="2">
        <v>46121.294597118052</v>
      </c>
      <c r="G1312" s="3">
        <v>46121</v>
      </c>
      <c r="H1312" t="s">
        <v>95</v>
      </c>
      <c r="I1312">
        <v>7</v>
      </c>
    </row>
    <row r="1313" spans="1:9" x14ac:dyDescent="0.2">
      <c r="A1313" s="18" t="s">
        <v>1529</v>
      </c>
      <c r="B1313" s="18" t="s">
        <v>10</v>
      </c>
      <c r="C1313" s="2">
        <v>46121.586643981478</v>
      </c>
      <c r="D1313">
        <v>3</v>
      </c>
      <c r="F1313" s="2">
        <v>46121.294977314814</v>
      </c>
      <c r="G1313" s="3">
        <v>46121</v>
      </c>
      <c r="H1313" t="s">
        <v>95</v>
      </c>
      <c r="I1313">
        <v>7</v>
      </c>
    </row>
    <row r="1314" spans="1:9" x14ac:dyDescent="0.2">
      <c r="A1314" s="18" t="s">
        <v>1530</v>
      </c>
      <c r="B1314" s="18" t="s">
        <v>10</v>
      </c>
      <c r="C1314" s="2">
        <v>46121.587885173612</v>
      </c>
      <c r="D1314">
        <v>3</v>
      </c>
      <c r="E1314" s="7" t="s">
        <v>1531</v>
      </c>
      <c r="F1314" s="2">
        <v>46121.296218506941</v>
      </c>
      <c r="G1314" s="3">
        <v>46121</v>
      </c>
      <c r="H1314" t="s">
        <v>95</v>
      </c>
      <c r="I1314">
        <v>7</v>
      </c>
    </row>
    <row r="1315" spans="1:9" x14ac:dyDescent="0.2">
      <c r="A1315" s="18" t="s">
        <v>1532</v>
      </c>
      <c r="B1315" s="18" t="s">
        <v>10</v>
      </c>
      <c r="C1315" s="2">
        <v>46121.644177719907</v>
      </c>
      <c r="D1315">
        <v>1</v>
      </c>
      <c r="E1315" s="7" t="s">
        <v>590</v>
      </c>
      <c r="F1315" s="2">
        <v>46121.352511053243</v>
      </c>
      <c r="G1315" s="3">
        <v>46121</v>
      </c>
      <c r="H1315" t="s">
        <v>95</v>
      </c>
      <c r="I1315">
        <v>8</v>
      </c>
    </row>
    <row r="1316" spans="1:9" x14ac:dyDescent="0.2">
      <c r="A1316" s="18" t="s">
        <v>1533</v>
      </c>
      <c r="B1316" s="18" t="s">
        <v>10</v>
      </c>
      <c r="C1316" s="2">
        <v>46121.693366712963</v>
      </c>
      <c r="D1316">
        <v>575</v>
      </c>
      <c r="E1316" s="7" t="s">
        <v>590</v>
      </c>
      <c r="F1316" s="2">
        <v>46121.401700046299</v>
      </c>
      <c r="G1316" s="3">
        <v>46121</v>
      </c>
      <c r="H1316" t="s">
        <v>95</v>
      </c>
      <c r="I1316">
        <v>9</v>
      </c>
    </row>
    <row r="1317" spans="1:9" x14ac:dyDescent="0.2">
      <c r="A1317" s="18" t="s">
        <v>1534</v>
      </c>
      <c r="B1317" s="18" t="s">
        <v>10</v>
      </c>
      <c r="C1317" s="2">
        <v>46121.695424143516</v>
      </c>
      <c r="D1317">
        <v>530</v>
      </c>
      <c r="F1317" s="2">
        <v>46121.403757476852</v>
      </c>
      <c r="G1317" s="3">
        <v>46121</v>
      </c>
      <c r="H1317" t="s">
        <v>95</v>
      </c>
      <c r="I1317">
        <v>9</v>
      </c>
    </row>
    <row r="1318" spans="1:9" x14ac:dyDescent="0.2">
      <c r="A1318" s="18" t="s">
        <v>1535</v>
      </c>
      <c r="B1318" s="18" t="s">
        <v>10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95</v>
      </c>
      <c r="I1318">
        <v>9</v>
      </c>
    </row>
    <row r="1319" spans="1:9" x14ac:dyDescent="0.2">
      <c r="A1319" s="18" t="s">
        <v>1539</v>
      </c>
      <c r="B1319" s="18" t="s">
        <v>10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95</v>
      </c>
      <c r="I1319">
        <v>10</v>
      </c>
    </row>
    <row r="1320" spans="1:9" x14ac:dyDescent="0.2">
      <c r="A1320" s="18" t="s">
        <v>1540</v>
      </c>
      <c r="B1320" s="18" t="s">
        <v>10</v>
      </c>
      <c r="C1320" s="2">
        <v>46121.715026863429</v>
      </c>
      <c r="D1320">
        <v>575</v>
      </c>
      <c r="E1320" s="7" t="s">
        <v>590</v>
      </c>
      <c r="F1320" s="2">
        <v>46121.423360196757</v>
      </c>
      <c r="G1320" s="3">
        <v>46121</v>
      </c>
      <c r="H1320" t="s">
        <v>95</v>
      </c>
      <c r="I1320">
        <v>10</v>
      </c>
    </row>
    <row r="1321" spans="1:9" x14ac:dyDescent="0.2">
      <c r="A1321" s="18" t="s">
        <v>1611</v>
      </c>
      <c r="B1321" s="18" t="s">
        <v>10</v>
      </c>
      <c r="C1321" s="2">
        <v>46121.719648379629</v>
      </c>
      <c r="D1321">
        <v>575</v>
      </c>
      <c r="E1321" s="7" t="s">
        <v>590</v>
      </c>
      <c r="F1321" s="2">
        <v>46121.427981712965</v>
      </c>
      <c r="G1321" s="3">
        <v>46121</v>
      </c>
      <c r="H1321" t="s">
        <v>95</v>
      </c>
      <c r="I1321">
        <v>10</v>
      </c>
    </row>
    <row r="1322" spans="1:9" x14ac:dyDescent="0.2">
      <c r="A1322" s="18" t="s">
        <v>1541</v>
      </c>
      <c r="B1322" s="18" t="s">
        <v>10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95</v>
      </c>
      <c r="I1322">
        <v>11</v>
      </c>
    </row>
    <row r="1323" spans="1:9" x14ac:dyDescent="0.2">
      <c r="A1323" s="18" t="s">
        <v>1542</v>
      </c>
      <c r="B1323" s="18" t="s">
        <v>10</v>
      </c>
      <c r="C1323" s="2">
        <v>46121.782958356482</v>
      </c>
      <c r="D1323">
        <v>575</v>
      </c>
      <c r="E1323" s="7" t="s">
        <v>590</v>
      </c>
      <c r="F1323" s="2">
        <v>46121.491291689817</v>
      </c>
      <c r="G1323" s="3">
        <v>46121</v>
      </c>
      <c r="H1323" t="s">
        <v>95</v>
      </c>
      <c r="I1323">
        <v>11</v>
      </c>
    </row>
    <row r="1324" spans="1:9" x14ac:dyDescent="0.2">
      <c r="A1324" s="18" t="s">
        <v>1543</v>
      </c>
      <c r="B1324" s="18" t="s">
        <v>10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95</v>
      </c>
      <c r="I1324">
        <v>12</v>
      </c>
    </row>
    <row r="1325" spans="1:9" x14ac:dyDescent="0.2">
      <c r="A1325" s="18" t="s">
        <v>1544</v>
      </c>
      <c r="B1325" s="18" t="s">
        <v>10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95</v>
      </c>
      <c r="I1325">
        <v>13</v>
      </c>
    </row>
    <row r="1326" spans="1:9" x14ac:dyDescent="0.2">
      <c r="A1326" s="18" t="s">
        <v>1545</v>
      </c>
      <c r="B1326" s="18" t="s">
        <v>10</v>
      </c>
      <c r="C1326" s="2">
        <v>46121.853982997687</v>
      </c>
      <c r="D1326">
        <v>3</v>
      </c>
      <c r="F1326" s="2">
        <v>46121.562316331016</v>
      </c>
      <c r="G1326" s="3">
        <v>46121</v>
      </c>
      <c r="H1326" t="s">
        <v>95</v>
      </c>
      <c r="I1326">
        <v>13</v>
      </c>
    </row>
    <row r="1327" spans="1:9" x14ac:dyDescent="0.2">
      <c r="A1327" s="18" t="s">
        <v>1546</v>
      </c>
      <c r="B1327" s="18" t="s">
        <v>10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95</v>
      </c>
      <c r="I1327">
        <v>13</v>
      </c>
    </row>
    <row r="1328" spans="1:9" x14ac:dyDescent="0.2">
      <c r="A1328" s="18" t="s">
        <v>1547</v>
      </c>
      <c r="B1328" s="18" t="s">
        <v>10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95</v>
      </c>
      <c r="I1328">
        <v>14</v>
      </c>
    </row>
    <row r="1329" spans="1:9" x14ac:dyDescent="0.2">
      <c r="A1329" s="18" t="s">
        <v>1548</v>
      </c>
      <c r="B1329" s="18" t="s">
        <v>10</v>
      </c>
      <c r="C1329" s="2">
        <v>46121.875686226849</v>
      </c>
      <c r="D1329">
        <v>575</v>
      </c>
      <c r="F1329" s="2">
        <v>46121.584019560185</v>
      </c>
      <c r="G1329" s="3">
        <v>46121</v>
      </c>
      <c r="H1329" t="s">
        <v>95</v>
      </c>
      <c r="I1329">
        <v>14</v>
      </c>
    </row>
    <row r="1330" spans="1:9" x14ac:dyDescent="0.2">
      <c r="A1330" s="18" t="s">
        <v>1549</v>
      </c>
      <c r="B1330" s="18" t="s">
        <v>10</v>
      </c>
      <c r="C1330" s="2">
        <v>46121.888651597219</v>
      </c>
      <c r="D1330">
        <v>3</v>
      </c>
      <c r="E1330" s="7" t="s">
        <v>1550</v>
      </c>
      <c r="F1330" s="2">
        <v>46121.596984930555</v>
      </c>
      <c r="G1330" s="3">
        <v>46121</v>
      </c>
      <c r="H1330" t="s">
        <v>95</v>
      </c>
      <c r="I1330">
        <v>14</v>
      </c>
    </row>
    <row r="1331" spans="1:9" x14ac:dyDescent="0.2">
      <c r="A1331" s="18" t="s">
        <v>1551</v>
      </c>
      <c r="B1331" s="18" t="s">
        <v>10</v>
      </c>
      <c r="C1331" s="2">
        <v>46121.925749479167</v>
      </c>
      <c r="D1331">
        <v>530</v>
      </c>
      <c r="E1331" s="7" t="s">
        <v>31</v>
      </c>
      <c r="F1331" s="2">
        <v>46121.634082812503</v>
      </c>
      <c r="G1331" s="3">
        <v>46121</v>
      </c>
      <c r="H1331" t="s">
        <v>95</v>
      </c>
      <c r="I1331">
        <v>15</v>
      </c>
    </row>
    <row r="1332" spans="1:9" x14ac:dyDescent="0.2">
      <c r="A1332" s="18" t="s">
        <v>1552</v>
      </c>
      <c r="B1332" s="18" t="s">
        <v>10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95</v>
      </c>
      <c r="I1332">
        <v>15</v>
      </c>
    </row>
    <row r="1333" spans="1:9" x14ac:dyDescent="0.2">
      <c r="A1333" s="18" t="s">
        <v>1553</v>
      </c>
      <c r="B1333" s="18" t="s">
        <v>10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95</v>
      </c>
      <c r="I1333">
        <v>23</v>
      </c>
    </row>
    <row r="1334" spans="1:9" x14ac:dyDescent="0.2">
      <c r="A1334" s="18" t="s">
        <v>1554</v>
      </c>
      <c r="B1334" s="18" t="s">
        <v>10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115</v>
      </c>
      <c r="I1334">
        <v>1</v>
      </c>
    </row>
    <row r="1335" spans="1:9" x14ac:dyDescent="0.2">
      <c r="A1335" s="18" t="s">
        <v>1555</v>
      </c>
      <c r="B1335" s="18" t="s">
        <v>10</v>
      </c>
      <c r="C1335" s="2">
        <v>46122.369507986114</v>
      </c>
      <c r="D1335">
        <v>3</v>
      </c>
      <c r="E1335" s="7" t="s">
        <v>305</v>
      </c>
      <c r="F1335" s="2">
        <v>46122.077841319442</v>
      </c>
      <c r="G1335" s="3">
        <v>46122</v>
      </c>
      <c r="H1335" t="s">
        <v>115</v>
      </c>
      <c r="I1335">
        <v>1</v>
      </c>
    </row>
    <row r="1336" spans="1:9" x14ac:dyDescent="0.2">
      <c r="A1336" s="18" t="s">
        <v>1556</v>
      </c>
      <c r="B1336" s="18" t="s">
        <v>10</v>
      </c>
      <c r="C1336" s="2">
        <v>46122.399444166665</v>
      </c>
      <c r="D1336">
        <v>530</v>
      </c>
      <c r="F1336" s="2">
        <v>46122.107777500001</v>
      </c>
      <c r="G1336" s="3">
        <v>46122</v>
      </c>
      <c r="H1336" t="s">
        <v>115</v>
      </c>
      <c r="I1336">
        <v>2</v>
      </c>
    </row>
    <row r="1337" spans="1:9" x14ac:dyDescent="0.2">
      <c r="A1337" s="18" t="s">
        <v>1557</v>
      </c>
      <c r="B1337" s="18" t="s">
        <v>10</v>
      </c>
      <c r="C1337" s="2">
        <v>46122.413835162035</v>
      </c>
      <c r="D1337">
        <v>3</v>
      </c>
      <c r="F1337" s="2">
        <v>46122.122168495371</v>
      </c>
      <c r="G1337" s="3">
        <v>46122</v>
      </c>
      <c r="H1337" t="s">
        <v>115</v>
      </c>
      <c r="I1337">
        <v>2</v>
      </c>
    </row>
    <row r="1338" spans="1:9" x14ac:dyDescent="0.2">
      <c r="A1338" s="18" t="s">
        <v>1558</v>
      </c>
      <c r="B1338" s="18" t="s">
        <v>10</v>
      </c>
      <c r="C1338" s="2">
        <v>46122.456373622685</v>
      </c>
      <c r="D1338">
        <v>530</v>
      </c>
      <c r="E1338" s="7" t="s">
        <v>34</v>
      </c>
      <c r="F1338" s="2">
        <v>46122.16470695602</v>
      </c>
      <c r="G1338" s="3">
        <v>46122</v>
      </c>
      <c r="H1338" t="s">
        <v>115</v>
      </c>
      <c r="I1338">
        <v>3</v>
      </c>
    </row>
    <row r="1339" spans="1:9" x14ac:dyDescent="0.2">
      <c r="A1339" s="18" t="s">
        <v>1559</v>
      </c>
      <c r="B1339" s="18" t="s">
        <v>10</v>
      </c>
      <c r="C1339" s="2">
        <v>46122.465673715276</v>
      </c>
      <c r="D1339">
        <v>530</v>
      </c>
      <c r="F1339" s="2">
        <v>46122.174007048612</v>
      </c>
      <c r="G1339" s="3">
        <v>46122</v>
      </c>
      <c r="H1339" t="s">
        <v>115</v>
      </c>
      <c r="I1339">
        <v>4</v>
      </c>
    </row>
    <row r="1340" spans="1:9" x14ac:dyDescent="0.2">
      <c r="A1340" s="18" t="s">
        <v>1560</v>
      </c>
      <c r="B1340" s="18" t="s">
        <v>10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115</v>
      </c>
      <c r="I1340">
        <v>5</v>
      </c>
    </row>
    <row r="1341" spans="1:9" x14ac:dyDescent="0.2">
      <c r="A1341" s="18" t="s">
        <v>1561</v>
      </c>
      <c r="B1341" s="18" t="s">
        <v>10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115</v>
      </c>
      <c r="I1341">
        <v>6</v>
      </c>
    </row>
    <row r="1342" spans="1:9" x14ac:dyDescent="0.2">
      <c r="A1342" s="18" t="s">
        <v>1562</v>
      </c>
      <c r="B1342" s="18" t="s">
        <v>10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115</v>
      </c>
      <c r="I1342">
        <v>7</v>
      </c>
    </row>
    <row r="1343" spans="1:9" x14ac:dyDescent="0.2">
      <c r="A1343" s="18" t="s">
        <v>1563</v>
      </c>
      <c r="B1343" s="18" t="s">
        <v>10</v>
      </c>
      <c r="C1343" s="2">
        <v>46122.594232407406</v>
      </c>
      <c r="D1343">
        <v>530</v>
      </c>
      <c r="F1343" s="2">
        <v>46122.302565740742</v>
      </c>
      <c r="G1343" s="3">
        <v>46122</v>
      </c>
      <c r="H1343" t="s">
        <v>115</v>
      </c>
      <c r="I1343">
        <v>7</v>
      </c>
    </row>
    <row r="1344" spans="1:9" x14ac:dyDescent="0.2">
      <c r="A1344" s="18" t="s">
        <v>1564</v>
      </c>
      <c r="B1344" s="18" t="s">
        <v>10</v>
      </c>
      <c r="C1344" s="2">
        <v>46122.615720266207</v>
      </c>
      <c r="D1344">
        <v>3</v>
      </c>
      <c r="F1344" s="2">
        <v>46122.324053599536</v>
      </c>
      <c r="G1344" s="3">
        <v>46122</v>
      </c>
      <c r="H1344" t="s">
        <v>115</v>
      </c>
      <c r="I1344">
        <v>7</v>
      </c>
    </row>
    <row r="1345" spans="1:9" x14ac:dyDescent="0.2">
      <c r="A1345" s="18" t="s">
        <v>1565</v>
      </c>
      <c r="B1345" s="18" t="s">
        <v>10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115</v>
      </c>
      <c r="I1345">
        <v>8</v>
      </c>
    </row>
    <row r="1346" spans="1:9" x14ac:dyDescent="0.2">
      <c r="A1346" s="18" t="s">
        <v>1566</v>
      </c>
      <c r="B1346" s="18" t="s">
        <v>10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115</v>
      </c>
      <c r="I1346">
        <v>8</v>
      </c>
    </row>
    <row r="1347" spans="1:9" x14ac:dyDescent="0.2">
      <c r="A1347" s="18" t="s">
        <v>1612</v>
      </c>
      <c r="B1347" s="18" t="s">
        <v>10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115</v>
      </c>
      <c r="I1347">
        <v>8</v>
      </c>
    </row>
    <row r="1348" spans="1:9" x14ac:dyDescent="0.2">
      <c r="A1348" s="18" t="s">
        <v>1567</v>
      </c>
      <c r="B1348" s="18" t="s">
        <v>10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115</v>
      </c>
      <c r="I1348">
        <v>8</v>
      </c>
    </row>
    <row r="1349" spans="1:9" x14ac:dyDescent="0.2">
      <c r="A1349" s="18" t="s">
        <v>1568</v>
      </c>
      <c r="B1349" s="18" t="s">
        <v>10</v>
      </c>
      <c r="C1349" s="2">
        <v>46122.670168518518</v>
      </c>
      <c r="D1349">
        <v>530</v>
      </c>
      <c r="F1349" s="2">
        <v>46122.378501851854</v>
      </c>
      <c r="G1349" s="3">
        <v>46122</v>
      </c>
      <c r="H1349" t="s">
        <v>115</v>
      </c>
      <c r="I1349">
        <v>9</v>
      </c>
    </row>
    <row r="1350" spans="1:9" x14ac:dyDescent="0.2">
      <c r="A1350" s="18" t="s">
        <v>1569</v>
      </c>
      <c r="B1350" s="18" t="s">
        <v>10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115</v>
      </c>
      <c r="I1350">
        <v>9</v>
      </c>
    </row>
    <row r="1351" spans="1:9" x14ac:dyDescent="0.2">
      <c r="A1351" s="18" t="s">
        <v>1570</v>
      </c>
      <c r="B1351" s="18" t="s">
        <v>10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115</v>
      </c>
      <c r="I1351">
        <v>10</v>
      </c>
    </row>
    <row r="1352" spans="1:9" x14ac:dyDescent="0.2">
      <c r="A1352" s="18" t="s">
        <v>1571</v>
      </c>
      <c r="B1352" s="18" t="s">
        <v>10</v>
      </c>
      <c r="C1352" s="2">
        <v>46122.721413587962</v>
      </c>
      <c r="D1352">
        <v>530</v>
      </c>
      <c r="E1352" s="7" t="s">
        <v>1531</v>
      </c>
      <c r="F1352" s="2">
        <v>46122.429746921298</v>
      </c>
      <c r="G1352" s="3">
        <v>46122</v>
      </c>
      <c r="H1352" t="s">
        <v>115</v>
      </c>
      <c r="I1352">
        <v>10</v>
      </c>
    </row>
    <row r="1353" spans="1:9" x14ac:dyDescent="0.2">
      <c r="A1353" s="18" t="s">
        <v>1572</v>
      </c>
      <c r="B1353" s="18" t="s">
        <v>10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115</v>
      </c>
      <c r="I1353">
        <v>10</v>
      </c>
    </row>
    <row r="1354" spans="1:9" x14ac:dyDescent="0.2">
      <c r="A1354" s="18" t="s">
        <v>1573</v>
      </c>
      <c r="B1354" s="18" t="s">
        <v>10</v>
      </c>
      <c r="C1354" s="2">
        <v>46122.753345185185</v>
      </c>
      <c r="D1354">
        <v>530</v>
      </c>
      <c r="F1354" s="2">
        <v>46122.461678518521</v>
      </c>
      <c r="G1354" s="3">
        <v>46122</v>
      </c>
      <c r="H1354" t="s">
        <v>115</v>
      </c>
      <c r="I1354">
        <v>11</v>
      </c>
    </row>
    <row r="1355" spans="1:9" x14ac:dyDescent="0.2">
      <c r="A1355" s="18" t="s">
        <v>1574</v>
      </c>
      <c r="B1355" s="18" t="s">
        <v>10</v>
      </c>
      <c r="C1355" s="2">
        <v>46122.803970023146</v>
      </c>
      <c r="D1355">
        <v>530</v>
      </c>
      <c r="F1355" s="2">
        <v>46122.512303356481</v>
      </c>
      <c r="G1355" s="3">
        <v>46122</v>
      </c>
      <c r="H1355" t="s">
        <v>115</v>
      </c>
      <c r="I1355">
        <v>12</v>
      </c>
    </row>
    <row r="1356" spans="1:9" x14ac:dyDescent="0.2">
      <c r="A1356" s="18" t="s">
        <v>1575</v>
      </c>
      <c r="B1356" s="18" t="s">
        <v>10</v>
      </c>
      <c r="C1356" s="2">
        <v>46122.92201253472</v>
      </c>
      <c r="D1356">
        <v>3</v>
      </c>
      <c r="F1356" s="2">
        <v>46122.630345868056</v>
      </c>
      <c r="G1356" s="3">
        <v>46122</v>
      </c>
      <c r="H1356" t="s">
        <v>115</v>
      </c>
      <c r="I1356">
        <v>15</v>
      </c>
    </row>
    <row r="1357" spans="1:9" x14ac:dyDescent="0.2">
      <c r="A1357" s="18" t="s">
        <v>1576</v>
      </c>
      <c r="B1357" s="18" t="s">
        <v>10</v>
      </c>
      <c r="C1357" s="2">
        <v>46123.268360856484</v>
      </c>
      <c r="D1357">
        <v>530</v>
      </c>
      <c r="F1357" s="2">
        <v>46122.976694189812</v>
      </c>
      <c r="G1357" s="3">
        <v>46122</v>
      </c>
      <c r="H1357" t="s">
        <v>115</v>
      </c>
      <c r="I1357">
        <v>23</v>
      </c>
    </row>
    <row r="1358" spans="1:9" x14ac:dyDescent="0.2">
      <c r="A1358" s="18" t="s">
        <v>1577</v>
      </c>
      <c r="B1358" s="18" t="s">
        <v>10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120</v>
      </c>
      <c r="I1358">
        <v>0</v>
      </c>
    </row>
    <row r="1359" spans="1:9" x14ac:dyDescent="0.2">
      <c r="A1359" s="18" t="s">
        <v>1578</v>
      </c>
      <c r="B1359" s="18" t="s">
        <v>10</v>
      </c>
      <c r="C1359" s="2">
        <v>46123.481388506945</v>
      </c>
      <c r="D1359">
        <v>530</v>
      </c>
      <c r="F1359" s="2">
        <v>46123.189721840281</v>
      </c>
      <c r="G1359" s="3">
        <v>46123</v>
      </c>
      <c r="H1359" t="s">
        <v>120</v>
      </c>
      <c r="I1359">
        <v>4</v>
      </c>
    </row>
    <row r="1360" spans="1:9" x14ac:dyDescent="0.2">
      <c r="A1360" s="18" t="s">
        <v>1579</v>
      </c>
      <c r="B1360" s="18" t="s">
        <v>10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120</v>
      </c>
      <c r="I1360">
        <v>4</v>
      </c>
    </row>
    <row r="1361" spans="1:9" x14ac:dyDescent="0.2">
      <c r="A1361" s="18" t="s">
        <v>1580</v>
      </c>
      <c r="B1361" s="18" t="s">
        <v>10</v>
      </c>
      <c r="C1361" s="2">
        <v>46123.519598576386</v>
      </c>
      <c r="D1361">
        <v>575</v>
      </c>
      <c r="F1361" s="2">
        <v>46123.227931909722</v>
      </c>
      <c r="G1361" s="3">
        <v>46123</v>
      </c>
      <c r="H1361" t="s">
        <v>120</v>
      </c>
      <c r="I1361">
        <v>5</v>
      </c>
    </row>
    <row r="1362" spans="1:9" x14ac:dyDescent="0.2">
      <c r="A1362" s="18" t="s">
        <v>1581</v>
      </c>
      <c r="B1362" s="18" t="s">
        <v>10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120</v>
      </c>
      <c r="I1362">
        <v>5</v>
      </c>
    </row>
    <row r="1363" spans="1:9" x14ac:dyDescent="0.2">
      <c r="A1363" s="18" t="s">
        <v>1582</v>
      </c>
      <c r="B1363" s="18" t="s">
        <v>10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120</v>
      </c>
      <c r="I1363">
        <v>6</v>
      </c>
    </row>
    <row r="1364" spans="1:9" x14ac:dyDescent="0.2">
      <c r="A1364" s="18" t="s">
        <v>1583</v>
      </c>
      <c r="B1364" s="18" t="s">
        <v>10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120</v>
      </c>
      <c r="I1364">
        <v>6</v>
      </c>
    </row>
    <row r="1365" spans="1:9" x14ac:dyDescent="0.2">
      <c r="A1365" s="18" t="s">
        <v>1584</v>
      </c>
      <c r="B1365" s="18" t="s">
        <v>10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120</v>
      </c>
      <c r="I1365">
        <v>7</v>
      </c>
    </row>
    <row r="1366" spans="1:9" x14ac:dyDescent="0.2">
      <c r="A1366" s="18" t="s">
        <v>1585</v>
      </c>
      <c r="B1366" s="18" t="s">
        <v>10</v>
      </c>
      <c r="C1366" s="2">
        <v>46123.594256087963</v>
      </c>
      <c r="D1366">
        <v>530</v>
      </c>
      <c r="E1366" s="7" t="s">
        <v>34</v>
      </c>
      <c r="F1366" s="2">
        <v>46123.302589421299</v>
      </c>
      <c r="G1366" s="3">
        <v>46123</v>
      </c>
      <c r="H1366" t="s">
        <v>120</v>
      </c>
      <c r="I1366">
        <v>7</v>
      </c>
    </row>
    <row r="1367" spans="1:9" x14ac:dyDescent="0.2">
      <c r="A1367" s="18" t="s">
        <v>1586</v>
      </c>
      <c r="B1367" s="18" t="s">
        <v>10</v>
      </c>
      <c r="C1367" s="2">
        <v>46123.649062453704</v>
      </c>
      <c r="D1367">
        <v>575</v>
      </c>
      <c r="F1367" s="2">
        <v>46123.357395787039</v>
      </c>
      <c r="G1367" s="3">
        <v>46123</v>
      </c>
      <c r="H1367" t="s">
        <v>120</v>
      </c>
      <c r="I1367">
        <v>8</v>
      </c>
    </row>
    <row r="1368" spans="1:9" x14ac:dyDescent="0.2">
      <c r="A1368" s="18" t="s">
        <v>1587</v>
      </c>
      <c r="B1368" s="18" t="s">
        <v>10</v>
      </c>
      <c r="C1368" s="2">
        <v>46123.652669641204</v>
      </c>
      <c r="D1368">
        <v>530</v>
      </c>
      <c r="E1368" s="7" t="s">
        <v>31</v>
      </c>
      <c r="F1368" s="2">
        <v>46123.36100297454</v>
      </c>
      <c r="G1368" s="3">
        <v>46123</v>
      </c>
      <c r="H1368" t="s">
        <v>120</v>
      </c>
      <c r="I1368">
        <v>8</v>
      </c>
    </row>
    <row r="1369" spans="1:9" x14ac:dyDescent="0.2">
      <c r="A1369" s="18" t="s">
        <v>1588</v>
      </c>
      <c r="B1369" s="18" t="s">
        <v>10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120</v>
      </c>
      <c r="I1369">
        <v>9</v>
      </c>
    </row>
    <row r="1370" spans="1:9" x14ac:dyDescent="0.2">
      <c r="A1370" s="18" t="s">
        <v>1596</v>
      </c>
      <c r="B1370" s="18" t="s">
        <v>10</v>
      </c>
      <c r="C1370" s="2">
        <v>46123.710307638888</v>
      </c>
      <c r="D1370">
        <v>3</v>
      </c>
      <c r="F1370" s="2">
        <v>46123.418640972224</v>
      </c>
      <c r="G1370" s="3">
        <v>46123</v>
      </c>
      <c r="H1370" t="s">
        <v>120</v>
      </c>
      <c r="I1370">
        <v>10</v>
      </c>
    </row>
    <row r="1371" spans="1:9" x14ac:dyDescent="0.2">
      <c r="A1371" s="18" t="s">
        <v>1597</v>
      </c>
      <c r="B1371" s="18" t="s">
        <v>10</v>
      </c>
      <c r="C1371" s="2">
        <v>46123.71037025463</v>
      </c>
      <c r="D1371">
        <v>3</v>
      </c>
      <c r="F1371" s="2">
        <v>46123.418703587966</v>
      </c>
      <c r="G1371" s="3">
        <v>46123</v>
      </c>
      <c r="H1371" t="s">
        <v>120</v>
      </c>
      <c r="I1371">
        <v>10</v>
      </c>
    </row>
    <row r="1372" spans="1:9" x14ac:dyDescent="0.2">
      <c r="A1372" s="18" t="s">
        <v>1598</v>
      </c>
      <c r="B1372" s="18" t="s">
        <v>10</v>
      </c>
      <c r="C1372" s="2">
        <v>46123.716889131945</v>
      </c>
      <c r="D1372">
        <v>575</v>
      </c>
      <c r="F1372" s="2">
        <v>46123.425222465281</v>
      </c>
      <c r="G1372" s="3">
        <v>46123</v>
      </c>
      <c r="H1372" t="s">
        <v>120</v>
      </c>
      <c r="I1372">
        <v>10</v>
      </c>
    </row>
    <row r="1373" spans="1:9" x14ac:dyDescent="0.2">
      <c r="A1373" s="18" t="s">
        <v>1599</v>
      </c>
      <c r="B1373" s="18" t="s">
        <v>10</v>
      </c>
      <c r="C1373" s="2">
        <v>46123.76875358796</v>
      </c>
      <c r="D1373">
        <v>530</v>
      </c>
      <c r="F1373" s="2">
        <v>46123.477086921295</v>
      </c>
      <c r="G1373" s="3">
        <v>46123</v>
      </c>
      <c r="H1373" t="s">
        <v>120</v>
      </c>
      <c r="I1373">
        <v>11</v>
      </c>
    </row>
    <row r="1374" spans="1:9" x14ac:dyDescent="0.2">
      <c r="A1374" s="18" t="s">
        <v>1600</v>
      </c>
      <c r="B1374" s="18" t="s">
        <v>10</v>
      </c>
      <c r="C1374" s="2">
        <v>46123.809499594907</v>
      </c>
      <c r="D1374">
        <v>530</v>
      </c>
      <c r="E1374" s="7" t="s">
        <v>34</v>
      </c>
      <c r="F1374" s="2">
        <v>46123.517832928243</v>
      </c>
      <c r="G1374" s="3">
        <v>46123</v>
      </c>
      <c r="H1374" t="s">
        <v>120</v>
      </c>
      <c r="I1374">
        <v>12</v>
      </c>
    </row>
    <row r="1375" spans="1:9" x14ac:dyDescent="0.2">
      <c r="A1375" s="18" t="s">
        <v>1601</v>
      </c>
      <c r="B1375" s="18" t="s">
        <v>10</v>
      </c>
      <c r="C1375" s="2">
        <v>46123.813954930556</v>
      </c>
      <c r="D1375">
        <v>530</v>
      </c>
      <c r="F1375" s="2">
        <v>46123.522288263892</v>
      </c>
      <c r="G1375" s="3">
        <v>46123</v>
      </c>
      <c r="H1375" t="s">
        <v>120</v>
      </c>
      <c r="I1375">
        <v>12</v>
      </c>
    </row>
    <row r="1376" spans="1:9" x14ac:dyDescent="0.2">
      <c r="A1376" s="18" t="s">
        <v>1602</v>
      </c>
      <c r="B1376" s="18" t="s">
        <v>10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120</v>
      </c>
      <c r="I1376">
        <v>13</v>
      </c>
    </row>
    <row r="1377" spans="1:9" x14ac:dyDescent="0.2">
      <c r="A1377" s="18" t="s">
        <v>1603</v>
      </c>
      <c r="B1377" s="18" t="s">
        <v>10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120</v>
      </c>
      <c r="I1377">
        <v>14</v>
      </c>
    </row>
    <row r="1378" spans="1:9" x14ac:dyDescent="0.2">
      <c r="A1378" s="18" t="s">
        <v>1604</v>
      </c>
      <c r="B1378" s="18" t="s">
        <v>10</v>
      </c>
      <c r="C1378" s="2">
        <v>46124.045849131944</v>
      </c>
      <c r="D1378">
        <v>3</v>
      </c>
      <c r="F1378" s="2">
        <v>46123.75418246528</v>
      </c>
      <c r="G1378" s="3">
        <v>46123</v>
      </c>
      <c r="H1378" t="s">
        <v>120</v>
      </c>
      <c r="I1378">
        <v>18</v>
      </c>
    </row>
    <row r="1379" spans="1:9" x14ac:dyDescent="0.2">
      <c r="A1379" s="18" t="s">
        <v>1605</v>
      </c>
      <c r="B1379" s="18" t="s">
        <v>10</v>
      </c>
      <c r="C1379" s="2">
        <v>46124.410706469906</v>
      </c>
      <c r="D1379">
        <v>530</v>
      </c>
      <c r="F1379" s="2">
        <v>46124.119039803241</v>
      </c>
      <c r="G1379" s="3">
        <v>46124</v>
      </c>
      <c r="H1379" t="s">
        <v>125</v>
      </c>
      <c r="I1379">
        <v>2</v>
      </c>
    </row>
    <row r="1380" spans="1:9" x14ac:dyDescent="0.2">
      <c r="A1380" s="18" t="s">
        <v>1606</v>
      </c>
      <c r="B1380" s="18" t="s">
        <v>10</v>
      </c>
      <c r="C1380" s="2">
        <v>46124.434859189816</v>
      </c>
      <c r="D1380">
        <v>3</v>
      </c>
      <c r="E1380" s="7" t="s">
        <v>1607</v>
      </c>
      <c r="F1380" s="2">
        <v>46124.143192523145</v>
      </c>
      <c r="G1380" s="3">
        <v>46124</v>
      </c>
      <c r="H1380" t="s">
        <v>125</v>
      </c>
      <c r="I1380">
        <v>3</v>
      </c>
    </row>
    <row r="1381" spans="1:9" x14ac:dyDescent="0.2">
      <c r="A1381" s="18" t="s">
        <v>1608</v>
      </c>
      <c r="B1381" s="18" t="s">
        <v>10</v>
      </c>
      <c r="C1381" s="2">
        <v>46124.46781519676</v>
      </c>
      <c r="D1381">
        <v>3</v>
      </c>
      <c r="E1381" s="7" t="s">
        <v>1607</v>
      </c>
      <c r="F1381" s="2">
        <v>46124.176148530096</v>
      </c>
      <c r="G1381" s="3">
        <v>46124</v>
      </c>
      <c r="H1381" t="s">
        <v>125</v>
      </c>
      <c r="I1381">
        <v>4</v>
      </c>
    </row>
    <row r="1382" spans="1:9" x14ac:dyDescent="0.2">
      <c r="A1382" s="18" t="s">
        <v>1609</v>
      </c>
      <c r="B1382" s="18" t="s">
        <v>10</v>
      </c>
      <c r="C1382" s="2">
        <v>46124.606284594905</v>
      </c>
      <c r="D1382">
        <v>3</v>
      </c>
      <c r="E1382" s="7" t="s">
        <v>1607</v>
      </c>
      <c r="F1382" s="2">
        <v>46124.314617928241</v>
      </c>
      <c r="G1382" s="3">
        <v>46124</v>
      </c>
      <c r="H1382" t="s">
        <v>125</v>
      </c>
      <c r="I1382">
        <v>7</v>
      </c>
    </row>
    <row r="1383" spans="1:9" x14ac:dyDescent="0.2">
      <c r="A1383" s="18" t="s">
        <v>1610</v>
      </c>
      <c r="B1383" s="18" t="s">
        <v>10</v>
      </c>
      <c r="C1383" s="2">
        <v>46124.650370347219</v>
      </c>
      <c r="D1383">
        <v>530</v>
      </c>
      <c r="F1383" s="2">
        <v>46124.358703680555</v>
      </c>
      <c r="G1383" s="3">
        <v>46124</v>
      </c>
      <c r="H1383" t="s">
        <v>125</v>
      </c>
      <c r="I1383">
        <v>8</v>
      </c>
    </row>
    <row r="1384" spans="1:9" x14ac:dyDescent="0.2">
      <c r="A1384" s="18" t="s">
        <v>1613</v>
      </c>
      <c r="B1384" s="18" t="s">
        <v>10</v>
      </c>
      <c r="C1384" s="2">
        <v>46124.855078356479</v>
      </c>
      <c r="D1384">
        <v>530</v>
      </c>
      <c r="F1384" s="2">
        <v>46124.563411689815</v>
      </c>
      <c r="G1384" s="3">
        <v>46124</v>
      </c>
      <c r="H1384" t="s">
        <v>125</v>
      </c>
      <c r="I1384">
        <v>13</v>
      </c>
    </row>
    <row r="1385" spans="1:9" x14ac:dyDescent="0.2">
      <c r="A1385" s="18" t="s">
        <v>1614</v>
      </c>
      <c r="B1385" s="18" t="s">
        <v>10</v>
      </c>
      <c r="C1385" s="2">
        <v>46124.887350729165</v>
      </c>
      <c r="D1385">
        <v>530</v>
      </c>
      <c r="E1385" s="7" t="s">
        <v>34</v>
      </c>
      <c r="F1385" s="2">
        <v>46124.5956840625</v>
      </c>
      <c r="G1385" s="3">
        <v>46124</v>
      </c>
      <c r="H1385" t="s">
        <v>125</v>
      </c>
      <c r="I1385">
        <v>14</v>
      </c>
    </row>
    <row r="1386" spans="1:9" x14ac:dyDescent="0.2">
      <c r="A1386" s="18" t="s">
        <v>1615</v>
      </c>
      <c r="B1386" s="18" t="s">
        <v>10</v>
      </c>
      <c r="C1386" s="2">
        <v>46124.904129525465</v>
      </c>
      <c r="D1386">
        <v>3</v>
      </c>
      <c r="F1386" s="2">
        <v>46124.612462858793</v>
      </c>
      <c r="G1386" s="3">
        <v>46124</v>
      </c>
      <c r="H1386" t="s">
        <v>125</v>
      </c>
      <c r="I1386">
        <v>14</v>
      </c>
    </row>
    <row r="1387" spans="1:9" x14ac:dyDescent="0.2">
      <c r="A1387" s="18" t="s">
        <v>1616</v>
      </c>
      <c r="B1387" s="18" t="s">
        <v>10</v>
      </c>
      <c r="C1387" s="2">
        <v>46124.919657708335</v>
      </c>
      <c r="D1387">
        <v>575</v>
      </c>
      <c r="E1387" s="7" t="s">
        <v>301</v>
      </c>
      <c r="F1387" s="2">
        <v>46124.627991041663</v>
      </c>
      <c r="G1387" s="3">
        <v>46124</v>
      </c>
      <c r="H1387" t="s">
        <v>125</v>
      </c>
      <c r="I1387">
        <v>15</v>
      </c>
    </row>
    <row r="1388" spans="1:9" x14ac:dyDescent="0.2">
      <c r="A1388" s="18" t="s">
        <v>1617</v>
      </c>
      <c r="B1388" s="18" t="s">
        <v>10</v>
      </c>
      <c r="C1388" s="2">
        <v>46124.920705046294</v>
      </c>
      <c r="D1388">
        <v>575</v>
      </c>
      <c r="E1388" s="7" t="s">
        <v>1618</v>
      </c>
      <c r="F1388" s="2">
        <v>46124.629038379629</v>
      </c>
      <c r="G1388" s="3">
        <v>46124</v>
      </c>
      <c r="H1388" t="s">
        <v>125</v>
      </c>
      <c r="I1388">
        <v>15</v>
      </c>
    </row>
    <row r="1389" spans="1:9" x14ac:dyDescent="0.2">
      <c r="A1389" s="18" t="s">
        <v>1619</v>
      </c>
      <c r="B1389" s="18" t="s">
        <v>10</v>
      </c>
      <c r="C1389" s="2">
        <v>46125.225482060188</v>
      </c>
      <c r="D1389">
        <v>530</v>
      </c>
      <c r="E1389" s="7" t="s">
        <v>34</v>
      </c>
      <c r="F1389" s="2">
        <v>46124.933815393517</v>
      </c>
      <c r="G1389" s="3">
        <v>46124</v>
      </c>
      <c r="H1389" t="s">
        <v>125</v>
      </c>
      <c r="I1389">
        <v>22</v>
      </c>
    </row>
    <row r="1390" spans="1:9" x14ac:dyDescent="0.2">
      <c r="A1390" s="18" t="s">
        <v>1620</v>
      </c>
      <c r="B1390" s="18" t="s">
        <v>10</v>
      </c>
      <c r="C1390" s="2">
        <v>46125.293600023149</v>
      </c>
      <c r="D1390">
        <v>530</v>
      </c>
      <c r="E1390" s="7" t="s">
        <v>34</v>
      </c>
      <c r="F1390" s="2">
        <v>46125.001933356485</v>
      </c>
      <c r="G1390" s="3">
        <v>46125</v>
      </c>
      <c r="H1390" t="s">
        <v>11</v>
      </c>
      <c r="I1390">
        <v>0</v>
      </c>
    </row>
    <row r="1391" spans="1:9" x14ac:dyDescent="0.2">
      <c r="A1391" s="18" t="s">
        <v>1621</v>
      </c>
      <c r="B1391" s="18" t="s">
        <v>10</v>
      </c>
      <c r="C1391" s="2">
        <v>46125.569838449075</v>
      </c>
      <c r="D1391">
        <v>36</v>
      </c>
      <c r="F1391" s="2">
        <v>46125.278171782411</v>
      </c>
      <c r="G1391" s="3">
        <v>46125</v>
      </c>
      <c r="H1391" t="s">
        <v>11</v>
      </c>
      <c r="I1391">
        <v>6</v>
      </c>
    </row>
    <row r="1392" spans="1:9" x14ac:dyDescent="0.2">
      <c r="A1392" s="18" t="s">
        <v>1622</v>
      </c>
      <c r="B1392" s="18" t="s">
        <v>10</v>
      </c>
      <c r="C1392" s="2">
        <v>46125.683312557871</v>
      </c>
      <c r="D1392">
        <v>1</v>
      </c>
      <c r="F1392" s="2">
        <v>46125.391645891206</v>
      </c>
      <c r="G1392" s="3">
        <v>46125</v>
      </c>
      <c r="H1392" t="s">
        <v>11</v>
      </c>
      <c r="I1392">
        <v>9</v>
      </c>
    </row>
    <row r="1393" spans="1:9" x14ac:dyDescent="0.2">
      <c r="A1393" s="18" t="s">
        <v>1623</v>
      </c>
      <c r="B1393" s="18" t="s">
        <v>10</v>
      </c>
      <c r="C1393" s="2">
        <v>46125.704869340276</v>
      </c>
      <c r="D1393">
        <v>3</v>
      </c>
      <c r="F1393" s="2">
        <v>46125.413202673612</v>
      </c>
      <c r="G1393" s="3">
        <v>46125</v>
      </c>
      <c r="H1393" t="s">
        <v>11</v>
      </c>
      <c r="I1393">
        <v>9</v>
      </c>
    </row>
    <row r="1394" spans="1:9" x14ac:dyDescent="0.2">
      <c r="A1394" s="18" t="s">
        <v>1624</v>
      </c>
      <c r="B1394" s="18" t="s">
        <v>10</v>
      </c>
      <c r="C1394" s="2">
        <v>46125.707635601852</v>
      </c>
      <c r="D1394">
        <v>575</v>
      </c>
      <c r="E1394" s="7" t="s">
        <v>1625</v>
      </c>
      <c r="F1394" s="2">
        <v>46125.415968935187</v>
      </c>
      <c r="G1394" s="3">
        <v>46125</v>
      </c>
      <c r="H1394" t="s">
        <v>11</v>
      </c>
      <c r="I1394">
        <v>9</v>
      </c>
    </row>
    <row r="1395" spans="1:9" x14ac:dyDescent="0.2">
      <c r="A1395" s="18" t="s">
        <v>1626</v>
      </c>
      <c r="B1395" s="18" t="s">
        <v>10</v>
      </c>
      <c r="C1395" s="2">
        <v>46125.707966793983</v>
      </c>
      <c r="D1395">
        <v>3</v>
      </c>
      <c r="E1395" s="7" t="s">
        <v>874</v>
      </c>
      <c r="F1395" s="2">
        <v>46125.416300127312</v>
      </c>
      <c r="G1395" s="3">
        <v>46125</v>
      </c>
      <c r="H1395" t="s">
        <v>11</v>
      </c>
      <c r="I1395">
        <v>9</v>
      </c>
    </row>
    <row r="1396" spans="1:9" x14ac:dyDescent="0.2">
      <c r="A1396" s="18" t="s">
        <v>1627</v>
      </c>
      <c r="B1396" s="18" t="s">
        <v>10</v>
      </c>
      <c r="C1396" s="2">
        <v>46125.707998425925</v>
      </c>
      <c r="D1396">
        <v>2</v>
      </c>
      <c r="F1396" s="2">
        <v>46125.416331759261</v>
      </c>
      <c r="G1396" s="3">
        <v>46125</v>
      </c>
      <c r="H1396" t="s">
        <v>11</v>
      </c>
      <c r="I1396">
        <v>9</v>
      </c>
    </row>
    <row r="1397" spans="1:9" x14ac:dyDescent="0.2">
      <c r="A1397" s="18" t="s">
        <v>1628</v>
      </c>
      <c r="B1397" s="18" t="s">
        <v>10</v>
      </c>
      <c r="C1397" s="2">
        <v>46125.709984386573</v>
      </c>
      <c r="D1397">
        <v>5</v>
      </c>
      <c r="E1397" s="7" t="s">
        <v>874</v>
      </c>
      <c r="F1397" s="2">
        <v>46125.418317719908</v>
      </c>
      <c r="G1397" s="3">
        <v>46125</v>
      </c>
      <c r="H1397" t="s">
        <v>11</v>
      </c>
      <c r="I1397">
        <v>10</v>
      </c>
    </row>
    <row r="1398" spans="1:9" x14ac:dyDescent="0.2">
      <c r="A1398" s="18" t="s">
        <v>1629</v>
      </c>
      <c r="B1398" s="18" t="s">
        <v>10</v>
      </c>
      <c r="C1398" s="2">
        <v>46125.711008217593</v>
      </c>
      <c r="D1398">
        <v>575</v>
      </c>
      <c r="E1398" s="7" t="s">
        <v>1625</v>
      </c>
      <c r="F1398" s="2">
        <v>46125.419341550929</v>
      </c>
      <c r="G1398" s="3">
        <v>46125</v>
      </c>
      <c r="H1398" t="s">
        <v>11</v>
      </c>
      <c r="I1398">
        <v>10</v>
      </c>
    </row>
    <row r="1399" spans="1:9" x14ac:dyDescent="0.2">
      <c r="A1399" s="18" t="s">
        <v>1630</v>
      </c>
      <c r="B1399" s="18" t="s">
        <v>10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11</v>
      </c>
      <c r="I1399">
        <v>10</v>
      </c>
    </row>
    <row r="1400" spans="1:9" x14ac:dyDescent="0.2">
      <c r="A1400" s="18" t="s">
        <v>1631</v>
      </c>
      <c r="B1400" s="18" t="s">
        <v>10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11</v>
      </c>
      <c r="I1400">
        <v>12</v>
      </c>
    </row>
    <row r="1401" spans="1:9" x14ac:dyDescent="0.2">
      <c r="A1401" s="18" t="s">
        <v>1632</v>
      </c>
      <c r="B1401" s="18" t="s">
        <v>10</v>
      </c>
      <c r="C1401" s="2">
        <v>46125.875498703703</v>
      </c>
      <c r="D1401">
        <v>530</v>
      </c>
      <c r="E1401" s="7" t="s">
        <v>34</v>
      </c>
      <c r="F1401" s="2">
        <v>46125.583832037039</v>
      </c>
      <c r="G1401" s="3">
        <v>46125</v>
      </c>
      <c r="H1401" t="s">
        <v>11</v>
      </c>
      <c r="I1401">
        <v>14</v>
      </c>
    </row>
    <row r="1402" spans="1:9" x14ac:dyDescent="0.2">
      <c r="A1402" s="18" t="s">
        <v>1633</v>
      </c>
      <c r="B1402" s="18" t="s">
        <v>10</v>
      </c>
      <c r="C1402" s="2">
        <v>46126.160866111109</v>
      </c>
      <c r="D1402">
        <v>3</v>
      </c>
      <c r="F1402" s="2">
        <v>46125.869199444445</v>
      </c>
      <c r="G1402" s="3">
        <v>46125</v>
      </c>
      <c r="H1402" t="s">
        <v>11</v>
      </c>
      <c r="I1402">
        <v>20</v>
      </c>
    </row>
    <row r="1403" spans="1:9" x14ac:dyDescent="0.2">
      <c r="A1403" s="18" t="s">
        <v>1634</v>
      </c>
      <c r="B1403" s="18" t="s">
        <v>10</v>
      </c>
      <c r="C1403" s="2">
        <v>46126.191272974538</v>
      </c>
      <c r="D1403">
        <v>3</v>
      </c>
      <c r="F1403" s="2">
        <v>46125.899606307874</v>
      </c>
      <c r="G1403" s="3">
        <v>46125</v>
      </c>
      <c r="H1403" t="s">
        <v>11</v>
      </c>
      <c r="I1403">
        <v>21</v>
      </c>
    </row>
    <row r="1404" spans="1:9" x14ac:dyDescent="0.2">
      <c r="A1404" s="18" t="s">
        <v>1635</v>
      </c>
      <c r="B1404" s="18" t="s">
        <v>10</v>
      </c>
      <c r="C1404" s="2">
        <v>46126.432469502317</v>
      </c>
      <c r="D1404">
        <v>35</v>
      </c>
      <c r="F1404" s="2">
        <v>46126.140802835645</v>
      </c>
      <c r="G1404" s="3">
        <v>46126</v>
      </c>
      <c r="H1404" t="s">
        <v>28</v>
      </c>
      <c r="I1404">
        <v>3</v>
      </c>
    </row>
    <row r="1405" spans="1:9" x14ac:dyDescent="0.2">
      <c r="A1405" s="18" t="s">
        <v>1636</v>
      </c>
      <c r="B1405" s="18" t="s">
        <v>10</v>
      </c>
      <c r="C1405" s="2">
        <v>46126.478776620374</v>
      </c>
      <c r="D1405">
        <v>3</v>
      </c>
      <c r="E1405" s="7" t="s">
        <v>367</v>
      </c>
      <c r="F1405" s="2">
        <v>46126.187109953702</v>
      </c>
      <c r="G1405" s="3">
        <v>46126</v>
      </c>
      <c r="H1405" t="s">
        <v>28</v>
      </c>
      <c r="I1405">
        <v>4</v>
      </c>
    </row>
    <row r="1406" spans="1:9" x14ac:dyDescent="0.2">
      <c r="A1406" s="18" t="s">
        <v>1637</v>
      </c>
      <c r="B1406" s="18" t="s">
        <v>10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28</v>
      </c>
      <c r="I1406">
        <v>4</v>
      </c>
    </row>
    <row r="1407" spans="1:9" x14ac:dyDescent="0.2">
      <c r="A1407" s="18" t="s">
        <v>1638</v>
      </c>
      <c r="B1407" s="18" t="s">
        <v>10</v>
      </c>
      <c r="C1407" s="2">
        <v>46126.515793067127</v>
      </c>
      <c r="D1407">
        <v>3</v>
      </c>
      <c r="E1407" s="7" t="s">
        <v>367</v>
      </c>
      <c r="F1407" s="2">
        <v>46126.224126400462</v>
      </c>
      <c r="G1407" s="3">
        <v>46126</v>
      </c>
      <c r="H1407" t="s">
        <v>28</v>
      </c>
      <c r="I1407">
        <v>5</v>
      </c>
    </row>
    <row r="1408" spans="1:9" x14ac:dyDescent="0.2">
      <c r="A1408" s="18" t="s">
        <v>1639</v>
      </c>
      <c r="B1408" s="18" t="s">
        <v>10</v>
      </c>
      <c r="C1408" s="2">
        <v>46126.544167824075</v>
      </c>
      <c r="D1408">
        <v>575</v>
      </c>
      <c r="E1408" s="7" t="s">
        <v>582</v>
      </c>
      <c r="F1408" s="2">
        <v>46126.252501157411</v>
      </c>
      <c r="G1408" s="3">
        <v>46126</v>
      </c>
      <c r="H1408" t="s">
        <v>28</v>
      </c>
      <c r="I1408">
        <v>6</v>
      </c>
    </row>
    <row r="1409" spans="1:9" x14ac:dyDescent="0.2">
      <c r="A1409" s="18" t="s">
        <v>1640</v>
      </c>
      <c r="B1409" s="18" t="s">
        <v>10</v>
      </c>
      <c r="C1409" s="2">
        <v>46126.576672615738</v>
      </c>
      <c r="D1409">
        <v>3</v>
      </c>
      <c r="F1409" s="2">
        <v>46126.285005949074</v>
      </c>
      <c r="G1409" s="3">
        <v>46126</v>
      </c>
      <c r="H1409" t="s">
        <v>28</v>
      </c>
      <c r="I1409">
        <v>6</v>
      </c>
    </row>
    <row r="1410" spans="1:9" x14ac:dyDescent="0.2">
      <c r="A1410" s="18" t="s">
        <v>1641</v>
      </c>
      <c r="B1410" s="18" t="s">
        <v>10</v>
      </c>
      <c r="C1410" s="2">
        <v>46126.577712638886</v>
      </c>
      <c r="D1410">
        <v>3</v>
      </c>
      <c r="F1410" s="2">
        <v>46126.286045972221</v>
      </c>
      <c r="G1410" s="3">
        <v>46126</v>
      </c>
      <c r="H1410" t="s">
        <v>28</v>
      </c>
      <c r="I1410">
        <v>6</v>
      </c>
    </row>
    <row r="1411" spans="1:9" x14ac:dyDescent="0.2">
      <c r="A1411" s="18" t="s">
        <v>1642</v>
      </c>
      <c r="B1411" s="18" t="s">
        <v>10</v>
      </c>
      <c r="C1411" s="2">
        <v>46126.57977935185</v>
      </c>
      <c r="D1411">
        <v>2</v>
      </c>
      <c r="F1411" s="2">
        <v>46126.288112685186</v>
      </c>
      <c r="G1411" s="3">
        <v>46126</v>
      </c>
      <c r="H1411" t="s">
        <v>28</v>
      </c>
      <c r="I1411">
        <v>6</v>
      </c>
    </row>
    <row r="1412" spans="1:9" x14ac:dyDescent="0.2">
      <c r="A1412" s="18" t="s">
        <v>1643</v>
      </c>
      <c r="B1412" s="18" t="s">
        <v>10</v>
      </c>
      <c r="C1412" s="2">
        <v>46126.582094120371</v>
      </c>
      <c r="D1412">
        <v>3</v>
      </c>
      <c r="E1412" s="7" t="s">
        <v>60</v>
      </c>
      <c r="F1412" s="2">
        <v>46126.290427453707</v>
      </c>
      <c r="G1412" s="3">
        <v>46126</v>
      </c>
      <c r="H1412" t="s">
        <v>28</v>
      </c>
      <c r="I1412">
        <v>6</v>
      </c>
    </row>
    <row r="1413" spans="1:9" x14ac:dyDescent="0.2">
      <c r="A1413" s="18" t="s">
        <v>1644</v>
      </c>
      <c r="B1413" s="18" t="s">
        <v>10</v>
      </c>
      <c r="C1413" s="2">
        <v>46126.583381886572</v>
      </c>
      <c r="D1413">
        <v>3</v>
      </c>
      <c r="E1413" s="7" t="s">
        <v>60</v>
      </c>
      <c r="F1413" s="2">
        <v>46126.291715219908</v>
      </c>
      <c r="G1413" s="3">
        <v>46126</v>
      </c>
      <c r="H1413" t="s">
        <v>28</v>
      </c>
      <c r="I1413">
        <v>7</v>
      </c>
    </row>
    <row r="1414" spans="1:9" x14ac:dyDescent="0.2">
      <c r="A1414" s="18" t="s">
        <v>1645</v>
      </c>
      <c r="B1414" s="18" t="s">
        <v>10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28</v>
      </c>
      <c r="I1414">
        <v>7</v>
      </c>
    </row>
    <row r="1415" spans="1:9" x14ac:dyDescent="0.2">
      <c r="A1415" s="18" t="s">
        <v>1646</v>
      </c>
      <c r="B1415" s="18" t="s">
        <v>10</v>
      </c>
      <c r="C1415" s="2">
        <v>46126.614789282408</v>
      </c>
      <c r="D1415">
        <v>35</v>
      </c>
      <c r="E1415" s="7" t="s">
        <v>1647</v>
      </c>
      <c r="F1415" s="2">
        <v>46126.323122615744</v>
      </c>
      <c r="G1415" s="3">
        <v>46126</v>
      </c>
      <c r="H1415" t="s">
        <v>28</v>
      </c>
      <c r="I1415">
        <v>7</v>
      </c>
    </row>
    <row r="1416" spans="1:9" x14ac:dyDescent="0.2">
      <c r="A1416" s="18" t="s">
        <v>1648</v>
      </c>
      <c r="B1416" s="18" t="s">
        <v>10</v>
      </c>
      <c r="C1416" s="2">
        <v>46126.625917662037</v>
      </c>
      <c r="D1416">
        <v>3</v>
      </c>
      <c r="E1416" s="7" t="s">
        <v>367</v>
      </c>
      <c r="F1416" s="2">
        <v>46126.334250995373</v>
      </c>
      <c r="G1416" s="3">
        <v>46126</v>
      </c>
      <c r="H1416" t="s">
        <v>28</v>
      </c>
      <c r="I1416">
        <v>8</v>
      </c>
    </row>
    <row r="1417" spans="1:9" x14ac:dyDescent="0.2">
      <c r="A1417" s="18" t="s">
        <v>1649</v>
      </c>
      <c r="B1417" s="18" t="s">
        <v>10</v>
      </c>
      <c r="C1417" s="2">
        <v>46126.634106215279</v>
      </c>
      <c r="D1417">
        <v>3</v>
      </c>
      <c r="F1417" s="2">
        <v>46126.342439548614</v>
      </c>
      <c r="G1417" s="3">
        <v>46126</v>
      </c>
      <c r="H1417" t="s">
        <v>28</v>
      </c>
      <c r="I1417">
        <v>8</v>
      </c>
    </row>
    <row r="1418" spans="1:9" x14ac:dyDescent="0.2">
      <c r="A1418" s="18" t="s">
        <v>1650</v>
      </c>
      <c r="B1418" s="18" t="s">
        <v>10</v>
      </c>
      <c r="C1418" s="2">
        <v>46126.737149699075</v>
      </c>
      <c r="D1418">
        <v>575</v>
      </c>
      <c r="F1418" s="2">
        <v>46126.44548303241</v>
      </c>
      <c r="G1418" s="3">
        <v>46126</v>
      </c>
      <c r="H1418" t="s">
        <v>28</v>
      </c>
      <c r="I1418">
        <v>10</v>
      </c>
    </row>
    <row r="1419" spans="1:9" x14ac:dyDescent="0.2">
      <c r="A1419" s="18" t="s">
        <v>1651</v>
      </c>
      <c r="B1419" s="18" t="s">
        <v>10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28</v>
      </c>
      <c r="I1419">
        <v>11</v>
      </c>
    </row>
    <row r="1420" spans="1:9" x14ac:dyDescent="0.2">
      <c r="A1420" s="18" t="s">
        <v>1652</v>
      </c>
      <c r="B1420" s="18" t="s">
        <v>10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28</v>
      </c>
      <c r="I1420">
        <v>12</v>
      </c>
    </row>
    <row r="1421" spans="1:9" x14ac:dyDescent="0.2">
      <c r="A1421" s="18" t="s">
        <v>1653</v>
      </c>
      <c r="B1421" s="18" t="s">
        <v>10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28</v>
      </c>
      <c r="I1421">
        <v>12</v>
      </c>
    </row>
    <row r="1422" spans="1:9" x14ac:dyDescent="0.2">
      <c r="A1422" s="18" t="s">
        <v>1654</v>
      </c>
      <c r="B1422" s="18" t="s">
        <v>10</v>
      </c>
      <c r="C1422" s="2">
        <v>46126.808019386575</v>
      </c>
      <c r="D1422">
        <v>3</v>
      </c>
      <c r="F1422" s="2">
        <v>46126.516352719904</v>
      </c>
      <c r="G1422" s="3">
        <v>46126</v>
      </c>
      <c r="H1422" t="s">
        <v>28</v>
      </c>
      <c r="I1422">
        <v>12</v>
      </c>
    </row>
    <row r="1423" spans="1:9" x14ac:dyDescent="0.2">
      <c r="A1423" s="18" t="s">
        <v>1655</v>
      </c>
      <c r="B1423" s="18" t="s">
        <v>10</v>
      </c>
      <c r="C1423" s="2">
        <v>46126.809077858794</v>
      </c>
      <c r="D1423">
        <v>573</v>
      </c>
      <c r="E1423" s="7" t="s">
        <v>1656</v>
      </c>
      <c r="F1423" s="2">
        <v>46126.51741119213</v>
      </c>
      <c r="G1423" s="3">
        <v>46126</v>
      </c>
      <c r="H1423" t="s">
        <v>28</v>
      </c>
      <c r="I1423">
        <v>12</v>
      </c>
    </row>
    <row r="1424" spans="1:9" x14ac:dyDescent="0.2">
      <c r="A1424" s="18" t="s">
        <v>1657</v>
      </c>
      <c r="B1424" s="18" t="s">
        <v>10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28</v>
      </c>
      <c r="I1424">
        <v>12</v>
      </c>
    </row>
    <row r="1425" spans="1:9" x14ac:dyDescent="0.2">
      <c r="A1425" s="18" t="s">
        <v>1658</v>
      </c>
      <c r="B1425" s="18" t="s">
        <v>10</v>
      </c>
      <c r="C1425" s="2">
        <v>46126.881059652776</v>
      </c>
      <c r="D1425">
        <v>528</v>
      </c>
      <c r="E1425" s="7" t="s">
        <v>34</v>
      </c>
      <c r="F1425" s="2">
        <v>46126.589392986112</v>
      </c>
      <c r="G1425" s="3">
        <v>46126</v>
      </c>
      <c r="H1425" t="s">
        <v>28</v>
      </c>
      <c r="I1425">
        <v>14</v>
      </c>
    </row>
    <row r="1426" spans="1:9" x14ac:dyDescent="0.2">
      <c r="A1426" s="18" t="s">
        <v>1659</v>
      </c>
      <c r="B1426" s="18" t="s">
        <v>10</v>
      </c>
      <c r="C1426" s="2">
        <v>46127.17746363426</v>
      </c>
      <c r="D1426">
        <v>3</v>
      </c>
      <c r="F1426" s="2">
        <v>46126.885796967596</v>
      </c>
      <c r="G1426" s="3">
        <v>46126</v>
      </c>
      <c r="H1426" t="s">
        <v>28</v>
      </c>
      <c r="I1426">
        <v>21</v>
      </c>
    </row>
    <row r="1427" spans="1:9" x14ac:dyDescent="0.2">
      <c r="A1427" s="18" t="s">
        <v>1660</v>
      </c>
      <c r="B1427" s="18" t="s">
        <v>10</v>
      </c>
      <c r="C1427" s="2">
        <v>46127.49086690972</v>
      </c>
      <c r="D1427">
        <v>3</v>
      </c>
      <c r="E1427" s="7" t="s">
        <v>305</v>
      </c>
      <c r="F1427" s="2">
        <v>46127.199200243056</v>
      </c>
      <c r="G1427" s="3">
        <v>46127</v>
      </c>
      <c r="H1427" t="s">
        <v>63</v>
      </c>
      <c r="I1427">
        <v>4</v>
      </c>
    </row>
    <row r="1428" spans="1:9" x14ac:dyDescent="0.2">
      <c r="A1428" s="18" t="s">
        <v>1661</v>
      </c>
      <c r="B1428" s="18" t="s">
        <v>10</v>
      </c>
      <c r="C1428" s="2">
        <v>46127.536696724535</v>
      </c>
      <c r="D1428">
        <v>528</v>
      </c>
      <c r="F1428" s="2">
        <v>46127.245030057871</v>
      </c>
      <c r="G1428" s="3">
        <v>46127</v>
      </c>
      <c r="H1428" t="s">
        <v>63</v>
      </c>
      <c r="I1428">
        <v>5</v>
      </c>
    </row>
    <row r="1429" spans="1:9" x14ac:dyDescent="0.2">
      <c r="A1429" s="18" t="s">
        <v>1662</v>
      </c>
      <c r="B1429" s="18" t="s">
        <v>10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63</v>
      </c>
      <c r="I1429">
        <v>6</v>
      </c>
    </row>
    <row r="1430" spans="1:9" x14ac:dyDescent="0.2">
      <c r="A1430" s="18" t="s">
        <v>1663</v>
      </c>
      <c r="B1430" s="18" t="s">
        <v>10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63</v>
      </c>
      <c r="I1430">
        <v>7</v>
      </c>
    </row>
    <row r="1431" spans="1:9" x14ac:dyDescent="0.2">
      <c r="A1431" s="18" t="s">
        <v>1664</v>
      </c>
      <c r="B1431" s="18" t="s">
        <v>10</v>
      </c>
      <c r="C1431" s="2">
        <v>46127.600343819446</v>
      </c>
      <c r="D1431">
        <v>573</v>
      </c>
      <c r="F1431" s="2">
        <v>46127.308677152774</v>
      </c>
      <c r="G1431" s="3">
        <v>46127</v>
      </c>
      <c r="H1431" t="s">
        <v>63</v>
      </c>
      <c r="I1431">
        <v>7</v>
      </c>
    </row>
    <row r="1432" spans="1:9" x14ac:dyDescent="0.2">
      <c r="A1432" s="18" t="s">
        <v>1665</v>
      </c>
      <c r="B1432" s="18" t="s">
        <v>10</v>
      </c>
      <c r="C1432" s="2">
        <v>46127.606618530095</v>
      </c>
      <c r="D1432">
        <v>528</v>
      </c>
      <c r="F1432" s="2">
        <v>46127.314951863424</v>
      </c>
      <c r="G1432" s="3">
        <v>46127</v>
      </c>
      <c r="H1432" t="s">
        <v>63</v>
      </c>
      <c r="I1432">
        <v>7</v>
      </c>
    </row>
    <row r="1433" spans="1:9" x14ac:dyDescent="0.2">
      <c r="A1433" s="18" t="s">
        <v>1666</v>
      </c>
      <c r="B1433" s="18" t="s">
        <v>10</v>
      </c>
      <c r="C1433" s="2">
        <v>46127.77274270833</v>
      </c>
      <c r="D1433">
        <v>528</v>
      </c>
      <c r="F1433" s="2">
        <v>46127.481076041666</v>
      </c>
      <c r="G1433" s="3">
        <v>46127</v>
      </c>
      <c r="H1433" t="s">
        <v>63</v>
      </c>
      <c r="I1433">
        <v>11</v>
      </c>
    </row>
    <row r="1434" spans="1:9" x14ac:dyDescent="0.2">
      <c r="A1434" s="18" t="s">
        <v>1667</v>
      </c>
      <c r="B1434" s="18" t="s">
        <v>10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63</v>
      </c>
      <c r="I1434">
        <v>12</v>
      </c>
    </row>
    <row r="1435" spans="1:9" x14ac:dyDescent="0.2">
      <c r="A1435" s="18" t="s">
        <v>1668</v>
      </c>
      <c r="B1435" s="18" t="s">
        <v>10</v>
      </c>
      <c r="C1435" s="2">
        <v>46127.852757708337</v>
      </c>
      <c r="D1435">
        <v>3</v>
      </c>
      <c r="F1435" s="2">
        <v>46127.561091041665</v>
      </c>
      <c r="G1435" s="3">
        <v>46127</v>
      </c>
      <c r="H1435" t="s">
        <v>63</v>
      </c>
      <c r="I1435">
        <v>13</v>
      </c>
    </row>
    <row r="1436" spans="1:9" x14ac:dyDescent="0.2">
      <c r="A1436" s="18" t="s">
        <v>1669</v>
      </c>
      <c r="B1436" s="18" t="s">
        <v>10</v>
      </c>
      <c r="C1436" s="2">
        <v>46127.883617025465</v>
      </c>
      <c r="D1436">
        <v>2</v>
      </c>
      <c r="E1436" s="7" t="s">
        <v>1670</v>
      </c>
      <c r="F1436" s="2">
        <v>46127.591950358794</v>
      </c>
      <c r="G1436" s="3">
        <v>46127</v>
      </c>
      <c r="H1436" t="s">
        <v>63</v>
      </c>
      <c r="I1436">
        <v>14</v>
      </c>
    </row>
    <row r="1437" spans="1:9" x14ac:dyDescent="0.2">
      <c r="A1437" s="18" t="s">
        <v>1671</v>
      </c>
      <c r="B1437" s="18" t="s">
        <v>10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63</v>
      </c>
      <c r="I1437">
        <v>15</v>
      </c>
    </row>
    <row r="1438" spans="1:9" x14ac:dyDescent="0.2">
      <c r="A1438" s="18" t="s">
        <v>1672</v>
      </c>
      <c r="B1438" s="18" t="s">
        <v>10</v>
      </c>
      <c r="C1438" s="2">
        <v>46128.407788020835</v>
      </c>
      <c r="D1438">
        <v>528</v>
      </c>
      <c r="F1438" s="2">
        <v>46128.116121354164</v>
      </c>
      <c r="G1438" s="3">
        <v>46128</v>
      </c>
      <c r="H1438" t="s">
        <v>95</v>
      </c>
      <c r="I1438">
        <v>2</v>
      </c>
    </row>
    <row r="1439" spans="1:9" x14ac:dyDescent="0.2">
      <c r="A1439" s="18" t="s">
        <v>1673</v>
      </c>
      <c r="B1439" s="18" t="s">
        <v>10</v>
      </c>
      <c r="C1439" s="2">
        <v>46128.508834548615</v>
      </c>
      <c r="D1439">
        <v>528</v>
      </c>
      <c r="F1439" s="2">
        <v>46128.217167881943</v>
      </c>
      <c r="G1439" s="3">
        <v>46128</v>
      </c>
      <c r="H1439" t="s">
        <v>95</v>
      </c>
      <c r="I1439">
        <v>5</v>
      </c>
    </row>
    <row r="1440" spans="1:9" x14ac:dyDescent="0.2">
      <c r="A1440" s="18" t="s">
        <v>1674</v>
      </c>
      <c r="B1440" s="18" t="s">
        <v>10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95</v>
      </c>
      <c r="I1440">
        <v>7</v>
      </c>
    </row>
    <row r="1441" spans="1:9" x14ac:dyDescent="0.2">
      <c r="A1441" s="18" t="s">
        <v>1675</v>
      </c>
      <c r="B1441" s="18" t="s">
        <v>10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95</v>
      </c>
      <c r="I1441">
        <v>8</v>
      </c>
    </row>
    <row r="1442" spans="1:9" x14ac:dyDescent="0.2">
      <c r="A1442" s="18" t="s">
        <v>1676</v>
      </c>
      <c r="B1442" s="18" t="s">
        <v>10</v>
      </c>
      <c r="C1442" s="2">
        <v>46128.65069505787</v>
      </c>
      <c r="D1442">
        <v>528</v>
      </c>
      <c r="F1442" s="2">
        <v>46128.359028391205</v>
      </c>
      <c r="G1442" s="3">
        <v>46128</v>
      </c>
      <c r="H1442" t="s">
        <v>95</v>
      </c>
      <c r="I1442">
        <v>8</v>
      </c>
    </row>
    <row r="1443" spans="1:9" x14ac:dyDescent="0.2">
      <c r="A1443" s="18" t="s">
        <v>1677</v>
      </c>
      <c r="B1443" s="18" t="s">
        <v>10</v>
      </c>
      <c r="C1443" s="2">
        <v>46128.658374456019</v>
      </c>
      <c r="D1443">
        <v>35</v>
      </c>
      <c r="F1443" s="2">
        <v>46128.366707789355</v>
      </c>
      <c r="G1443" s="3">
        <v>46128</v>
      </c>
      <c r="H1443" t="s">
        <v>95</v>
      </c>
      <c r="I1443">
        <v>8</v>
      </c>
    </row>
    <row r="1444" spans="1:9" x14ac:dyDescent="0.2">
      <c r="A1444" s="18" t="s">
        <v>1678</v>
      </c>
      <c r="B1444" s="18" t="s">
        <v>10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95</v>
      </c>
      <c r="I1444">
        <v>9</v>
      </c>
    </row>
    <row r="1445" spans="1:9" x14ac:dyDescent="0.2">
      <c r="A1445" s="18" t="s">
        <v>1679</v>
      </c>
      <c r="B1445" s="18" t="s">
        <v>10</v>
      </c>
      <c r="C1445" s="2">
        <v>46128.775658900464</v>
      </c>
      <c r="D1445">
        <v>3</v>
      </c>
      <c r="F1445" s="2">
        <v>46128.4839922338</v>
      </c>
      <c r="G1445" s="3">
        <v>46128</v>
      </c>
      <c r="H1445" t="s">
        <v>95</v>
      </c>
      <c r="I1445">
        <v>11</v>
      </c>
    </row>
    <row r="1446" spans="1:9" x14ac:dyDescent="0.2">
      <c r="A1446" s="18" t="s">
        <v>1680</v>
      </c>
      <c r="B1446" s="18" t="s">
        <v>10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95</v>
      </c>
      <c r="I1446">
        <v>12</v>
      </c>
    </row>
    <row r="1447" spans="1:9" x14ac:dyDescent="0.2">
      <c r="A1447" s="18" t="s">
        <v>1681</v>
      </c>
      <c r="B1447" s="18" t="s">
        <v>10</v>
      </c>
      <c r="C1447" s="2">
        <v>46129.311378634258</v>
      </c>
      <c r="D1447">
        <v>3</v>
      </c>
      <c r="F1447" s="2">
        <v>46129.019711967594</v>
      </c>
      <c r="G1447" s="3">
        <v>46129</v>
      </c>
      <c r="H1447" t="s">
        <v>115</v>
      </c>
      <c r="I1447">
        <v>0</v>
      </c>
    </row>
    <row r="1448" spans="1:9" x14ac:dyDescent="0.2">
      <c r="A1448" s="18" t="s">
        <v>1682</v>
      </c>
      <c r="B1448" s="18" t="s">
        <v>10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115</v>
      </c>
      <c r="I1448">
        <v>0</v>
      </c>
    </row>
    <row r="1449" spans="1:9" x14ac:dyDescent="0.2">
      <c r="A1449" s="18" t="s">
        <v>1683</v>
      </c>
      <c r="B1449" s="18" t="s">
        <v>10</v>
      </c>
      <c r="C1449" s="2">
        <v>46129.325826168984</v>
      </c>
      <c r="D1449">
        <v>3</v>
      </c>
      <c r="F1449" s="2">
        <v>46129.034159502313</v>
      </c>
      <c r="G1449" s="3">
        <v>46129</v>
      </c>
      <c r="H1449" t="s">
        <v>115</v>
      </c>
      <c r="I1449">
        <v>0</v>
      </c>
    </row>
    <row r="1450" spans="1:9" x14ac:dyDescent="0.2">
      <c r="A1450" s="18" t="s">
        <v>1684</v>
      </c>
      <c r="B1450" s="18" t="s">
        <v>10</v>
      </c>
      <c r="C1450" s="2">
        <v>46129.35955439815</v>
      </c>
      <c r="D1450">
        <v>3</v>
      </c>
      <c r="E1450" s="7" t="s">
        <v>1685</v>
      </c>
      <c r="F1450" s="2">
        <v>46129.067887731479</v>
      </c>
      <c r="G1450" s="3">
        <v>46129</v>
      </c>
      <c r="H1450" t="s">
        <v>115</v>
      </c>
      <c r="I1450">
        <v>1</v>
      </c>
    </row>
    <row r="1451" spans="1:9" x14ac:dyDescent="0.2">
      <c r="A1451" s="18" t="s">
        <v>1686</v>
      </c>
      <c r="B1451" s="18" t="s">
        <v>10</v>
      </c>
      <c r="C1451" s="2">
        <v>46129.371329062502</v>
      </c>
      <c r="D1451">
        <v>573</v>
      </c>
      <c r="E1451" s="7" t="s">
        <v>582</v>
      </c>
      <c r="F1451" s="2">
        <v>46129.07966239583</v>
      </c>
      <c r="G1451" s="3">
        <v>46129</v>
      </c>
      <c r="H1451" t="s">
        <v>115</v>
      </c>
      <c r="I1451">
        <v>1</v>
      </c>
    </row>
    <row r="1452" spans="1:9" x14ac:dyDescent="0.2">
      <c r="A1452" s="18" t="s">
        <v>1687</v>
      </c>
      <c r="B1452" s="18" t="s">
        <v>10</v>
      </c>
      <c r="C1452" s="2">
        <v>46129.424206979165</v>
      </c>
      <c r="D1452">
        <v>3</v>
      </c>
      <c r="F1452" s="2">
        <v>46129.132540312501</v>
      </c>
      <c r="G1452" s="3">
        <v>46129</v>
      </c>
      <c r="H1452" t="s">
        <v>115</v>
      </c>
      <c r="I1452">
        <v>3</v>
      </c>
    </row>
    <row r="1453" spans="1:9" x14ac:dyDescent="0.2">
      <c r="A1453" s="18" t="s">
        <v>1688</v>
      </c>
      <c r="B1453" s="18" t="s">
        <v>10</v>
      </c>
      <c r="C1453" s="2">
        <v>46129.453493263885</v>
      </c>
      <c r="D1453">
        <v>3</v>
      </c>
      <c r="F1453" s="2">
        <v>46129.161826597221</v>
      </c>
      <c r="G1453" s="3">
        <v>46129</v>
      </c>
      <c r="H1453" t="s">
        <v>115</v>
      </c>
      <c r="I1453">
        <v>3</v>
      </c>
    </row>
    <row r="1454" spans="1:9" x14ac:dyDescent="0.2">
      <c r="A1454" s="18" t="s">
        <v>1689</v>
      </c>
      <c r="B1454" s="18" t="s">
        <v>10</v>
      </c>
      <c r="C1454" s="2">
        <v>46129.494452314815</v>
      </c>
      <c r="D1454">
        <v>3</v>
      </c>
      <c r="E1454" s="7" t="s">
        <v>1417</v>
      </c>
      <c r="F1454" s="2">
        <v>46129.202785648151</v>
      </c>
      <c r="G1454" s="3">
        <v>46129</v>
      </c>
      <c r="H1454" t="s">
        <v>115</v>
      </c>
      <c r="I1454">
        <v>4</v>
      </c>
    </row>
    <row r="1455" spans="1:9" x14ac:dyDescent="0.2">
      <c r="A1455" s="18" t="s">
        <v>1690</v>
      </c>
      <c r="B1455" s="18" t="s">
        <v>10</v>
      </c>
      <c r="C1455" s="2">
        <v>46129.498847893519</v>
      </c>
      <c r="D1455">
        <v>3</v>
      </c>
      <c r="E1455" s="7" t="s">
        <v>768</v>
      </c>
      <c r="F1455" s="2">
        <v>46129.207181226855</v>
      </c>
      <c r="G1455" s="3">
        <v>46129</v>
      </c>
      <c r="H1455" t="s">
        <v>115</v>
      </c>
      <c r="I1455">
        <v>4</v>
      </c>
    </row>
    <row r="1456" spans="1:9" x14ac:dyDescent="0.2">
      <c r="A1456" s="18" t="s">
        <v>1691</v>
      </c>
      <c r="B1456" s="18" t="s">
        <v>10</v>
      </c>
      <c r="C1456" s="2">
        <v>46129.515830648146</v>
      </c>
      <c r="D1456">
        <v>528</v>
      </c>
      <c r="F1456" s="2">
        <v>46129.224163981482</v>
      </c>
      <c r="G1456" s="3">
        <v>46129</v>
      </c>
      <c r="H1456" t="s">
        <v>115</v>
      </c>
      <c r="I1456">
        <v>5</v>
      </c>
    </row>
    <row r="1457" spans="1:9" x14ac:dyDescent="0.2">
      <c r="A1457" s="18" t="s">
        <v>1692</v>
      </c>
      <c r="B1457" s="18" t="s">
        <v>10</v>
      </c>
      <c r="C1457" s="2">
        <v>46129.604970324071</v>
      </c>
      <c r="D1457">
        <v>528</v>
      </c>
      <c r="E1457" s="7" t="s">
        <v>31</v>
      </c>
      <c r="F1457" s="2">
        <v>46129.313303657407</v>
      </c>
      <c r="G1457" s="3">
        <v>46129</v>
      </c>
      <c r="H1457" t="s">
        <v>115</v>
      </c>
      <c r="I1457">
        <v>7</v>
      </c>
    </row>
    <row r="1458" spans="1:9" x14ac:dyDescent="0.2">
      <c r="A1458" s="18" t="s">
        <v>1693</v>
      </c>
      <c r="B1458" s="18" t="s">
        <v>10</v>
      </c>
      <c r="C1458" s="2">
        <v>46129.638420474534</v>
      </c>
      <c r="D1458">
        <v>528</v>
      </c>
      <c r="E1458" s="7" t="s">
        <v>31</v>
      </c>
      <c r="F1458" s="2">
        <v>46129.346753807869</v>
      </c>
      <c r="G1458" s="3">
        <v>46129</v>
      </c>
      <c r="H1458" t="s">
        <v>115</v>
      </c>
      <c r="I1458">
        <v>8</v>
      </c>
    </row>
    <row r="1459" spans="1:9" x14ac:dyDescent="0.2">
      <c r="A1459" s="18" t="s">
        <v>1694</v>
      </c>
      <c r="B1459" s="18" t="s">
        <v>10</v>
      </c>
      <c r="C1459" s="2">
        <v>46129.683288680557</v>
      </c>
      <c r="D1459">
        <v>3</v>
      </c>
      <c r="F1459" s="2">
        <v>46129.391622013885</v>
      </c>
      <c r="G1459" s="3">
        <v>46129</v>
      </c>
      <c r="H1459" t="s">
        <v>115</v>
      </c>
      <c r="I1459">
        <v>9</v>
      </c>
    </row>
    <row r="1460" spans="1:9" x14ac:dyDescent="0.2">
      <c r="A1460" s="18" t="s">
        <v>1695</v>
      </c>
      <c r="B1460" s="18" t="s">
        <v>10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115</v>
      </c>
      <c r="I1460">
        <v>16</v>
      </c>
    </row>
    <row r="1461" spans="1:9" x14ac:dyDescent="0.2">
      <c r="A1461" s="18" t="s">
        <v>1696</v>
      </c>
      <c r="B1461" s="18" t="s">
        <v>10</v>
      </c>
      <c r="C1461" s="2">
        <v>46130.020055023146</v>
      </c>
      <c r="D1461">
        <v>3</v>
      </c>
      <c r="E1461" s="7" t="s">
        <v>1697</v>
      </c>
      <c r="F1461" s="2">
        <v>46129.728388356481</v>
      </c>
      <c r="G1461" s="3">
        <v>46129</v>
      </c>
      <c r="H1461" t="s">
        <v>115</v>
      </c>
      <c r="I1461">
        <v>17</v>
      </c>
    </row>
    <row r="1462" spans="1:9" x14ac:dyDescent="0.2">
      <c r="A1462" s="18" t="s">
        <v>1698</v>
      </c>
      <c r="B1462" s="18" t="s">
        <v>10</v>
      </c>
      <c r="C1462" s="2">
        <v>46130.442568287035</v>
      </c>
      <c r="D1462">
        <v>528</v>
      </c>
      <c r="F1462" s="2">
        <v>46130.150901620371</v>
      </c>
      <c r="G1462" s="3">
        <v>46130</v>
      </c>
      <c r="H1462" t="s">
        <v>120</v>
      </c>
      <c r="I1462">
        <v>3</v>
      </c>
    </row>
    <row r="1463" spans="1:9" x14ac:dyDescent="0.2">
      <c r="A1463" s="18" t="s">
        <v>1699</v>
      </c>
      <c r="B1463" s="18" t="s">
        <v>10</v>
      </c>
      <c r="C1463" s="2">
        <v>46130.490108449078</v>
      </c>
      <c r="D1463">
        <v>3</v>
      </c>
      <c r="F1463" s="2">
        <v>46130.198441782406</v>
      </c>
      <c r="G1463" s="3">
        <v>46130</v>
      </c>
      <c r="H1463" t="s">
        <v>120</v>
      </c>
      <c r="I1463">
        <v>4</v>
      </c>
    </row>
    <row r="1464" spans="1:9" x14ac:dyDescent="0.2">
      <c r="A1464" s="18" t="s">
        <v>1700</v>
      </c>
      <c r="B1464" s="18" t="s">
        <v>10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120</v>
      </c>
      <c r="I1464">
        <v>12</v>
      </c>
    </row>
    <row r="1465" spans="1:9" x14ac:dyDescent="0.2">
      <c r="A1465" s="18" t="s">
        <v>1701</v>
      </c>
      <c r="B1465" s="18" t="s">
        <v>10</v>
      </c>
      <c r="C1465" s="2">
        <v>46131.010015266205</v>
      </c>
      <c r="D1465">
        <v>3</v>
      </c>
      <c r="F1465" s="2">
        <v>46130.718348599534</v>
      </c>
      <c r="G1465" s="3">
        <v>46130</v>
      </c>
      <c r="H1465" t="s">
        <v>120</v>
      </c>
      <c r="I1465">
        <v>17</v>
      </c>
    </row>
    <row r="1466" spans="1:9" x14ac:dyDescent="0.2">
      <c r="A1466" s="18" t="s">
        <v>1702</v>
      </c>
      <c r="B1466" s="18" t="s">
        <v>10</v>
      </c>
      <c r="C1466" s="2">
        <v>46131.624437314815</v>
      </c>
      <c r="D1466">
        <v>3</v>
      </c>
      <c r="F1466" s="2">
        <v>46131.33277064815</v>
      </c>
      <c r="G1466" s="3">
        <v>46131</v>
      </c>
      <c r="H1466" t="s">
        <v>125</v>
      </c>
      <c r="I1466">
        <v>7</v>
      </c>
    </row>
    <row r="1467" spans="1:9" x14ac:dyDescent="0.2">
      <c r="A1467" s="18" t="s">
        <v>1703</v>
      </c>
      <c r="B1467" s="18" t="s">
        <v>10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125</v>
      </c>
      <c r="I1467">
        <v>8</v>
      </c>
    </row>
    <row r="1468" spans="1:9" x14ac:dyDescent="0.2">
      <c r="A1468" s="18" t="s">
        <v>1704</v>
      </c>
      <c r="B1468" s="18" t="s">
        <v>10</v>
      </c>
      <c r="C1468" s="2">
        <v>46131.645370729166</v>
      </c>
      <c r="D1468">
        <v>34</v>
      </c>
      <c r="F1468" s="2">
        <v>46131.353704062501</v>
      </c>
      <c r="G1468" s="3">
        <v>46131</v>
      </c>
      <c r="H1468" t="s">
        <v>125</v>
      </c>
      <c r="I1468">
        <v>8</v>
      </c>
    </row>
    <row r="1469" spans="1:9" x14ac:dyDescent="0.2">
      <c r="A1469" s="18" t="s">
        <v>1705</v>
      </c>
      <c r="B1469" s="18" t="s">
        <v>10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125</v>
      </c>
      <c r="I1469">
        <v>12</v>
      </c>
    </row>
    <row r="1470" spans="1:9" x14ac:dyDescent="0.2">
      <c r="A1470" s="18" t="s">
        <v>1706</v>
      </c>
      <c r="B1470" s="18" t="s">
        <v>10</v>
      </c>
      <c r="C1470" s="2">
        <v>46131.875662858794</v>
      </c>
      <c r="D1470">
        <v>528</v>
      </c>
      <c r="F1470" s="2">
        <v>46131.58399619213</v>
      </c>
      <c r="G1470" s="3">
        <v>46131</v>
      </c>
      <c r="H1470" t="s">
        <v>125</v>
      </c>
      <c r="I1470">
        <v>14</v>
      </c>
    </row>
    <row r="1471" spans="1:9" x14ac:dyDescent="0.2">
      <c r="A1471" s="18" t="s">
        <v>1707</v>
      </c>
      <c r="B1471" s="18" t="s">
        <v>10</v>
      </c>
      <c r="C1471" s="2">
        <v>46131.935863090279</v>
      </c>
      <c r="D1471">
        <v>528</v>
      </c>
      <c r="E1471" s="7" t="s">
        <v>34</v>
      </c>
      <c r="F1471" s="2">
        <v>46131.644196423615</v>
      </c>
      <c r="G1471" s="3">
        <v>46131</v>
      </c>
      <c r="H1471" t="s">
        <v>125</v>
      </c>
      <c r="I1471">
        <v>15</v>
      </c>
    </row>
    <row r="1472" spans="1:9" x14ac:dyDescent="0.2">
      <c r="A1472" s="18" t="s">
        <v>1708</v>
      </c>
      <c r="B1472" s="18" t="s">
        <v>10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11</v>
      </c>
      <c r="I1472">
        <v>3</v>
      </c>
    </row>
    <row r="1473" spans="1:9" x14ac:dyDescent="0.2">
      <c r="A1473" s="18" t="s">
        <v>1709</v>
      </c>
      <c r="B1473" s="18" t="s">
        <v>10</v>
      </c>
      <c r="C1473" s="2">
        <v>46132.456829178242</v>
      </c>
      <c r="D1473">
        <v>3</v>
      </c>
      <c r="E1473" s="7" t="s">
        <v>1710</v>
      </c>
      <c r="F1473" s="2">
        <v>46132.165162511577</v>
      </c>
      <c r="G1473" s="3">
        <v>46132</v>
      </c>
      <c r="H1473" t="s">
        <v>11</v>
      </c>
      <c r="I1473">
        <v>3</v>
      </c>
    </row>
    <row r="1474" spans="1:9" x14ac:dyDescent="0.2">
      <c r="A1474" s="18" t="s">
        <v>1711</v>
      </c>
      <c r="B1474" s="18" t="s">
        <v>10</v>
      </c>
      <c r="C1474" s="2">
        <v>46132.458502384259</v>
      </c>
      <c r="D1474">
        <v>34</v>
      </c>
      <c r="F1474" s="2">
        <v>46132.166835717595</v>
      </c>
      <c r="G1474" s="3">
        <v>46132</v>
      </c>
      <c r="H1474" t="s">
        <v>11</v>
      </c>
      <c r="I1474">
        <v>4</v>
      </c>
    </row>
    <row r="1475" spans="1:9" x14ac:dyDescent="0.2">
      <c r="A1475" s="18" t="s">
        <v>1712</v>
      </c>
      <c r="B1475" s="18" t="s">
        <v>10</v>
      </c>
      <c r="C1475" s="2">
        <v>46132.471462592592</v>
      </c>
      <c r="D1475">
        <v>3</v>
      </c>
      <c r="E1475" s="7" t="s">
        <v>1710</v>
      </c>
      <c r="F1475" s="2">
        <v>46132.179795925927</v>
      </c>
      <c r="G1475" s="3">
        <v>46132</v>
      </c>
      <c r="H1475" t="s">
        <v>11</v>
      </c>
      <c r="I1475">
        <v>4</v>
      </c>
    </row>
    <row r="1476" spans="1:9" x14ac:dyDescent="0.2">
      <c r="A1476" s="18" t="s">
        <v>1713</v>
      </c>
      <c r="B1476" s="18" t="s">
        <v>10</v>
      </c>
      <c r="C1476" s="2">
        <v>46132.473012499999</v>
      </c>
      <c r="D1476">
        <v>3</v>
      </c>
      <c r="E1476" s="7" t="s">
        <v>391</v>
      </c>
      <c r="F1476" s="2">
        <v>46132.181345833334</v>
      </c>
      <c r="G1476" s="3">
        <v>46132</v>
      </c>
      <c r="H1476" t="s">
        <v>11</v>
      </c>
      <c r="I1476">
        <v>4</v>
      </c>
    </row>
    <row r="1477" spans="1:9" x14ac:dyDescent="0.2">
      <c r="A1477" s="18" t="s">
        <v>1714</v>
      </c>
      <c r="B1477" s="18" t="s">
        <v>10</v>
      </c>
      <c r="C1477" s="2">
        <v>46132.476006828707</v>
      </c>
      <c r="D1477">
        <v>3</v>
      </c>
      <c r="F1477" s="2">
        <v>46132.184340162035</v>
      </c>
      <c r="G1477" s="3">
        <v>46132</v>
      </c>
      <c r="H1477" t="s">
        <v>11</v>
      </c>
      <c r="I1477">
        <v>4</v>
      </c>
    </row>
    <row r="1478" spans="1:9" x14ac:dyDescent="0.2">
      <c r="A1478" s="18" t="s">
        <v>1715</v>
      </c>
      <c r="B1478" s="18" t="s">
        <v>10</v>
      </c>
      <c r="C1478" s="2">
        <v>46132.489790162035</v>
      </c>
      <c r="D1478">
        <v>3</v>
      </c>
      <c r="F1478" s="2">
        <v>46132.198123495371</v>
      </c>
      <c r="G1478" s="3">
        <v>46132</v>
      </c>
      <c r="H1478" t="s">
        <v>11</v>
      </c>
      <c r="I1478">
        <v>4</v>
      </c>
    </row>
    <row r="1479" spans="1:9" x14ac:dyDescent="0.2">
      <c r="A1479" s="18" t="s">
        <v>1716</v>
      </c>
      <c r="B1479" s="18" t="s">
        <v>10</v>
      </c>
      <c r="C1479" s="2">
        <v>46132.501844583334</v>
      </c>
      <c r="D1479">
        <v>528</v>
      </c>
      <c r="F1479" s="2">
        <v>46132.21017791667</v>
      </c>
      <c r="G1479" s="3">
        <v>46132</v>
      </c>
      <c r="H1479" t="s">
        <v>11</v>
      </c>
      <c r="I1479">
        <v>5</v>
      </c>
    </row>
    <row r="1480" spans="1:9" x14ac:dyDescent="0.2">
      <c r="A1480" s="18" t="s">
        <v>1717</v>
      </c>
      <c r="B1480" s="18" t="s">
        <v>10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11</v>
      </c>
      <c r="I1480">
        <v>5</v>
      </c>
    </row>
    <row r="1481" spans="1:9" x14ac:dyDescent="0.2">
      <c r="A1481" s="18" t="s">
        <v>1718</v>
      </c>
      <c r="B1481" s="18" t="s">
        <v>10</v>
      </c>
      <c r="C1481" s="2">
        <v>46132.551763043979</v>
      </c>
      <c r="D1481">
        <v>34</v>
      </c>
      <c r="F1481" s="2">
        <v>46132.260096377315</v>
      </c>
      <c r="G1481" s="3">
        <v>46132</v>
      </c>
      <c r="H1481" t="s">
        <v>11</v>
      </c>
      <c r="I1481">
        <v>6</v>
      </c>
    </row>
    <row r="1482" spans="1:9" x14ac:dyDescent="0.2">
      <c r="A1482" s="18" t="s">
        <v>1719</v>
      </c>
      <c r="B1482" s="18" t="s">
        <v>10</v>
      </c>
      <c r="C1482" s="2">
        <v>46132.567690659722</v>
      </c>
      <c r="D1482">
        <v>528</v>
      </c>
      <c r="E1482" s="7" t="s">
        <v>31</v>
      </c>
      <c r="F1482" s="2">
        <v>46132.276023993058</v>
      </c>
      <c r="G1482" s="3">
        <v>46132</v>
      </c>
      <c r="H1482" t="s">
        <v>11</v>
      </c>
      <c r="I1482">
        <v>6</v>
      </c>
    </row>
    <row r="1483" spans="1:9" x14ac:dyDescent="0.2">
      <c r="A1483" s="18" t="s">
        <v>1720</v>
      </c>
      <c r="B1483" s="18" t="s">
        <v>10</v>
      </c>
      <c r="C1483" s="2">
        <v>46132.575778043982</v>
      </c>
      <c r="D1483">
        <v>3</v>
      </c>
      <c r="E1483" s="7" t="s">
        <v>1531</v>
      </c>
      <c r="F1483" s="2">
        <v>46132.284111377317</v>
      </c>
      <c r="G1483" s="3">
        <v>46132</v>
      </c>
      <c r="H1483" t="s">
        <v>11</v>
      </c>
      <c r="I1483">
        <v>6</v>
      </c>
    </row>
    <row r="1484" spans="1:9" x14ac:dyDescent="0.2">
      <c r="A1484" s="18" t="s">
        <v>1721</v>
      </c>
      <c r="B1484" s="18" t="s">
        <v>10</v>
      </c>
      <c r="C1484" s="2">
        <v>46132.648030902776</v>
      </c>
      <c r="D1484">
        <v>573</v>
      </c>
      <c r="F1484" s="2">
        <v>46132.356364236111</v>
      </c>
      <c r="G1484" s="3">
        <v>46132</v>
      </c>
      <c r="H1484" t="s">
        <v>11</v>
      </c>
      <c r="I1484">
        <v>8</v>
      </c>
    </row>
    <row r="1485" spans="1:9" x14ac:dyDescent="0.2">
      <c r="A1485" s="18" t="s">
        <v>1722</v>
      </c>
      <c r="B1485" s="18" t="s">
        <v>10</v>
      </c>
      <c r="C1485" s="2">
        <v>46132.675355219908</v>
      </c>
      <c r="D1485">
        <v>573</v>
      </c>
      <c r="F1485" s="2">
        <v>46132.383688553244</v>
      </c>
      <c r="G1485" s="3">
        <v>46132</v>
      </c>
      <c r="H1485" t="s">
        <v>11</v>
      </c>
      <c r="I1485">
        <v>9</v>
      </c>
    </row>
    <row r="1486" spans="1:9" x14ac:dyDescent="0.2">
      <c r="A1486" s="18" t="s">
        <v>1723</v>
      </c>
      <c r="B1486" s="18" t="s">
        <v>10</v>
      </c>
      <c r="C1486" s="2">
        <v>46132.686939317129</v>
      </c>
      <c r="D1486">
        <v>528</v>
      </c>
      <c r="F1486" s="2">
        <v>46132.395272650465</v>
      </c>
      <c r="G1486" s="3">
        <v>46132</v>
      </c>
      <c r="H1486" t="s">
        <v>11</v>
      </c>
      <c r="I1486">
        <v>9</v>
      </c>
    </row>
    <row r="1487" spans="1:9" x14ac:dyDescent="0.2">
      <c r="A1487" s="18" t="s">
        <v>1724</v>
      </c>
      <c r="B1487" s="18" t="s">
        <v>10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11</v>
      </c>
      <c r="I1487">
        <v>9</v>
      </c>
    </row>
    <row r="1488" spans="1:9" x14ac:dyDescent="0.2">
      <c r="A1488" s="18" t="s">
        <v>1725</v>
      </c>
      <c r="B1488" s="18" t="s">
        <v>10</v>
      </c>
      <c r="C1488" s="2">
        <v>46132.696782638886</v>
      </c>
      <c r="D1488">
        <v>3</v>
      </c>
      <c r="E1488" s="7" t="s">
        <v>1531</v>
      </c>
      <c r="F1488" s="2">
        <v>46132.405115972222</v>
      </c>
      <c r="G1488" s="3">
        <v>46132</v>
      </c>
      <c r="H1488" t="s">
        <v>11</v>
      </c>
      <c r="I1488">
        <v>9</v>
      </c>
    </row>
    <row r="1489" spans="1:9" x14ac:dyDescent="0.2">
      <c r="A1489" s="18" t="s">
        <v>1726</v>
      </c>
      <c r="B1489" s="18" t="s">
        <v>10</v>
      </c>
      <c r="C1489" s="2">
        <v>46132.758120138889</v>
      </c>
      <c r="D1489">
        <v>34</v>
      </c>
      <c r="F1489" s="2">
        <v>46132.466453472225</v>
      </c>
      <c r="G1489" s="3">
        <v>46132</v>
      </c>
      <c r="H1489" t="s">
        <v>11</v>
      </c>
      <c r="I1489">
        <v>11</v>
      </c>
    </row>
    <row r="1490" spans="1:9" x14ac:dyDescent="0.2">
      <c r="A1490" s="18" t="s">
        <v>1727</v>
      </c>
      <c r="B1490" s="18" t="s">
        <v>10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11</v>
      </c>
      <c r="I1490">
        <v>11</v>
      </c>
    </row>
    <row r="1491" spans="1:9" x14ac:dyDescent="0.2">
      <c r="A1491" s="18" t="s">
        <v>1728</v>
      </c>
      <c r="B1491" s="18" t="s">
        <v>10</v>
      </c>
      <c r="C1491" s="2">
        <v>46132.788967962966</v>
      </c>
      <c r="D1491">
        <v>528</v>
      </c>
      <c r="F1491" s="2">
        <v>46132.497301296295</v>
      </c>
      <c r="G1491" s="3">
        <v>46132</v>
      </c>
      <c r="H1491" t="s">
        <v>11</v>
      </c>
      <c r="I1491">
        <v>11</v>
      </c>
    </row>
    <row r="1492" spans="1:9" x14ac:dyDescent="0.2">
      <c r="A1492" s="18" t="s">
        <v>1729</v>
      </c>
      <c r="B1492" s="18" t="s">
        <v>10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11</v>
      </c>
      <c r="I1492">
        <v>13</v>
      </c>
    </row>
    <row r="1493" spans="1:9" x14ac:dyDescent="0.2">
      <c r="A1493" s="18" t="s">
        <v>1730</v>
      </c>
      <c r="B1493" s="18" t="s">
        <v>10</v>
      </c>
      <c r="C1493" s="2">
        <v>46133.332777407406</v>
      </c>
      <c r="D1493">
        <v>35</v>
      </c>
      <c r="F1493" s="2">
        <v>46133.041110740742</v>
      </c>
      <c r="G1493" s="3">
        <v>46133</v>
      </c>
      <c r="H1493" t="s">
        <v>28</v>
      </c>
      <c r="I1493">
        <v>0</v>
      </c>
    </row>
    <row r="1494" spans="1:9" x14ac:dyDescent="0.2">
      <c r="A1494" s="18" t="s">
        <v>1731</v>
      </c>
      <c r="B1494" s="18" t="s">
        <v>10</v>
      </c>
      <c r="C1494" s="2">
        <v>46133.515473935186</v>
      </c>
      <c r="D1494">
        <v>3</v>
      </c>
      <c r="F1494" s="2">
        <v>46133.223807268521</v>
      </c>
      <c r="G1494" s="3">
        <v>46133</v>
      </c>
      <c r="H1494" t="s">
        <v>28</v>
      </c>
      <c r="I1494">
        <v>5</v>
      </c>
    </row>
    <row r="1495" spans="1:9" x14ac:dyDescent="0.2">
      <c r="A1495" s="18" t="s">
        <v>1732</v>
      </c>
      <c r="B1495" s="18" t="s">
        <v>10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28</v>
      </c>
      <c r="I1495">
        <v>5</v>
      </c>
    </row>
    <row r="1496" spans="1:9" x14ac:dyDescent="0.2">
      <c r="A1496" s="18" t="s">
        <v>1733</v>
      </c>
      <c r="B1496" s="18" t="s">
        <v>10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28</v>
      </c>
      <c r="I1496">
        <v>5</v>
      </c>
    </row>
    <row r="1497" spans="1:9" x14ac:dyDescent="0.2">
      <c r="A1497" s="18" t="s">
        <v>1734</v>
      </c>
      <c r="B1497" s="18" t="s">
        <v>10</v>
      </c>
      <c r="C1497" s="2">
        <v>46133.58446903935</v>
      </c>
      <c r="D1497">
        <v>3</v>
      </c>
      <c r="E1497" s="7" t="s">
        <v>582</v>
      </c>
      <c r="F1497" s="2">
        <v>46133.292802372685</v>
      </c>
      <c r="G1497" s="3">
        <v>46133</v>
      </c>
      <c r="H1497" t="s">
        <v>28</v>
      </c>
      <c r="I1497">
        <v>7</v>
      </c>
    </row>
    <row r="1498" spans="1:9" x14ac:dyDescent="0.2">
      <c r="A1498" s="18" t="s">
        <v>1735</v>
      </c>
      <c r="B1498" s="18" t="s">
        <v>10</v>
      </c>
      <c r="C1498" s="2">
        <v>46133.609797997684</v>
      </c>
      <c r="D1498">
        <v>34</v>
      </c>
      <c r="F1498" s="2">
        <v>46133.31813133102</v>
      </c>
      <c r="G1498" s="3">
        <v>46133</v>
      </c>
      <c r="H1498" t="s">
        <v>28</v>
      </c>
      <c r="I1498">
        <v>7</v>
      </c>
    </row>
    <row r="1499" spans="1:9" x14ac:dyDescent="0.2">
      <c r="A1499" s="18" t="s">
        <v>1736</v>
      </c>
      <c r="B1499" s="18" t="s">
        <v>10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28</v>
      </c>
      <c r="I1499">
        <v>9</v>
      </c>
    </row>
    <row r="1500" spans="1:9" x14ac:dyDescent="0.2">
      <c r="A1500" s="18" t="s">
        <v>1737</v>
      </c>
      <c r="B1500" s="18" t="s">
        <v>10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28</v>
      </c>
      <c r="I1500">
        <v>9</v>
      </c>
    </row>
    <row r="1501" spans="1:9" x14ac:dyDescent="0.2">
      <c r="A1501" s="18" t="s">
        <v>1738</v>
      </c>
      <c r="B1501" s="18" t="s">
        <v>10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28</v>
      </c>
      <c r="I1501">
        <v>9</v>
      </c>
    </row>
    <row r="1502" spans="1:9" x14ac:dyDescent="0.2">
      <c r="A1502" s="18" t="s">
        <v>1739</v>
      </c>
      <c r="B1502" s="18" t="s">
        <v>10</v>
      </c>
      <c r="C1502" s="2">
        <v>46133.695835057872</v>
      </c>
      <c r="D1502">
        <v>3</v>
      </c>
      <c r="E1502" s="7" t="s">
        <v>768</v>
      </c>
      <c r="F1502" s="2">
        <v>46133.4041683912</v>
      </c>
      <c r="G1502" s="3">
        <v>46133</v>
      </c>
      <c r="H1502" t="s">
        <v>28</v>
      </c>
      <c r="I1502">
        <v>9</v>
      </c>
    </row>
    <row r="1503" spans="1:9" x14ac:dyDescent="0.2">
      <c r="A1503" s="18" t="s">
        <v>1740</v>
      </c>
      <c r="B1503" s="18" t="s">
        <v>10</v>
      </c>
      <c r="C1503" s="2">
        <v>46133.712663877312</v>
      </c>
      <c r="D1503">
        <v>527</v>
      </c>
      <c r="E1503" s="7" t="s">
        <v>768</v>
      </c>
      <c r="F1503" s="2">
        <v>46133.420997210647</v>
      </c>
      <c r="G1503" s="3">
        <v>46133</v>
      </c>
      <c r="H1503" t="s">
        <v>28</v>
      </c>
      <c r="I1503">
        <v>10</v>
      </c>
    </row>
    <row r="1504" spans="1:9" x14ac:dyDescent="0.2">
      <c r="A1504" s="18" t="s">
        <v>1741</v>
      </c>
      <c r="B1504" s="18" t="s">
        <v>10</v>
      </c>
      <c r="C1504" s="2">
        <v>46133.714556192128</v>
      </c>
      <c r="D1504">
        <v>3</v>
      </c>
      <c r="E1504" s="7" t="s">
        <v>70</v>
      </c>
      <c r="F1504" s="2">
        <v>46133.422889525464</v>
      </c>
      <c r="G1504" s="3">
        <v>46133</v>
      </c>
      <c r="H1504" t="s">
        <v>28</v>
      </c>
      <c r="I1504">
        <v>10</v>
      </c>
    </row>
    <row r="1505" spans="1:9" x14ac:dyDescent="0.2">
      <c r="A1505" s="18" t="s">
        <v>1742</v>
      </c>
      <c r="B1505" s="18" t="s">
        <v>10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28</v>
      </c>
      <c r="I1505">
        <v>10</v>
      </c>
    </row>
    <row r="1506" spans="1:9" x14ac:dyDescent="0.2">
      <c r="A1506" s="18" t="s">
        <v>1743</v>
      </c>
      <c r="B1506" s="18" t="s">
        <v>10</v>
      </c>
      <c r="C1506" s="2">
        <v>46133.751461840278</v>
      </c>
      <c r="D1506">
        <v>3</v>
      </c>
      <c r="E1506" s="7" t="s">
        <v>70</v>
      </c>
      <c r="F1506" s="2">
        <v>46133.459795173614</v>
      </c>
      <c r="G1506" s="3">
        <v>46133</v>
      </c>
      <c r="H1506" t="s">
        <v>28</v>
      </c>
      <c r="I1506">
        <v>11</v>
      </c>
    </row>
    <row r="1507" spans="1:9" x14ac:dyDescent="0.2">
      <c r="A1507" s="18" t="s">
        <v>1744</v>
      </c>
      <c r="B1507" s="18" t="s">
        <v>10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28</v>
      </c>
      <c r="I1507">
        <v>11</v>
      </c>
    </row>
    <row r="1508" spans="1:9" x14ac:dyDescent="0.2">
      <c r="A1508" s="18" t="s">
        <v>1745</v>
      </c>
      <c r="B1508" s="18" t="s">
        <v>10</v>
      </c>
      <c r="C1508" s="2">
        <v>46133.820399421296</v>
      </c>
      <c r="D1508">
        <v>34</v>
      </c>
      <c r="F1508" s="2">
        <v>46133.528732754632</v>
      </c>
      <c r="G1508" s="3">
        <v>46133</v>
      </c>
      <c r="H1508" t="s">
        <v>28</v>
      </c>
      <c r="I1508">
        <v>12</v>
      </c>
    </row>
    <row r="1509" spans="1:9" x14ac:dyDescent="0.2">
      <c r="A1509" s="18" t="s">
        <v>1746</v>
      </c>
      <c r="B1509" s="18" t="s">
        <v>10</v>
      </c>
      <c r="C1509" s="2">
        <v>46133.833664618054</v>
      </c>
      <c r="D1509">
        <v>527</v>
      </c>
      <c r="F1509" s="2">
        <v>46133.54199795139</v>
      </c>
      <c r="G1509" s="3">
        <v>46133</v>
      </c>
      <c r="H1509" t="s">
        <v>28</v>
      </c>
      <c r="I1509">
        <v>13</v>
      </c>
    </row>
    <row r="1510" spans="1:9" x14ac:dyDescent="0.2">
      <c r="A1510" s="18" t="s">
        <v>1747</v>
      </c>
      <c r="B1510" s="18" t="s">
        <v>10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28</v>
      </c>
      <c r="I1510">
        <v>14</v>
      </c>
    </row>
    <row r="1511" spans="1:9" x14ac:dyDescent="0.2">
      <c r="A1511" s="18" t="s">
        <v>1748</v>
      </c>
      <c r="B1511" s="18" t="s">
        <v>10</v>
      </c>
      <c r="C1511" s="2">
        <v>46134.004193715278</v>
      </c>
      <c r="D1511">
        <v>527</v>
      </c>
      <c r="F1511" s="2">
        <v>46133.712527048614</v>
      </c>
      <c r="G1511" s="3">
        <v>46133</v>
      </c>
      <c r="H1511" t="s">
        <v>28</v>
      </c>
      <c r="I1511">
        <v>17</v>
      </c>
    </row>
    <row r="1512" spans="1:9" x14ac:dyDescent="0.2">
      <c r="A1512" s="18" t="s">
        <v>1749</v>
      </c>
      <c r="B1512" s="18" t="s">
        <v>10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28</v>
      </c>
      <c r="I1512">
        <v>18</v>
      </c>
    </row>
    <row r="1513" spans="1:9" x14ac:dyDescent="0.2">
      <c r="A1513" s="18" t="s">
        <v>1750</v>
      </c>
      <c r="B1513" s="18" t="s">
        <v>10</v>
      </c>
      <c r="C1513" s="2">
        <v>46134.060360393516</v>
      </c>
      <c r="D1513">
        <v>527</v>
      </c>
      <c r="F1513" s="2">
        <v>46133.768693726852</v>
      </c>
      <c r="G1513" s="3">
        <v>46133</v>
      </c>
      <c r="H1513" t="s">
        <v>28</v>
      </c>
      <c r="I1513">
        <v>18</v>
      </c>
    </row>
    <row r="1514" spans="1:9" x14ac:dyDescent="0.2">
      <c r="A1514" s="18" t="s">
        <v>1751</v>
      </c>
      <c r="B1514" s="18" t="s">
        <v>10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28</v>
      </c>
      <c r="I1514">
        <v>19</v>
      </c>
    </row>
    <row r="1515" spans="1:9" x14ac:dyDescent="0.2">
      <c r="A1515" s="18" t="s">
        <v>1752</v>
      </c>
      <c r="B1515" s="18" t="s">
        <v>10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28</v>
      </c>
      <c r="I1515">
        <v>21</v>
      </c>
    </row>
    <row r="1516" spans="1:9" x14ac:dyDescent="0.2">
      <c r="A1516" s="18" t="s">
        <v>1753</v>
      </c>
      <c r="B1516" s="18" t="s">
        <v>10</v>
      </c>
      <c r="C1516" s="2">
        <v>46134.329382719909</v>
      </c>
      <c r="D1516">
        <v>3</v>
      </c>
      <c r="F1516" s="2">
        <v>46134.037716053244</v>
      </c>
      <c r="G1516" s="3">
        <v>46134</v>
      </c>
      <c r="H1516" t="s">
        <v>63</v>
      </c>
      <c r="I1516">
        <v>0</v>
      </c>
    </row>
    <row r="1517" spans="1:9" x14ac:dyDescent="0.2">
      <c r="A1517" s="18" t="s">
        <v>1754</v>
      </c>
      <c r="B1517" s="18" t="s">
        <v>10</v>
      </c>
      <c r="C1517" s="2">
        <v>46134.393227094908</v>
      </c>
      <c r="D1517">
        <v>3</v>
      </c>
      <c r="E1517" s="7" t="s">
        <v>973</v>
      </c>
      <c r="F1517" s="2">
        <v>46134.101560428244</v>
      </c>
      <c r="G1517" s="3">
        <v>46134</v>
      </c>
      <c r="H1517" t="s">
        <v>63</v>
      </c>
      <c r="I1517">
        <v>2</v>
      </c>
    </row>
    <row r="1518" spans="1:9" x14ac:dyDescent="0.2">
      <c r="A1518" s="18" t="s">
        <v>1755</v>
      </c>
      <c r="B1518" s="18" t="s">
        <v>10</v>
      </c>
      <c r="C1518" s="2">
        <v>46134.4536065625</v>
      </c>
      <c r="D1518">
        <v>3</v>
      </c>
      <c r="F1518" s="2">
        <v>46134.161939895836</v>
      </c>
      <c r="G1518" s="3">
        <v>46134</v>
      </c>
      <c r="H1518" t="s">
        <v>63</v>
      </c>
      <c r="I1518">
        <v>3</v>
      </c>
    </row>
    <row r="1519" spans="1:9" x14ac:dyDescent="0.2">
      <c r="A1519" s="18" t="s">
        <v>1756</v>
      </c>
      <c r="B1519" s="18" t="s">
        <v>10</v>
      </c>
      <c r="C1519" s="2">
        <v>46134.516315891204</v>
      </c>
      <c r="D1519">
        <v>34</v>
      </c>
      <c r="F1519" s="2">
        <v>46134.224649224539</v>
      </c>
      <c r="G1519" s="3">
        <v>46134</v>
      </c>
      <c r="H1519" t="s">
        <v>63</v>
      </c>
      <c r="I1519">
        <v>5</v>
      </c>
    </row>
    <row r="1520" spans="1:9" x14ac:dyDescent="0.2">
      <c r="A1520" s="18" t="s">
        <v>1757</v>
      </c>
      <c r="B1520" s="18" t="s">
        <v>10</v>
      </c>
      <c r="C1520" s="2">
        <v>46134.649425671298</v>
      </c>
      <c r="D1520">
        <v>527</v>
      </c>
      <c r="E1520" s="7" t="s">
        <v>31</v>
      </c>
      <c r="F1520" s="2">
        <v>46134.357759004626</v>
      </c>
      <c r="G1520" s="3">
        <v>46134</v>
      </c>
      <c r="H1520" t="s">
        <v>63</v>
      </c>
      <c r="I1520">
        <v>8</v>
      </c>
    </row>
    <row r="1521" spans="1:9" x14ac:dyDescent="0.2">
      <c r="A1521" s="18" t="s">
        <v>1758</v>
      </c>
      <c r="B1521" s="18" t="s">
        <v>10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63</v>
      </c>
      <c r="I1521">
        <v>9</v>
      </c>
    </row>
    <row r="1522" spans="1:9" x14ac:dyDescent="0.2">
      <c r="A1522" s="18" t="s">
        <v>1759</v>
      </c>
      <c r="B1522" s="18" t="s">
        <v>10</v>
      </c>
      <c r="C1522" s="2">
        <v>46134.799875173609</v>
      </c>
      <c r="D1522">
        <v>527</v>
      </c>
      <c r="F1522" s="2">
        <v>46134.508208506944</v>
      </c>
      <c r="G1522" s="3">
        <v>46134</v>
      </c>
      <c r="H1522" t="s">
        <v>63</v>
      </c>
      <c r="I1522">
        <v>12</v>
      </c>
    </row>
    <row r="1523" spans="1:9" x14ac:dyDescent="0.2">
      <c r="A1523" s="18" t="s">
        <v>1760</v>
      </c>
      <c r="B1523" s="18" t="s">
        <v>10</v>
      </c>
      <c r="C1523" s="2">
        <v>46134.891101469904</v>
      </c>
      <c r="D1523">
        <v>3</v>
      </c>
      <c r="E1523" s="7" t="s">
        <v>1761</v>
      </c>
      <c r="F1523" s="2">
        <v>46134.59943480324</v>
      </c>
      <c r="G1523" s="3">
        <v>46134</v>
      </c>
      <c r="H1523" t="s">
        <v>63</v>
      </c>
      <c r="I1523">
        <v>14</v>
      </c>
    </row>
    <row r="1524" spans="1:9" x14ac:dyDescent="0.2">
      <c r="A1524" s="18" t="s">
        <v>1762</v>
      </c>
      <c r="B1524" s="18" t="s">
        <v>10</v>
      </c>
      <c r="C1524" s="2">
        <v>46134.96362855324</v>
      </c>
      <c r="D1524">
        <v>3</v>
      </c>
      <c r="E1524" s="7" t="s">
        <v>289</v>
      </c>
      <c r="F1524" s="2">
        <v>46134.671961886575</v>
      </c>
      <c r="G1524" s="3">
        <v>46134</v>
      </c>
      <c r="H1524" t="s">
        <v>63</v>
      </c>
      <c r="I1524">
        <v>16</v>
      </c>
    </row>
    <row r="1525" spans="1:9" x14ac:dyDescent="0.2">
      <c r="A1525" s="18" t="s">
        <v>1763</v>
      </c>
      <c r="B1525" s="18" t="s">
        <v>10</v>
      </c>
      <c r="C1525" s="2">
        <v>46135.012045474534</v>
      </c>
      <c r="D1525">
        <v>527</v>
      </c>
      <c r="E1525" s="7" t="s">
        <v>34</v>
      </c>
      <c r="F1525" s="2">
        <v>46134.72037880787</v>
      </c>
      <c r="G1525" s="3">
        <v>46134</v>
      </c>
      <c r="H1525" t="s">
        <v>63</v>
      </c>
      <c r="I1525">
        <v>17</v>
      </c>
    </row>
    <row r="1526" spans="1:9" x14ac:dyDescent="0.2">
      <c r="A1526" s="18" t="s">
        <v>1764</v>
      </c>
      <c r="B1526" s="18" t="s">
        <v>10</v>
      </c>
      <c r="C1526" s="2">
        <v>46135.022413506944</v>
      </c>
      <c r="D1526">
        <v>527</v>
      </c>
      <c r="F1526" s="2">
        <v>46134.73074684028</v>
      </c>
      <c r="G1526" s="3">
        <v>46134</v>
      </c>
      <c r="H1526" t="s">
        <v>63</v>
      </c>
      <c r="I1526">
        <v>17</v>
      </c>
    </row>
    <row r="1527" spans="1:9" x14ac:dyDescent="0.2">
      <c r="A1527" s="18" t="s">
        <v>1765</v>
      </c>
      <c r="B1527" s="18" t="s">
        <v>10</v>
      </c>
      <c r="C1527" s="2">
        <v>46135.057834039355</v>
      </c>
      <c r="D1527">
        <v>527</v>
      </c>
      <c r="F1527" s="2">
        <v>46134.766167372683</v>
      </c>
      <c r="G1527" s="3">
        <v>46134</v>
      </c>
      <c r="H1527" t="s">
        <v>63</v>
      </c>
      <c r="I1527">
        <v>18</v>
      </c>
    </row>
    <row r="1528" spans="1:9" x14ac:dyDescent="0.2">
      <c r="A1528" s="18" t="s">
        <v>1766</v>
      </c>
      <c r="B1528" s="18" t="s">
        <v>10</v>
      </c>
      <c r="C1528" s="2">
        <v>46135.339900451392</v>
      </c>
      <c r="D1528">
        <v>3</v>
      </c>
      <c r="E1528" s="7" t="s">
        <v>1417</v>
      </c>
      <c r="F1528" s="2">
        <v>46135.048233784721</v>
      </c>
      <c r="G1528" s="3">
        <v>46135</v>
      </c>
      <c r="H1528" t="s">
        <v>95</v>
      </c>
      <c r="I1528">
        <v>1</v>
      </c>
    </row>
    <row r="1529" spans="1:9" x14ac:dyDescent="0.2">
      <c r="A1529" s="18" t="s">
        <v>1767</v>
      </c>
      <c r="B1529" s="18" t="s">
        <v>10</v>
      </c>
      <c r="C1529" s="2">
        <v>46135.519626099536</v>
      </c>
      <c r="D1529">
        <v>3</v>
      </c>
      <c r="F1529" s="2">
        <v>46135.227959432872</v>
      </c>
      <c r="G1529" s="3">
        <v>46135</v>
      </c>
      <c r="H1529" t="s">
        <v>95</v>
      </c>
      <c r="I1529">
        <v>5</v>
      </c>
    </row>
    <row r="1530" spans="1:9" x14ac:dyDescent="0.2">
      <c r="A1530" s="18" t="s">
        <v>1768</v>
      </c>
      <c r="B1530" s="18" t="s">
        <v>10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95</v>
      </c>
      <c r="I1530">
        <v>5</v>
      </c>
    </row>
    <row r="1531" spans="1:9" x14ac:dyDescent="0.2">
      <c r="A1531" s="18" t="s">
        <v>1769</v>
      </c>
      <c r="B1531" s="18" t="s">
        <v>10</v>
      </c>
      <c r="C1531" s="2">
        <v>46135.620956006947</v>
      </c>
      <c r="D1531">
        <v>527</v>
      </c>
      <c r="F1531" s="2">
        <v>46135.329289340276</v>
      </c>
      <c r="G1531" s="3">
        <v>46135</v>
      </c>
      <c r="H1531" t="s">
        <v>95</v>
      </c>
      <c r="I1531">
        <v>7</v>
      </c>
    </row>
    <row r="1532" spans="1:9" x14ac:dyDescent="0.2">
      <c r="A1532" s="18" t="s">
        <v>1770</v>
      </c>
      <c r="B1532" s="18" t="s">
        <v>10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95</v>
      </c>
      <c r="I1532">
        <v>7</v>
      </c>
    </row>
    <row r="1533" spans="1:9" x14ac:dyDescent="0.2">
      <c r="A1533" s="18" t="s">
        <v>1771</v>
      </c>
      <c r="B1533" s="18" t="s">
        <v>10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95</v>
      </c>
      <c r="I1533">
        <v>7</v>
      </c>
    </row>
    <row r="1534" spans="1:9" x14ac:dyDescent="0.2">
      <c r="A1534" s="18" t="s">
        <v>1772</v>
      </c>
      <c r="B1534" s="18" t="s">
        <v>10</v>
      </c>
      <c r="C1534" s="2">
        <v>46135.641600428244</v>
      </c>
      <c r="D1534">
        <v>527</v>
      </c>
      <c r="F1534" s="2">
        <v>46135.349933761572</v>
      </c>
      <c r="G1534" s="3">
        <v>46135</v>
      </c>
      <c r="H1534" t="s">
        <v>95</v>
      </c>
      <c r="I1534">
        <v>8</v>
      </c>
    </row>
    <row r="1535" spans="1:9" x14ac:dyDescent="0.2">
      <c r="A1535" s="18" t="s">
        <v>1773</v>
      </c>
      <c r="B1535" s="18" t="s">
        <v>10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95</v>
      </c>
      <c r="I1535">
        <v>8</v>
      </c>
    </row>
    <row r="1536" spans="1:9" x14ac:dyDescent="0.2">
      <c r="A1536" s="18" t="s">
        <v>1774</v>
      </c>
      <c r="B1536" s="18" t="s">
        <v>10</v>
      </c>
      <c r="C1536" s="2">
        <v>46135.709058379631</v>
      </c>
      <c r="D1536">
        <v>527</v>
      </c>
      <c r="E1536" s="7" t="s">
        <v>768</v>
      </c>
      <c r="F1536" s="2">
        <v>46135.417391712966</v>
      </c>
      <c r="G1536" s="3">
        <v>46135</v>
      </c>
      <c r="H1536" t="s">
        <v>95</v>
      </c>
      <c r="I1536">
        <v>10</v>
      </c>
    </row>
    <row r="1537" spans="1:9" x14ac:dyDescent="0.2">
      <c r="A1537" s="18" t="s">
        <v>1775</v>
      </c>
      <c r="B1537" s="18" t="s">
        <v>10</v>
      </c>
      <c r="C1537" s="2">
        <v>46135.7203534375</v>
      </c>
      <c r="D1537">
        <v>527</v>
      </c>
      <c r="F1537" s="2">
        <v>46135.428686770836</v>
      </c>
      <c r="G1537" s="3">
        <v>46135</v>
      </c>
      <c r="H1537" t="s">
        <v>95</v>
      </c>
      <c r="I1537">
        <v>10</v>
      </c>
    </row>
    <row r="1538" spans="1:9" x14ac:dyDescent="0.2">
      <c r="A1538" s="18" t="s">
        <v>1776</v>
      </c>
      <c r="B1538" s="18" t="s">
        <v>10</v>
      </c>
      <c r="C1538" s="2">
        <v>46135.732939988426</v>
      </c>
      <c r="D1538">
        <v>527</v>
      </c>
      <c r="F1538" s="2">
        <v>46135.441273321761</v>
      </c>
      <c r="G1538" s="3">
        <v>46135</v>
      </c>
      <c r="H1538" t="s">
        <v>95</v>
      </c>
      <c r="I1538">
        <v>10</v>
      </c>
    </row>
    <row r="1539" spans="1:9" x14ac:dyDescent="0.2">
      <c r="A1539" s="18" t="s">
        <v>1777</v>
      </c>
      <c r="B1539" s="18" t="s">
        <v>10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95</v>
      </c>
      <c r="I1539">
        <v>11</v>
      </c>
    </row>
    <row r="1540" spans="1:9" x14ac:dyDescent="0.2">
      <c r="A1540" s="18" t="s">
        <v>1778</v>
      </c>
      <c r="B1540" s="18" t="s">
        <v>10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95</v>
      </c>
      <c r="I1540">
        <v>14</v>
      </c>
    </row>
    <row r="1541" spans="1:9" x14ac:dyDescent="0.2">
      <c r="A1541" s="18" t="s">
        <v>1779</v>
      </c>
      <c r="B1541" s="18" t="s">
        <v>10</v>
      </c>
      <c r="C1541" s="2">
        <v>46135.952894270835</v>
      </c>
      <c r="D1541">
        <v>567</v>
      </c>
      <c r="F1541" s="2">
        <v>46135.661227604163</v>
      </c>
      <c r="G1541" s="3">
        <v>46135</v>
      </c>
      <c r="H1541" t="s">
        <v>95</v>
      </c>
      <c r="I1541">
        <v>15</v>
      </c>
    </row>
    <row r="1542" spans="1:9" x14ac:dyDescent="0.2">
      <c r="A1542" s="18" t="s">
        <v>1780</v>
      </c>
      <c r="B1542" s="18" t="s">
        <v>10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115</v>
      </c>
      <c r="I1542">
        <v>3</v>
      </c>
    </row>
    <row r="1543" spans="1:9" x14ac:dyDescent="0.2">
      <c r="A1543" s="18" t="s">
        <v>1781</v>
      </c>
      <c r="B1543" s="18" t="s">
        <v>10</v>
      </c>
      <c r="C1543" s="2">
        <v>46136.466126597225</v>
      </c>
      <c r="D1543">
        <v>3</v>
      </c>
      <c r="F1543" s="2">
        <v>46136.174459930553</v>
      </c>
      <c r="G1543" s="3">
        <v>46136</v>
      </c>
      <c r="H1543" t="s">
        <v>115</v>
      </c>
      <c r="I1543">
        <v>4</v>
      </c>
    </row>
    <row r="1544" spans="1:9" x14ac:dyDescent="0.2">
      <c r="A1544" s="18" t="s">
        <v>1782</v>
      </c>
      <c r="B1544" s="18" t="s">
        <v>10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115</v>
      </c>
      <c r="I1544">
        <v>7</v>
      </c>
    </row>
    <row r="1545" spans="1:9" x14ac:dyDescent="0.2">
      <c r="A1545" s="18" t="s">
        <v>1783</v>
      </c>
      <c r="B1545" s="18" t="s">
        <v>10</v>
      </c>
      <c r="C1545" s="2">
        <v>46136.60917920139</v>
      </c>
      <c r="D1545">
        <v>3</v>
      </c>
      <c r="E1545" s="7" t="s">
        <v>768</v>
      </c>
      <c r="F1545" s="2">
        <v>46136.317512534719</v>
      </c>
      <c r="G1545" s="3">
        <v>46136</v>
      </c>
      <c r="H1545" t="s">
        <v>115</v>
      </c>
      <c r="I1545">
        <v>7</v>
      </c>
    </row>
    <row r="1546" spans="1:9" x14ac:dyDescent="0.2">
      <c r="A1546" s="18" t="s">
        <v>1784</v>
      </c>
      <c r="B1546" s="18" t="s">
        <v>10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115</v>
      </c>
      <c r="I1546">
        <v>7</v>
      </c>
    </row>
    <row r="1547" spans="1:9" x14ac:dyDescent="0.2">
      <c r="A1547" s="18" t="s">
        <v>1785</v>
      </c>
      <c r="B1547" s="18" t="s">
        <v>10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115</v>
      </c>
      <c r="I1547">
        <v>8</v>
      </c>
    </row>
    <row r="1548" spans="1:9" x14ac:dyDescent="0.2">
      <c r="A1548" s="18" t="s">
        <v>1786</v>
      </c>
      <c r="B1548" s="18" t="s">
        <v>10</v>
      </c>
      <c r="C1548" s="2">
        <v>46136.662020057869</v>
      </c>
      <c r="D1548">
        <v>3</v>
      </c>
      <c r="E1548" s="7" t="s">
        <v>768</v>
      </c>
      <c r="F1548" s="2">
        <v>46136.370353391205</v>
      </c>
      <c r="G1548" s="3">
        <v>46136</v>
      </c>
      <c r="H1548" t="s">
        <v>115</v>
      </c>
      <c r="I1548">
        <v>8</v>
      </c>
    </row>
    <row r="1549" spans="1:9" x14ac:dyDescent="0.2">
      <c r="A1549" s="18" t="s">
        <v>1787</v>
      </c>
      <c r="B1549" s="18" t="s">
        <v>10</v>
      </c>
      <c r="C1549" s="2">
        <v>46136.854445937497</v>
      </c>
      <c r="D1549">
        <v>2</v>
      </c>
      <c r="E1549" s="7" t="s">
        <v>1788</v>
      </c>
      <c r="F1549" s="2">
        <v>46136.562779270833</v>
      </c>
      <c r="G1549" s="3">
        <v>46136</v>
      </c>
      <c r="H1549" t="s">
        <v>115</v>
      </c>
      <c r="I1549">
        <v>13</v>
      </c>
    </row>
    <row r="1550" spans="1:9" x14ac:dyDescent="0.2">
      <c r="A1550" s="18" t="s">
        <v>1789</v>
      </c>
      <c r="B1550" s="18" t="s">
        <v>10</v>
      </c>
      <c r="C1550" s="2">
        <v>46136.868416261575</v>
      </c>
      <c r="D1550">
        <v>3</v>
      </c>
      <c r="F1550" s="2">
        <v>46136.576749594904</v>
      </c>
      <c r="G1550" s="3">
        <v>46136</v>
      </c>
      <c r="H1550" t="s">
        <v>115</v>
      </c>
      <c r="I1550">
        <v>13</v>
      </c>
    </row>
    <row r="1551" spans="1:9" x14ac:dyDescent="0.2">
      <c r="A1551" s="18" t="s">
        <v>1790</v>
      </c>
      <c r="B1551" s="18" t="s">
        <v>10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115</v>
      </c>
      <c r="I1551">
        <v>14</v>
      </c>
    </row>
    <row r="1552" spans="1:9" x14ac:dyDescent="0.2">
      <c r="A1552" s="18" t="s">
        <v>1791</v>
      </c>
      <c r="B1552" s="18" t="s">
        <v>10</v>
      </c>
      <c r="C1552" s="2">
        <v>46137.224182534723</v>
      </c>
      <c r="D1552">
        <v>3</v>
      </c>
      <c r="E1552" s="7" t="s">
        <v>1792</v>
      </c>
      <c r="F1552" s="2">
        <v>46136.932515868059</v>
      </c>
      <c r="G1552" s="3">
        <v>46136</v>
      </c>
      <c r="H1552" t="s">
        <v>115</v>
      </c>
      <c r="I1552">
        <v>22</v>
      </c>
    </row>
    <row r="1553" spans="1:9" x14ac:dyDescent="0.2">
      <c r="A1553" s="18" t="s">
        <v>1793</v>
      </c>
      <c r="B1553" s="18" t="s">
        <v>10</v>
      </c>
      <c r="C1553" s="2">
        <v>46137.224404212961</v>
      </c>
      <c r="D1553">
        <v>3</v>
      </c>
      <c r="E1553" s="7" t="s">
        <v>522</v>
      </c>
      <c r="F1553" s="2">
        <v>46136.932737546296</v>
      </c>
      <c r="G1553" s="3">
        <v>46136</v>
      </c>
      <c r="H1553" t="s">
        <v>115</v>
      </c>
      <c r="I1553">
        <v>22</v>
      </c>
    </row>
    <row r="1554" spans="1:9" x14ac:dyDescent="0.2">
      <c r="A1554" s="18" t="s">
        <v>1794</v>
      </c>
      <c r="B1554" s="18" t="s">
        <v>10</v>
      </c>
      <c r="C1554" s="2">
        <v>46137.314659791664</v>
      </c>
      <c r="D1554">
        <v>527</v>
      </c>
      <c r="E1554" s="7" t="s">
        <v>34</v>
      </c>
      <c r="F1554" s="2">
        <v>46137.022993125</v>
      </c>
      <c r="G1554" s="3">
        <v>46137</v>
      </c>
      <c r="H1554" t="s">
        <v>120</v>
      </c>
      <c r="I1554">
        <v>0</v>
      </c>
    </row>
    <row r="1555" spans="1:9" x14ac:dyDescent="0.2">
      <c r="A1555" s="18" t="s">
        <v>1795</v>
      </c>
      <c r="B1555" s="18" t="s">
        <v>10</v>
      </c>
      <c r="C1555" s="2">
        <v>46137.469372557869</v>
      </c>
      <c r="D1555">
        <v>570</v>
      </c>
      <c r="F1555" s="2">
        <v>46137.177705891205</v>
      </c>
      <c r="G1555" s="3">
        <v>46137</v>
      </c>
      <c r="H1555" t="s">
        <v>120</v>
      </c>
      <c r="I1555">
        <v>4</v>
      </c>
    </row>
    <row r="1556" spans="1:9" x14ac:dyDescent="0.2">
      <c r="A1556" s="18" t="s">
        <v>1796</v>
      </c>
      <c r="B1556" s="18" t="s">
        <v>10</v>
      </c>
      <c r="C1556" s="2">
        <v>46137.585800231478</v>
      </c>
      <c r="D1556">
        <v>3</v>
      </c>
      <c r="E1556" s="7" t="s">
        <v>709</v>
      </c>
      <c r="F1556" s="2">
        <v>46137.294133564814</v>
      </c>
      <c r="G1556" s="3">
        <v>46137</v>
      </c>
      <c r="H1556" t="s">
        <v>120</v>
      </c>
      <c r="I1556">
        <v>7</v>
      </c>
    </row>
    <row r="1557" spans="1:9" x14ac:dyDescent="0.2">
      <c r="A1557" s="18" t="s">
        <v>1797</v>
      </c>
      <c r="B1557" s="18" t="s">
        <v>10</v>
      </c>
      <c r="C1557" s="2">
        <v>46137.628264386571</v>
      </c>
      <c r="D1557">
        <v>569</v>
      </c>
      <c r="E1557" s="7" t="s">
        <v>709</v>
      </c>
      <c r="F1557" s="2">
        <v>46137.336597719906</v>
      </c>
      <c r="G1557" s="3">
        <v>46137</v>
      </c>
      <c r="H1557" t="s">
        <v>120</v>
      </c>
      <c r="I1557">
        <v>8</v>
      </c>
    </row>
    <row r="1558" spans="1:9" x14ac:dyDescent="0.2">
      <c r="A1558" s="18" t="s">
        <v>1798</v>
      </c>
      <c r="B1558" s="18" t="s">
        <v>10</v>
      </c>
      <c r="C1558" s="2">
        <v>46137.694619363429</v>
      </c>
      <c r="D1558">
        <v>569</v>
      </c>
      <c r="E1558" s="7" t="s">
        <v>709</v>
      </c>
      <c r="F1558" s="2">
        <v>46137.402952696757</v>
      </c>
      <c r="G1558" s="3">
        <v>46137</v>
      </c>
      <c r="H1558" t="s">
        <v>120</v>
      </c>
      <c r="I1558">
        <v>9</v>
      </c>
    </row>
    <row r="1559" spans="1:9" x14ac:dyDescent="0.2">
      <c r="A1559" s="18" t="s">
        <v>1799</v>
      </c>
      <c r="B1559" s="18" t="s">
        <v>10</v>
      </c>
      <c r="C1559" s="2">
        <v>46137.695844097223</v>
      </c>
      <c r="D1559">
        <v>526</v>
      </c>
      <c r="E1559" s="7" t="s">
        <v>31</v>
      </c>
      <c r="F1559" s="2">
        <v>46137.404177430559</v>
      </c>
      <c r="G1559" s="3">
        <v>46137</v>
      </c>
      <c r="H1559" t="s">
        <v>120</v>
      </c>
      <c r="I1559">
        <v>9</v>
      </c>
    </row>
    <row r="1560" spans="1:9" x14ac:dyDescent="0.2">
      <c r="A1560" s="18" t="s">
        <v>1800</v>
      </c>
      <c r="B1560" s="18" t="s">
        <v>10</v>
      </c>
      <c r="C1560" s="2">
        <v>46137.766796006945</v>
      </c>
      <c r="D1560">
        <v>569</v>
      </c>
      <c r="F1560" s="2">
        <v>46137.475129340281</v>
      </c>
      <c r="G1560" s="3">
        <v>46137</v>
      </c>
      <c r="H1560" t="s">
        <v>120</v>
      </c>
      <c r="I1560">
        <v>11</v>
      </c>
    </row>
    <row r="1561" spans="1:9" x14ac:dyDescent="0.2">
      <c r="A1561" s="18" t="s">
        <v>1801</v>
      </c>
      <c r="B1561" s="18" t="s">
        <v>10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120</v>
      </c>
      <c r="I1561">
        <v>22</v>
      </c>
    </row>
    <row r="1562" spans="1:9" x14ac:dyDescent="0.2">
      <c r="A1562" s="18" t="s">
        <v>1802</v>
      </c>
      <c r="B1562" s="18" t="s">
        <v>10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125</v>
      </c>
      <c r="I1562">
        <v>1</v>
      </c>
    </row>
    <row r="1563" spans="1:9" x14ac:dyDescent="0.2">
      <c r="A1563" s="18" t="s">
        <v>1803</v>
      </c>
      <c r="B1563" s="18" t="s">
        <v>10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125</v>
      </c>
      <c r="I1563">
        <v>7</v>
      </c>
    </row>
    <row r="1564" spans="1:9" x14ac:dyDescent="0.2">
      <c r="A1564" s="18" t="s">
        <v>1804</v>
      </c>
      <c r="B1564" s="18" t="s">
        <v>10</v>
      </c>
      <c r="C1564" s="2">
        <v>46138.690278252318</v>
      </c>
      <c r="D1564">
        <v>3</v>
      </c>
      <c r="F1564" s="2">
        <v>46138.398611585646</v>
      </c>
      <c r="G1564" s="3">
        <v>46138</v>
      </c>
      <c r="H1564" t="s">
        <v>125</v>
      </c>
      <c r="I1564">
        <v>9</v>
      </c>
    </row>
    <row r="1565" spans="1:9" x14ac:dyDescent="0.2">
      <c r="A1565" s="18" t="s">
        <v>1805</v>
      </c>
      <c r="B1565" s="18" t="s">
        <v>10</v>
      </c>
      <c r="C1565" s="2">
        <v>46138.71752395833</v>
      </c>
      <c r="D1565">
        <v>3</v>
      </c>
      <c r="F1565" s="2">
        <v>46138.425857291666</v>
      </c>
      <c r="G1565" s="3">
        <v>46138</v>
      </c>
      <c r="H1565" t="s">
        <v>125</v>
      </c>
      <c r="I1565">
        <v>10</v>
      </c>
    </row>
    <row r="1566" spans="1:9" x14ac:dyDescent="0.2">
      <c r="A1566" s="18" t="s">
        <v>1806</v>
      </c>
      <c r="B1566" s="18" t="s">
        <v>10</v>
      </c>
      <c r="C1566" s="2">
        <v>46138.749265937498</v>
      </c>
      <c r="D1566">
        <v>526</v>
      </c>
      <c r="F1566" s="2">
        <v>46138.457599270834</v>
      </c>
      <c r="G1566" s="3">
        <v>46138</v>
      </c>
      <c r="H1566" t="s">
        <v>125</v>
      </c>
      <c r="I1566">
        <v>10</v>
      </c>
    </row>
    <row r="1567" spans="1:9" x14ac:dyDescent="0.2">
      <c r="A1567" s="18" t="s">
        <v>1807</v>
      </c>
      <c r="B1567" s="18" t="s">
        <v>10</v>
      </c>
      <c r="C1567" s="2">
        <v>46138.751043564815</v>
      </c>
      <c r="D1567">
        <v>569</v>
      </c>
      <c r="E1567" s="7" t="s">
        <v>1808</v>
      </c>
      <c r="F1567" s="2">
        <v>46138.45937689815</v>
      </c>
      <c r="G1567" s="3">
        <v>46138</v>
      </c>
      <c r="H1567" t="s">
        <v>125</v>
      </c>
      <c r="I1567">
        <v>11</v>
      </c>
    </row>
    <row r="1568" spans="1:9" x14ac:dyDescent="0.2">
      <c r="A1568" s="18" t="s">
        <v>1809</v>
      </c>
      <c r="B1568" s="18" t="s">
        <v>10</v>
      </c>
      <c r="C1568" s="2">
        <v>46138.751229525464</v>
      </c>
      <c r="D1568">
        <v>2</v>
      </c>
      <c r="F1568" s="2">
        <v>46138.459562858799</v>
      </c>
      <c r="G1568" s="3">
        <v>46138</v>
      </c>
      <c r="H1568" t="s">
        <v>125</v>
      </c>
      <c r="I1568">
        <v>11</v>
      </c>
    </row>
    <row r="1569" spans="1:9" x14ac:dyDescent="0.2">
      <c r="A1569" s="18" t="s">
        <v>1810</v>
      </c>
      <c r="B1569" s="18" t="s">
        <v>10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125</v>
      </c>
      <c r="I1569">
        <v>12</v>
      </c>
    </row>
    <row r="1570" spans="1:9" x14ac:dyDescent="0.2">
      <c r="A1570" s="18" t="s">
        <v>1811</v>
      </c>
      <c r="B1570" s="18" t="s">
        <v>10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125</v>
      </c>
      <c r="I1570">
        <v>13</v>
      </c>
    </row>
    <row r="1571" spans="1:9" x14ac:dyDescent="0.2">
      <c r="A1571" s="18" t="s">
        <v>1812</v>
      </c>
      <c r="B1571" s="18" t="s">
        <v>10</v>
      </c>
      <c r="C1571" s="2">
        <v>46138.859416261577</v>
      </c>
      <c r="D1571">
        <v>569</v>
      </c>
      <c r="E1571" s="7" t="s">
        <v>301</v>
      </c>
      <c r="F1571" s="2">
        <v>46138.567749594906</v>
      </c>
      <c r="G1571" s="3">
        <v>46138</v>
      </c>
      <c r="H1571" t="s">
        <v>125</v>
      </c>
      <c r="I1571">
        <v>13</v>
      </c>
    </row>
    <row r="1572" spans="1:9" x14ac:dyDescent="0.2">
      <c r="A1572" s="18" t="s">
        <v>1813</v>
      </c>
      <c r="B1572" s="18" t="s">
        <v>10</v>
      </c>
      <c r="C1572" s="2">
        <v>46138.860663472224</v>
      </c>
      <c r="D1572">
        <v>3</v>
      </c>
      <c r="E1572" s="7" t="s">
        <v>1814</v>
      </c>
      <c r="F1572" s="2">
        <v>46138.568996805552</v>
      </c>
      <c r="G1572" s="3">
        <v>46138</v>
      </c>
      <c r="H1572" t="s">
        <v>125</v>
      </c>
      <c r="I1572">
        <v>13</v>
      </c>
    </row>
    <row r="1573" spans="1:9" x14ac:dyDescent="0.2">
      <c r="A1573" s="18" t="s">
        <v>1815</v>
      </c>
      <c r="B1573" s="18" t="s">
        <v>10</v>
      </c>
      <c r="C1573" s="2">
        <v>46139.373851909724</v>
      </c>
      <c r="D1573">
        <v>3</v>
      </c>
      <c r="E1573" s="7" t="s">
        <v>1816</v>
      </c>
      <c r="F1573" s="2">
        <v>46139.082185243053</v>
      </c>
      <c r="G1573" s="3">
        <v>46139</v>
      </c>
      <c r="H1573" t="s">
        <v>11</v>
      </c>
      <c r="I1573">
        <v>1</v>
      </c>
    </row>
    <row r="1574" spans="1:9" x14ac:dyDescent="0.2">
      <c r="A1574" s="18" t="s">
        <v>1817</v>
      </c>
      <c r="B1574" s="18" t="s">
        <v>10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11</v>
      </c>
      <c r="I1574">
        <v>4</v>
      </c>
    </row>
    <row r="1575" spans="1:9" x14ac:dyDescent="0.2">
      <c r="A1575" s="18" t="s">
        <v>1818</v>
      </c>
      <c r="B1575" s="18" t="s">
        <v>10</v>
      </c>
      <c r="C1575" s="2">
        <v>46139.55370895833</v>
      </c>
      <c r="D1575">
        <v>3</v>
      </c>
      <c r="E1575" s="7" t="s">
        <v>1816</v>
      </c>
      <c r="F1575" s="2">
        <v>46139.262042291666</v>
      </c>
      <c r="G1575" s="3">
        <v>46139</v>
      </c>
      <c r="H1575" t="s">
        <v>11</v>
      </c>
      <c r="I1575">
        <v>6</v>
      </c>
    </row>
    <row r="1576" spans="1:9" x14ac:dyDescent="0.2">
      <c r="A1576" s="18" t="s">
        <v>1819</v>
      </c>
      <c r="B1576" s="18" t="s">
        <v>10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11</v>
      </c>
      <c r="I1576">
        <v>6</v>
      </c>
    </row>
    <row r="1577" spans="1:9" x14ac:dyDescent="0.2">
      <c r="A1577" s="18" t="s">
        <v>1820</v>
      </c>
      <c r="B1577" s="18" t="s">
        <v>10</v>
      </c>
      <c r="C1577" s="2">
        <v>46139.673564999997</v>
      </c>
      <c r="D1577">
        <v>526</v>
      </c>
      <c r="E1577" s="7" t="s">
        <v>31</v>
      </c>
      <c r="F1577" s="2">
        <v>46139.381898333333</v>
      </c>
      <c r="G1577" s="3">
        <v>46139</v>
      </c>
      <c r="H1577" t="s">
        <v>11</v>
      </c>
      <c r="I1577">
        <v>9</v>
      </c>
    </row>
    <row r="1578" spans="1:9" x14ac:dyDescent="0.2">
      <c r="A1578" s="18" t="s">
        <v>1821</v>
      </c>
      <c r="B1578" s="18" t="s">
        <v>10</v>
      </c>
      <c r="C1578" s="2">
        <v>46139.732372013888</v>
      </c>
      <c r="D1578">
        <v>526</v>
      </c>
      <c r="E1578" s="7" t="s">
        <v>31</v>
      </c>
      <c r="F1578" s="2">
        <v>46139.440705347224</v>
      </c>
      <c r="G1578" s="3">
        <v>46139</v>
      </c>
      <c r="H1578" t="s">
        <v>11</v>
      </c>
      <c r="I1578">
        <v>10</v>
      </c>
    </row>
    <row r="1579" spans="1:9" x14ac:dyDescent="0.2">
      <c r="A1579" s="18" t="s">
        <v>1822</v>
      </c>
      <c r="B1579" s="18" t="s">
        <v>10</v>
      </c>
      <c r="C1579" s="2">
        <v>46139.745683761575</v>
      </c>
      <c r="D1579">
        <v>526</v>
      </c>
      <c r="F1579" s="2">
        <v>46139.454017094904</v>
      </c>
      <c r="G1579" s="3">
        <v>46139</v>
      </c>
      <c r="H1579" t="s">
        <v>11</v>
      </c>
      <c r="I1579">
        <v>10</v>
      </c>
    </row>
    <row r="1580" spans="1:9" x14ac:dyDescent="0.2">
      <c r="A1580" s="18" t="s">
        <v>1823</v>
      </c>
      <c r="B1580" s="18" t="s">
        <v>10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11</v>
      </c>
      <c r="I1580">
        <v>12</v>
      </c>
    </row>
    <row r="1581" spans="1:9" x14ac:dyDescent="0.2">
      <c r="A1581" s="18" t="s">
        <v>1824</v>
      </c>
      <c r="B1581" s="18" t="s">
        <v>10</v>
      </c>
      <c r="C1581" s="2">
        <v>46139.87271560185</v>
      </c>
      <c r="D1581">
        <v>526</v>
      </c>
      <c r="F1581" s="2">
        <v>46139.581048935186</v>
      </c>
      <c r="G1581" s="3">
        <v>46139</v>
      </c>
      <c r="H1581" t="s">
        <v>11</v>
      </c>
      <c r="I1581">
        <v>13</v>
      </c>
    </row>
    <row r="1582" spans="1:9" x14ac:dyDescent="0.2">
      <c r="A1582" s="18" t="s">
        <v>1825</v>
      </c>
      <c r="B1582" s="18" t="s">
        <v>10</v>
      </c>
      <c r="C1582" s="2">
        <v>46139.904558692127</v>
      </c>
      <c r="D1582">
        <v>569</v>
      </c>
      <c r="E1582" s="7" t="s">
        <v>1826</v>
      </c>
      <c r="F1582" s="2">
        <v>46139.612892025463</v>
      </c>
      <c r="G1582" s="3">
        <v>46139</v>
      </c>
      <c r="H1582" t="s">
        <v>11</v>
      </c>
      <c r="I1582">
        <v>14</v>
      </c>
    </row>
    <row r="1583" spans="1:9" x14ac:dyDescent="0.2">
      <c r="A1583" s="18" t="s">
        <v>1827</v>
      </c>
      <c r="B1583" s="18" t="s">
        <v>10</v>
      </c>
      <c r="C1583" s="2">
        <v>46139.921015115739</v>
      </c>
      <c r="D1583">
        <v>3</v>
      </c>
      <c r="E1583" s="7" t="s">
        <v>1826</v>
      </c>
      <c r="F1583" s="2">
        <v>46139.629348449074</v>
      </c>
      <c r="G1583" s="3">
        <v>46139</v>
      </c>
      <c r="H1583" t="s">
        <v>11</v>
      </c>
      <c r="I1583">
        <v>15</v>
      </c>
    </row>
    <row r="1584" spans="1:9" x14ac:dyDescent="0.2">
      <c r="A1584" s="18" t="s">
        <v>1828</v>
      </c>
      <c r="B1584" s="18" t="s">
        <v>10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11</v>
      </c>
      <c r="I1584">
        <v>15</v>
      </c>
    </row>
    <row r="1585" spans="1:9" x14ac:dyDescent="0.2">
      <c r="A1585" s="18" t="s">
        <v>1829</v>
      </c>
      <c r="B1585" s="18" t="s">
        <v>10</v>
      </c>
      <c r="C1585" s="2">
        <v>46139.97174134259</v>
      </c>
      <c r="D1585">
        <v>3</v>
      </c>
      <c r="F1585" s="2">
        <v>46139.680074675925</v>
      </c>
      <c r="G1585" s="3">
        <v>46139</v>
      </c>
      <c r="H1585" t="s">
        <v>11</v>
      </c>
      <c r="I1585">
        <v>16</v>
      </c>
    </row>
    <row r="1586" spans="1:9" x14ac:dyDescent="0.2">
      <c r="A1586" s="18" t="s">
        <v>1830</v>
      </c>
      <c r="B1586" s="18" t="s">
        <v>10</v>
      </c>
      <c r="C1586" s="2">
        <v>46139.979110162036</v>
      </c>
      <c r="D1586">
        <v>569</v>
      </c>
      <c r="E1586" s="7" t="s">
        <v>34</v>
      </c>
      <c r="F1586" s="2">
        <v>46139.687443495372</v>
      </c>
      <c r="G1586" s="3">
        <v>46139</v>
      </c>
      <c r="H1586" t="s">
        <v>11</v>
      </c>
      <c r="I1586">
        <v>16</v>
      </c>
    </row>
    <row r="1587" spans="1:9" x14ac:dyDescent="0.2">
      <c r="A1587" s="18" t="s">
        <v>1831</v>
      </c>
      <c r="B1587" s="18" t="s">
        <v>10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11</v>
      </c>
      <c r="I1587">
        <v>23</v>
      </c>
    </row>
    <row r="1588" spans="1:9" x14ac:dyDescent="0.2">
      <c r="A1588" s="18" t="s">
        <v>1832</v>
      </c>
      <c r="B1588" s="18" t="s">
        <v>10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28</v>
      </c>
      <c r="I1588">
        <v>1</v>
      </c>
    </row>
    <row r="1589" spans="1:9" x14ac:dyDescent="0.2">
      <c r="A1589" s="18" t="s">
        <v>1833</v>
      </c>
      <c r="B1589" s="18" t="s">
        <v>10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28</v>
      </c>
      <c r="I1589">
        <v>1</v>
      </c>
    </row>
    <row r="1590" spans="1:9" x14ac:dyDescent="0.2">
      <c r="A1590" s="18" t="s">
        <v>1834</v>
      </c>
      <c r="B1590" s="18" t="s">
        <v>10</v>
      </c>
      <c r="C1590" s="2">
        <v>46140.375034004632</v>
      </c>
      <c r="D1590">
        <v>2</v>
      </c>
      <c r="E1590" s="7" t="s">
        <v>709</v>
      </c>
      <c r="F1590" s="2">
        <v>46140.08336733796</v>
      </c>
      <c r="G1590" s="3">
        <v>46140</v>
      </c>
      <c r="H1590" t="s">
        <v>28</v>
      </c>
      <c r="I1590">
        <v>2</v>
      </c>
    </row>
    <row r="1591" spans="1:9" x14ac:dyDescent="0.2">
      <c r="A1591" s="18" t="s">
        <v>1835</v>
      </c>
      <c r="B1591" s="18" t="s">
        <v>10</v>
      </c>
      <c r="C1591" s="2">
        <v>46140.375596921294</v>
      </c>
      <c r="D1591">
        <v>1</v>
      </c>
      <c r="F1591" s="2">
        <v>46140.08393025463</v>
      </c>
      <c r="G1591" s="3">
        <v>46140</v>
      </c>
      <c r="H1591" t="s">
        <v>28</v>
      </c>
      <c r="I1591">
        <v>2</v>
      </c>
    </row>
    <row r="1592" spans="1:9" x14ac:dyDescent="0.2">
      <c r="A1592" s="18" t="s">
        <v>1836</v>
      </c>
      <c r="B1592" s="18" t="s">
        <v>10</v>
      </c>
      <c r="C1592" s="2">
        <v>46140.376909189814</v>
      </c>
      <c r="D1592">
        <v>3</v>
      </c>
      <c r="F1592" s="2">
        <v>46140.08524252315</v>
      </c>
      <c r="G1592" s="3">
        <v>46140</v>
      </c>
      <c r="H1592" t="s">
        <v>28</v>
      </c>
      <c r="I1592">
        <v>2</v>
      </c>
    </row>
    <row r="1593" spans="1:9" x14ac:dyDescent="0.2">
      <c r="A1593" s="18" t="s">
        <v>1837</v>
      </c>
      <c r="B1593" s="18" t="s">
        <v>10</v>
      </c>
      <c r="C1593" s="2">
        <v>46140.378118333334</v>
      </c>
      <c r="D1593">
        <v>2</v>
      </c>
      <c r="F1593" s="2">
        <v>46140.08645166667</v>
      </c>
      <c r="G1593" s="3">
        <v>46140</v>
      </c>
      <c r="H1593" t="s">
        <v>28</v>
      </c>
      <c r="I1593">
        <v>2</v>
      </c>
    </row>
    <row r="1594" spans="1:9" x14ac:dyDescent="0.2">
      <c r="A1594" s="18" t="s">
        <v>1838</v>
      </c>
      <c r="B1594" s="18" t="s">
        <v>10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28</v>
      </c>
      <c r="I1594">
        <v>3</v>
      </c>
    </row>
    <row r="1595" spans="1:9" x14ac:dyDescent="0.2">
      <c r="A1595" s="18" t="s">
        <v>1839</v>
      </c>
      <c r="B1595" s="18" t="s">
        <v>10</v>
      </c>
      <c r="C1595" s="2">
        <v>46140.434255416665</v>
      </c>
      <c r="D1595">
        <v>3</v>
      </c>
      <c r="E1595" s="7" t="s">
        <v>768</v>
      </c>
      <c r="F1595" s="2">
        <v>46140.142588750001</v>
      </c>
      <c r="G1595" s="3">
        <v>46140</v>
      </c>
      <c r="H1595" t="s">
        <v>28</v>
      </c>
      <c r="I1595">
        <v>3</v>
      </c>
    </row>
    <row r="1596" spans="1:9" x14ac:dyDescent="0.2">
      <c r="A1596" s="18" t="s">
        <v>1840</v>
      </c>
      <c r="B1596" s="18" t="s">
        <v>10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28</v>
      </c>
      <c r="I1596">
        <v>3</v>
      </c>
    </row>
    <row r="1597" spans="1:9" x14ac:dyDescent="0.2">
      <c r="A1597" s="18" t="s">
        <v>1841</v>
      </c>
      <c r="B1597" s="18" t="s">
        <v>10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28</v>
      </c>
      <c r="I1597">
        <v>3</v>
      </c>
    </row>
    <row r="1598" spans="1:9" x14ac:dyDescent="0.2">
      <c r="A1598" s="18" t="s">
        <v>1842</v>
      </c>
      <c r="B1598" s="18" t="s">
        <v>10</v>
      </c>
      <c r="C1598" s="2">
        <v>46140.442637361113</v>
      </c>
      <c r="D1598">
        <v>3</v>
      </c>
      <c r="E1598" s="7" t="s">
        <v>70</v>
      </c>
      <c r="F1598" s="2">
        <v>46140.150970694442</v>
      </c>
      <c r="G1598" s="3">
        <v>46140</v>
      </c>
      <c r="H1598" t="s">
        <v>28</v>
      </c>
      <c r="I1598">
        <v>3</v>
      </c>
    </row>
    <row r="1599" spans="1:9" x14ac:dyDescent="0.2">
      <c r="A1599" s="18" t="s">
        <v>1843</v>
      </c>
      <c r="B1599" s="18" t="s">
        <v>10</v>
      </c>
      <c r="C1599" s="2">
        <v>46140.44958375</v>
      </c>
      <c r="D1599">
        <v>526</v>
      </c>
      <c r="E1599" s="7" t="s">
        <v>31</v>
      </c>
      <c r="F1599" s="2">
        <v>46140.157917083336</v>
      </c>
      <c r="G1599" s="3">
        <v>46140</v>
      </c>
      <c r="H1599" t="s">
        <v>28</v>
      </c>
      <c r="I1599">
        <v>3</v>
      </c>
    </row>
    <row r="1600" spans="1:9" x14ac:dyDescent="0.2">
      <c r="A1600" s="18" t="s">
        <v>1844</v>
      </c>
      <c r="B1600" s="18" t="s">
        <v>10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28</v>
      </c>
      <c r="I1600">
        <v>3</v>
      </c>
    </row>
    <row r="1601" spans="1:9" x14ac:dyDescent="0.2">
      <c r="A1601" s="18" t="s">
        <v>1845</v>
      </c>
      <c r="B1601" s="18" t="s">
        <v>10</v>
      </c>
      <c r="C1601" s="2">
        <v>46140.459338749999</v>
      </c>
      <c r="D1601">
        <v>3</v>
      </c>
      <c r="F1601" s="2">
        <v>46140.167672083335</v>
      </c>
      <c r="G1601" s="3">
        <v>46140</v>
      </c>
      <c r="H1601" t="s">
        <v>28</v>
      </c>
      <c r="I1601">
        <v>4</v>
      </c>
    </row>
    <row r="1602" spans="1:9" x14ac:dyDescent="0.2">
      <c r="A1602" s="18" t="s">
        <v>1846</v>
      </c>
      <c r="B1602" s="18" t="s">
        <v>10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28</v>
      </c>
      <c r="I1602">
        <v>4</v>
      </c>
    </row>
    <row r="1603" spans="1:9" x14ac:dyDescent="0.2">
      <c r="A1603" s="18" t="s">
        <v>1847</v>
      </c>
      <c r="B1603" s="18" t="s">
        <v>10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28</v>
      </c>
      <c r="I1603">
        <v>4</v>
      </c>
    </row>
    <row r="1604" spans="1:9" x14ac:dyDescent="0.2">
      <c r="A1604" s="18" t="s">
        <v>1848</v>
      </c>
      <c r="B1604" s="18" t="s">
        <v>10</v>
      </c>
      <c r="C1604" s="2">
        <v>46140.46501753472</v>
      </c>
      <c r="D1604">
        <v>3</v>
      </c>
      <c r="E1604" s="7" t="s">
        <v>768</v>
      </c>
      <c r="F1604" s="2">
        <v>46140.173350868055</v>
      </c>
      <c r="G1604" s="3">
        <v>46140</v>
      </c>
      <c r="H1604" t="s">
        <v>28</v>
      </c>
      <c r="I1604">
        <v>4</v>
      </c>
    </row>
    <row r="1605" spans="1:9" x14ac:dyDescent="0.2">
      <c r="A1605" s="18" t="s">
        <v>1849</v>
      </c>
      <c r="B1605" s="18" t="s">
        <v>10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28</v>
      </c>
      <c r="I1605">
        <v>6</v>
      </c>
    </row>
    <row r="1606" spans="1:9" x14ac:dyDescent="0.2">
      <c r="A1606" s="18" t="s">
        <v>1850</v>
      </c>
      <c r="B1606" s="18" t="s">
        <v>10</v>
      </c>
      <c r="C1606" s="2">
        <v>46140.648522754629</v>
      </c>
      <c r="D1606">
        <v>526</v>
      </c>
      <c r="E1606" s="7" t="s">
        <v>31</v>
      </c>
      <c r="F1606" s="2">
        <v>46140.356856087965</v>
      </c>
      <c r="G1606" s="3">
        <v>46140</v>
      </c>
      <c r="H1606" t="s">
        <v>28</v>
      </c>
      <c r="I1606">
        <v>8</v>
      </c>
    </row>
    <row r="1607" spans="1:9" x14ac:dyDescent="0.2">
      <c r="A1607" s="18" t="s">
        <v>1851</v>
      </c>
      <c r="B1607" s="18" t="s">
        <v>10</v>
      </c>
      <c r="C1607" s="2">
        <v>46140.655260775464</v>
      </c>
      <c r="D1607">
        <v>33</v>
      </c>
      <c r="F1607" s="2">
        <v>46140.3635941088</v>
      </c>
      <c r="G1607" s="3">
        <v>46140</v>
      </c>
      <c r="H1607" t="s">
        <v>28</v>
      </c>
      <c r="I1607">
        <v>8</v>
      </c>
    </row>
    <row r="1608" spans="1:9" x14ac:dyDescent="0.2">
      <c r="A1608" s="18" t="s">
        <v>1852</v>
      </c>
      <c r="B1608" s="18" t="s">
        <v>10</v>
      </c>
      <c r="C1608" s="2">
        <v>46140.663228379628</v>
      </c>
      <c r="D1608">
        <v>3</v>
      </c>
      <c r="E1608" s="7" t="s">
        <v>1853</v>
      </c>
      <c r="F1608" s="2">
        <v>46140.371561712964</v>
      </c>
      <c r="G1608" s="3">
        <v>46140</v>
      </c>
      <c r="H1608" t="s">
        <v>28</v>
      </c>
      <c r="I1608">
        <v>8</v>
      </c>
    </row>
    <row r="1609" spans="1:9" x14ac:dyDescent="0.2">
      <c r="A1609" s="18" t="s">
        <v>1854</v>
      </c>
      <c r="B1609" s="18" t="s">
        <v>10</v>
      </c>
      <c r="C1609" s="2">
        <v>46140.667262106479</v>
      </c>
      <c r="D1609">
        <v>33</v>
      </c>
      <c r="F1609" s="2">
        <v>46140.375595439815</v>
      </c>
      <c r="G1609" s="3">
        <v>46140</v>
      </c>
      <c r="H1609" t="s">
        <v>28</v>
      </c>
      <c r="I1609">
        <v>9</v>
      </c>
    </row>
    <row r="1610" spans="1:9" x14ac:dyDescent="0.2">
      <c r="A1610" s="18" t="s">
        <v>1855</v>
      </c>
      <c r="B1610" s="18" t="s">
        <v>10</v>
      </c>
      <c r="C1610" s="2">
        <v>46140.669307731485</v>
      </c>
      <c r="D1610">
        <v>526</v>
      </c>
      <c r="E1610" s="7" t="s">
        <v>31</v>
      </c>
      <c r="F1610" s="2">
        <v>46140.377641064813</v>
      </c>
      <c r="G1610" s="3">
        <v>46140</v>
      </c>
      <c r="H1610" t="s">
        <v>28</v>
      </c>
      <c r="I1610">
        <v>9</v>
      </c>
    </row>
    <row r="1611" spans="1:9" x14ac:dyDescent="0.2">
      <c r="A1611" s="18" t="s">
        <v>1856</v>
      </c>
      <c r="B1611" s="18" t="s">
        <v>10</v>
      </c>
      <c r="C1611" s="2">
        <v>46140.682778668983</v>
      </c>
      <c r="D1611">
        <v>569</v>
      </c>
      <c r="E1611" s="7" t="s">
        <v>1857</v>
      </c>
      <c r="F1611" s="2">
        <v>46140.391112002311</v>
      </c>
      <c r="G1611" s="3">
        <v>46140</v>
      </c>
      <c r="H1611" t="s">
        <v>28</v>
      </c>
      <c r="I1611">
        <v>9</v>
      </c>
    </row>
    <row r="1612" spans="1:9" x14ac:dyDescent="0.2">
      <c r="A1612" s="18" t="s">
        <v>1858</v>
      </c>
      <c r="B1612" s="18" t="s">
        <v>10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28</v>
      </c>
      <c r="I1612">
        <v>10</v>
      </c>
    </row>
    <row r="1613" spans="1:9" x14ac:dyDescent="0.2">
      <c r="A1613" s="18" t="s">
        <v>1859</v>
      </c>
      <c r="B1613" s="18" t="s">
        <v>10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28</v>
      </c>
      <c r="I1613">
        <v>10</v>
      </c>
    </row>
    <row r="1614" spans="1:9" x14ac:dyDescent="0.2">
      <c r="A1614" s="18" t="s">
        <v>1860</v>
      </c>
      <c r="B1614" s="18" t="s">
        <v>10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28</v>
      </c>
      <c r="I1614">
        <v>11</v>
      </c>
    </row>
    <row r="1615" spans="1:9" x14ac:dyDescent="0.2">
      <c r="A1615" s="18" t="s">
        <v>1861</v>
      </c>
      <c r="B1615" s="18" t="s">
        <v>10</v>
      </c>
      <c r="C1615" s="2">
        <v>46140.764336053238</v>
      </c>
      <c r="D1615">
        <v>526</v>
      </c>
      <c r="E1615" s="7" t="s">
        <v>31</v>
      </c>
      <c r="F1615" s="2">
        <v>46140.472669386574</v>
      </c>
      <c r="G1615" s="3">
        <v>46140</v>
      </c>
      <c r="H1615" t="s">
        <v>28</v>
      </c>
      <c r="I1615">
        <v>11</v>
      </c>
    </row>
    <row r="1616" spans="1:9" x14ac:dyDescent="0.2">
      <c r="A1616" s="18" t="s">
        <v>1862</v>
      </c>
      <c r="B1616" s="18" t="s">
        <v>10</v>
      </c>
      <c r="C1616" s="2">
        <v>46140.801731805557</v>
      </c>
      <c r="D1616">
        <v>3</v>
      </c>
      <c r="F1616" s="2">
        <v>46140.510065138886</v>
      </c>
      <c r="G1616" s="3">
        <v>46140</v>
      </c>
      <c r="H1616" t="s">
        <v>28</v>
      </c>
      <c r="I1616">
        <v>12</v>
      </c>
    </row>
    <row r="1617" spans="1:9" x14ac:dyDescent="0.2">
      <c r="A1617" s="18" t="s">
        <v>1863</v>
      </c>
      <c r="B1617" s="18" t="s">
        <v>10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28</v>
      </c>
      <c r="I1617">
        <v>12</v>
      </c>
    </row>
    <row r="1618" spans="1:9" x14ac:dyDescent="0.2">
      <c r="A1618" s="18" t="s">
        <v>1864</v>
      </c>
      <c r="B1618" s="18" t="s">
        <v>10</v>
      </c>
      <c r="C1618" s="2">
        <v>46140.825197384256</v>
      </c>
      <c r="D1618">
        <v>33</v>
      </c>
      <c r="F1618" s="2">
        <v>46140.533530717592</v>
      </c>
      <c r="G1618" s="3">
        <v>46140</v>
      </c>
      <c r="H1618" t="s">
        <v>28</v>
      </c>
      <c r="I1618">
        <v>12</v>
      </c>
    </row>
    <row r="1619" spans="1:9" x14ac:dyDescent="0.2">
      <c r="A1619" s="18" t="s">
        <v>1865</v>
      </c>
      <c r="B1619" s="18" t="s">
        <v>10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28</v>
      </c>
      <c r="I1619">
        <v>13</v>
      </c>
    </row>
    <row r="1620" spans="1:9" x14ac:dyDescent="0.2">
      <c r="A1620" s="18" t="s">
        <v>1866</v>
      </c>
      <c r="B1620" s="18" t="s">
        <v>10</v>
      </c>
      <c r="C1620" s="2">
        <v>46140.895058090275</v>
      </c>
      <c r="D1620">
        <v>526</v>
      </c>
      <c r="F1620" s="2">
        <v>46140.60339142361</v>
      </c>
      <c r="G1620" s="3">
        <v>46140</v>
      </c>
      <c r="H1620" t="s">
        <v>28</v>
      </c>
      <c r="I1620">
        <v>14</v>
      </c>
    </row>
    <row r="1621" spans="1:9" x14ac:dyDescent="0.2">
      <c r="A1621" s="18" t="s">
        <v>1867</v>
      </c>
      <c r="B1621" s="18" t="s">
        <v>10</v>
      </c>
      <c r="C1621" s="2">
        <v>46140.907879328704</v>
      </c>
      <c r="D1621">
        <v>3</v>
      </c>
      <c r="E1621" s="7" t="s">
        <v>89</v>
      </c>
      <c r="F1621" s="2">
        <v>46140.61621266204</v>
      </c>
      <c r="G1621" s="3">
        <v>46140</v>
      </c>
      <c r="H1621" t="s">
        <v>28</v>
      </c>
      <c r="I1621">
        <v>14</v>
      </c>
    </row>
    <row r="1622" spans="1:9" x14ac:dyDescent="0.2">
      <c r="A1622" s="18" t="s">
        <v>1868</v>
      </c>
      <c r="B1622" s="18" t="s">
        <v>10</v>
      </c>
      <c r="C1622" s="2">
        <v>46140.908721180553</v>
      </c>
      <c r="D1622">
        <v>3</v>
      </c>
      <c r="E1622" s="7" t="s">
        <v>301</v>
      </c>
      <c r="F1622" s="2">
        <v>46140.617054513888</v>
      </c>
      <c r="G1622" s="3">
        <v>46140</v>
      </c>
      <c r="H1622" t="s">
        <v>28</v>
      </c>
      <c r="I1622">
        <v>14</v>
      </c>
    </row>
    <row r="1623" spans="1:9" x14ac:dyDescent="0.2">
      <c r="A1623" s="18" t="s">
        <v>1869</v>
      </c>
      <c r="B1623" s="18" t="s">
        <v>10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28</v>
      </c>
      <c r="I1623">
        <v>14</v>
      </c>
    </row>
    <row r="1624" spans="1:9" x14ac:dyDescent="0.2">
      <c r="A1624" s="18" t="s">
        <v>1870</v>
      </c>
      <c r="B1624" s="18" t="s">
        <v>10</v>
      </c>
      <c r="C1624" s="2">
        <v>46140.91379958333</v>
      </c>
      <c r="D1624">
        <v>3</v>
      </c>
      <c r="E1624" s="7" t="s">
        <v>1871</v>
      </c>
      <c r="F1624" s="2">
        <v>46140.622132916666</v>
      </c>
      <c r="G1624" s="3">
        <v>46140</v>
      </c>
      <c r="H1624" t="s">
        <v>28</v>
      </c>
      <c r="I1624">
        <v>14</v>
      </c>
    </row>
    <row r="1625" spans="1:9" x14ac:dyDescent="0.2">
      <c r="A1625" s="18" t="s">
        <v>1872</v>
      </c>
      <c r="B1625" s="18" t="s">
        <v>10</v>
      </c>
      <c r="C1625" s="2">
        <v>46140.918326863422</v>
      </c>
      <c r="D1625">
        <v>3</v>
      </c>
      <c r="E1625" s="7" t="s">
        <v>1871</v>
      </c>
      <c r="F1625" s="2">
        <v>46140.626660196758</v>
      </c>
      <c r="G1625" s="3">
        <v>46140</v>
      </c>
      <c r="H1625" t="s">
        <v>28</v>
      </c>
      <c r="I1625">
        <v>15</v>
      </c>
    </row>
    <row r="1626" spans="1:9" x14ac:dyDescent="0.2">
      <c r="A1626" s="18" t="s">
        <v>1873</v>
      </c>
      <c r="B1626" s="18" t="s">
        <v>10</v>
      </c>
      <c r="C1626" s="2">
        <v>46140.957296157409</v>
      </c>
      <c r="D1626">
        <v>526</v>
      </c>
      <c r="F1626" s="2">
        <v>46140.665629490744</v>
      </c>
      <c r="G1626" s="3">
        <v>46140</v>
      </c>
      <c r="H1626" t="s">
        <v>28</v>
      </c>
      <c r="I1626">
        <v>15</v>
      </c>
    </row>
    <row r="1627" spans="1:9" x14ac:dyDescent="0.2">
      <c r="A1627" s="18" t="s">
        <v>1874</v>
      </c>
      <c r="B1627" s="18" t="s">
        <v>10</v>
      </c>
      <c r="C1627" s="2">
        <v>46141.279534444446</v>
      </c>
      <c r="D1627">
        <v>526</v>
      </c>
      <c r="F1627" s="2">
        <v>46140.987867777774</v>
      </c>
      <c r="G1627" s="3">
        <v>46140</v>
      </c>
      <c r="H1627" t="s">
        <v>28</v>
      </c>
      <c r="I1627">
        <v>23</v>
      </c>
    </row>
    <row r="1628" spans="1:9" x14ac:dyDescent="0.2">
      <c r="A1628" s="18" t="s">
        <v>1875</v>
      </c>
      <c r="B1628" s="18" t="s">
        <v>10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63</v>
      </c>
      <c r="I1628">
        <v>0</v>
      </c>
    </row>
    <row r="1629" spans="1:9" x14ac:dyDescent="0.2">
      <c r="A1629" s="18" t="s">
        <v>1876</v>
      </c>
      <c r="B1629" s="18" t="s">
        <v>10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63</v>
      </c>
      <c r="I1629">
        <v>1</v>
      </c>
    </row>
    <row r="1630" spans="1:9" x14ac:dyDescent="0.2">
      <c r="A1630" s="18" t="s">
        <v>1877</v>
      </c>
      <c r="B1630" s="18" t="s">
        <v>10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63</v>
      </c>
      <c r="I1630">
        <v>1</v>
      </c>
    </row>
    <row r="1631" spans="1:9" x14ac:dyDescent="0.2">
      <c r="A1631" s="18" t="s">
        <v>1878</v>
      </c>
      <c r="B1631" s="18" t="s">
        <v>10</v>
      </c>
      <c r="C1631" s="2">
        <v>46141.394426006947</v>
      </c>
      <c r="D1631">
        <v>526</v>
      </c>
      <c r="E1631" s="7" t="s">
        <v>275</v>
      </c>
      <c r="F1631" s="2">
        <v>46141.102759340276</v>
      </c>
      <c r="G1631" s="3">
        <v>46141</v>
      </c>
      <c r="H1631" t="s">
        <v>63</v>
      </c>
      <c r="I1631">
        <v>2</v>
      </c>
    </row>
    <row r="1632" spans="1:9" x14ac:dyDescent="0.2">
      <c r="A1632" s="18" t="s">
        <v>1879</v>
      </c>
      <c r="B1632" s="18" t="s">
        <v>10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63</v>
      </c>
      <c r="I1632">
        <v>2</v>
      </c>
    </row>
    <row r="1633" spans="1:9" x14ac:dyDescent="0.2">
      <c r="A1633" s="18" t="s">
        <v>1880</v>
      </c>
      <c r="B1633" s="18" t="s">
        <v>10</v>
      </c>
      <c r="C1633" s="2">
        <v>46141.42177591435</v>
      </c>
      <c r="D1633">
        <v>526</v>
      </c>
      <c r="F1633" s="2">
        <v>46141.130109247686</v>
      </c>
      <c r="G1633" s="3">
        <v>46141</v>
      </c>
      <c r="H1633" t="s">
        <v>63</v>
      </c>
      <c r="I1633">
        <v>3</v>
      </c>
    </row>
    <row r="1634" spans="1:9" x14ac:dyDescent="0.2">
      <c r="A1634" s="18" t="s">
        <v>1881</v>
      </c>
      <c r="B1634" s="18" t="s">
        <v>10</v>
      </c>
      <c r="C1634" s="2">
        <v>46141.574639074075</v>
      </c>
      <c r="D1634">
        <v>569</v>
      </c>
      <c r="F1634" s="2">
        <v>46141.282972407411</v>
      </c>
      <c r="G1634" s="3">
        <v>46141</v>
      </c>
      <c r="H1634" t="s">
        <v>63</v>
      </c>
      <c r="I1634">
        <v>6</v>
      </c>
    </row>
    <row r="1635" spans="1:9" x14ac:dyDescent="0.2">
      <c r="A1635" s="18" t="s">
        <v>1882</v>
      </c>
      <c r="B1635" s="18" t="s">
        <v>10</v>
      </c>
      <c r="C1635" s="2">
        <v>46141.763379490738</v>
      </c>
      <c r="D1635">
        <v>526</v>
      </c>
      <c r="E1635" s="7" t="s">
        <v>31</v>
      </c>
      <c r="F1635" s="2">
        <v>46141.471712824074</v>
      </c>
      <c r="G1635" s="3">
        <v>46141</v>
      </c>
      <c r="H1635" t="s">
        <v>63</v>
      </c>
      <c r="I1635">
        <v>11</v>
      </c>
    </row>
    <row r="1636" spans="1:9" x14ac:dyDescent="0.2">
      <c r="A1636" s="18" t="s">
        <v>1883</v>
      </c>
      <c r="B1636" s="18" t="s">
        <v>10</v>
      </c>
      <c r="C1636" s="2">
        <v>46141.861974733794</v>
      </c>
      <c r="D1636">
        <v>33</v>
      </c>
      <c r="F1636" s="2">
        <v>46141.57030806713</v>
      </c>
      <c r="G1636" s="3">
        <v>46141</v>
      </c>
      <c r="H1636" t="s">
        <v>63</v>
      </c>
      <c r="I1636">
        <v>13</v>
      </c>
    </row>
    <row r="1637" spans="1:9" x14ac:dyDescent="0.2">
      <c r="A1637" s="18" t="s">
        <v>1884</v>
      </c>
      <c r="B1637" s="18" t="s">
        <v>10</v>
      </c>
      <c r="C1637" s="2">
        <v>46141.938073368059</v>
      </c>
      <c r="D1637">
        <v>3</v>
      </c>
      <c r="E1637" s="7" t="s">
        <v>1885</v>
      </c>
      <c r="F1637" s="2">
        <v>46141.646406701388</v>
      </c>
      <c r="G1637" s="3">
        <v>46141</v>
      </c>
      <c r="H1637" t="s">
        <v>63</v>
      </c>
      <c r="I1637">
        <v>15</v>
      </c>
    </row>
    <row r="1638" spans="1:9" x14ac:dyDescent="0.2">
      <c r="A1638" s="18" t="s">
        <v>1886</v>
      </c>
      <c r="B1638" s="18" t="s">
        <v>10</v>
      </c>
      <c r="C1638" s="2">
        <v>46141.990489131946</v>
      </c>
      <c r="D1638">
        <v>526</v>
      </c>
      <c r="E1638" s="7" t="s">
        <v>31</v>
      </c>
      <c r="F1638" s="2">
        <v>46141.698822465281</v>
      </c>
      <c r="G1638" s="3">
        <v>46141</v>
      </c>
      <c r="H1638" t="s">
        <v>63</v>
      </c>
      <c r="I1638">
        <v>16</v>
      </c>
    </row>
    <row r="1639" spans="1:9" x14ac:dyDescent="0.2">
      <c r="A1639" s="18" t="s">
        <v>1887</v>
      </c>
      <c r="B1639" s="18" t="s">
        <v>10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63</v>
      </c>
      <c r="I1639">
        <v>22</v>
      </c>
    </row>
    <row r="1640" spans="1:9" x14ac:dyDescent="0.2">
      <c r="A1640" s="18" t="s">
        <v>1888</v>
      </c>
      <c r="B1640" s="18" t="s">
        <v>10</v>
      </c>
      <c r="C1640" s="2">
        <v>46142.32497144676</v>
      </c>
      <c r="D1640">
        <v>526</v>
      </c>
      <c r="F1640" s="2">
        <v>46142.033304780096</v>
      </c>
      <c r="G1640" s="3">
        <v>46142</v>
      </c>
      <c r="H1640" t="s">
        <v>95</v>
      </c>
      <c r="I1640">
        <v>0</v>
      </c>
    </row>
    <row r="1641" spans="1:9" x14ac:dyDescent="0.2">
      <c r="A1641" s="18" t="s">
        <v>1889</v>
      </c>
      <c r="B1641" s="18" t="s">
        <v>10</v>
      </c>
      <c r="C1641" s="2">
        <v>46142.330405370369</v>
      </c>
      <c r="D1641">
        <v>3</v>
      </c>
      <c r="F1641" s="2">
        <v>46142.038738703704</v>
      </c>
      <c r="G1641" s="3">
        <v>46142</v>
      </c>
      <c r="H1641" t="s">
        <v>95</v>
      </c>
      <c r="I1641">
        <v>0</v>
      </c>
    </row>
    <row r="1642" spans="1:9" x14ac:dyDescent="0.2">
      <c r="A1642" s="18" t="s">
        <v>1890</v>
      </c>
      <c r="B1642" s="18" t="s">
        <v>10</v>
      </c>
      <c r="C1642" s="2">
        <v>46142.338549189815</v>
      </c>
      <c r="D1642">
        <v>526</v>
      </c>
      <c r="F1642" s="2">
        <v>46142.046882523151</v>
      </c>
      <c r="G1642" s="3">
        <v>46142</v>
      </c>
      <c r="H1642" t="s">
        <v>95</v>
      </c>
      <c r="I1642">
        <v>1</v>
      </c>
    </row>
    <row r="1643" spans="1:9" x14ac:dyDescent="0.2">
      <c r="A1643" s="18" t="s">
        <v>1891</v>
      </c>
      <c r="B1643" s="18" t="s">
        <v>10</v>
      </c>
      <c r="C1643" s="2">
        <v>46142.37019952546</v>
      </c>
      <c r="D1643">
        <v>3</v>
      </c>
      <c r="F1643" s="2">
        <v>46142.078532858795</v>
      </c>
      <c r="G1643" s="3">
        <v>46142</v>
      </c>
      <c r="H1643" t="s">
        <v>95</v>
      </c>
      <c r="I1643">
        <v>1</v>
      </c>
    </row>
    <row r="1644" spans="1:9" x14ac:dyDescent="0.2">
      <c r="A1644" s="18" t="s">
        <v>1892</v>
      </c>
      <c r="B1644" s="18" t="s">
        <v>10</v>
      </c>
      <c r="C1644" s="2">
        <v>46142.376781377316</v>
      </c>
      <c r="D1644">
        <v>3</v>
      </c>
      <c r="E1644" s="7" t="s">
        <v>768</v>
      </c>
      <c r="F1644" s="2">
        <v>46142.085114710651</v>
      </c>
      <c r="G1644" s="3">
        <v>46142</v>
      </c>
      <c r="H1644" t="s">
        <v>95</v>
      </c>
      <c r="I1644">
        <v>2</v>
      </c>
    </row>
    <row r="1645" spans="1:9" x14ac:dyDescent="0.2">
      <c r="A1645" s="18" t="s">
        <v>1893</v>
      </c>
      <c r="B1645" s="18" t="s">
        <v>10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95</v>
      </c>
      <c r="I1645">
        <v>2</v>
      </c>
    </row>
    <row r="1646" spans="1:9" x14ac:dyDescent="0.2">
      <c r="A1646" s="18" t="s">
        <v>1894</v>
      </c>
      <c r="B1646" s="18" t="s">
        <v>10</v>
      </c>
      <c r="C1646" s="2">
        <v>46142.377321122687</v>
      </c>
      <c r="D1646">
        <v>526</v>
      </c>
      <c r="F1646" s="2">
        <v>46142.085654456016</v>
      </c>
      <c r="G1646" s="3">
        <v>46142</v>
      </c>
      <c r="H1646" t="s">
        <v>95</v>
      </c>
      <c r="I1646">
        <v>2</v>
      </c>
    </row>
    <row r="1647" spans="1:9" x14ac:dyDescent="0.2">
      <c r="A1647" s="18" t="s">
        <v>1895</v>
      </c>
      <c r="B1647" s="18" t="s">
        <v>10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95</v>
      </c>
      <c r="I1647">
        <v>4</v>
      </c>
    </row>
    <row r="1648" spans="1:9" x14ac:dyDescent="0.2">
      <c r="A1648" s="18" t="s">
        <v>1896</v>
      </c>
      <c r="B1648" s="18" t="s">
        <v>10</v>
      </c>
      <c r="C1648" s="2">
        <v>46142.470105451386</v>
      </c>
      <c r="D1648">
        <v>3</v>
      </c>
      <c r="F1648" s="2">
        <v>46142.178438784722</v>
      </c>
      <c r="G1648" s="3">
        <v>46142</v>
      </c>
      <c r="H1648" t="s">
        <v>95</v>
      </c>
      <c r="I1648">
        <v>4</v>
      </c>
    </row>
    <row r="1649" spans="1:9" x14ac:dyDescent="0.2">
      <c r="A1649" s="18" t="s">
        <v>1897</v>
      </c>
      <c r="B1649" s="18" t="s">
        <v>10</v>
      </c>
      <c r="C1649" s="2">
        <v>46142.478101446759</v>
      </c>
      <c r="D1649">
        <v>526</v>
      </c>
      <c r="E1649" s="7" t="s">
        <v>768</v>
      </c>
      <c r="F1649" s="2">
        <v>46142.186434780095</v>
      </c>
      <c r="G1649" s="3">
        <v>46142</v>
      </c>
      <c r="H1649" t="s">
        <v>95</v>
      </c>
      <c r="I1649">
        <v>4</v>
      </c>
    </row>
    <row r="1650" spans="1:9" x14ac:dyDescent="0.2">
      <c r="A1650" s="18" t="s">
        <v>1898</v>
      </c>
      <c r="B1650" s="18" t="s">
        <v>10</v>
      </c>
      <c r="C1650" s="2">
        <v>46142.480723923611</v>
      </c>
      <c r="D1650">
        <v>2</v>
      </c>
      <c r="E1650" s="7" t="s">
        <v>70</v>
      </c>
      <c r="F1650" s="2">
        <v>46142.189057256946</v>
      </c>
      <c r="G1650" s="3">
        <v>46142</v>
      </c>
      <c r="H1650" t="s">
        <v>95</v>
      </c>
      <c r="I1650">
        <v>4</v>
      </c>
    </row>
    <row r="1651" spans="1:9" x14ac:dyDescent="0.2">
      <c r="A1651" s="18" t="s">
        <v>1899</v>
      </c>
      <c r="B1651" s="18" t="s">
        <v>10</v>
      </c>
      <c r="C1651" s="2">
        <v>46142.590579398151</v>
      </c>
      <c r="D1651">
        <v>3</v>
      </c>
      <c r="E1651" s="7" t="s">
        <v>1900</v>
      </c>
      <c r="F1651" s="2">
        <v>46142.29891273148</v>
      </c>
      <c r="G1651" s="3">
        <v>46142</v>
      </c>
      <c r="H1651" t="s">
        <v>95</v>
      </c>
      <c r="I1651">
        <v>7</v>
      </c>
    </row>
    <row r="1652" spans="1:9" x14ac:dyDescent="0.2">
      <c r="A1652" s="18" t="s">
        <v>1901</v>
      </c>
      <c r="B1652" s="18" t="s">
        <v>10</v>
      </c>
      <c r="C1652" s="2">
        <v>46142.591535231484</v>
      </c>
      <c r="D1652">
        <v>526</v>
      </c>
      <c r="E1652" s="7" t="s">
        <v>1902</v>
      </c>
      <c r="F1652" s="2">
        <v>46142.299868564813</v>
      </c>
      <c r="G1652" s="3">
        <v>46142</v>
      </c>
      <c r="H1652" t="s">
        <v>95</v>
      </c>
      <c r="I1652">
        <v>7</v>
      </c>
    </row>
    <row r="1653" spans="1:9" x14ac:dyDescent="0.2">
      <c r="A1653" s="18" t="s">
        <v>1903</v>
      </c>
      <c r="B1653" s="18" t="s">
        <v>10</v>
      </c>
      <c r="C1653" s="2">
        <v>46142.598439976849</v>
      </c>
      <c r="D1653">
        <v>526</v>
      </c>
      <c r="E1653" s="7" t="s">
        <v>1904</v>
      </c>
      <c r="F1653" s="2">
        <v>46142.306773310185</v>
      </c>
      <c r="G1653" s="3">
        <v>46142</v>
      </c>
      <c r="H1653" t="s">
        <v>95</v>
      </c>
      <c r="I1653">
        <v>7</v>
      </c>
    </row>
    <row r="1654" spans="1:9" x14ac:dyDescent="0.2">
      <c r="A1654" s="18" t="s">
        <v>1905</v>
      </c>
      <c r="B1654" s="18" t="s">
        <v>10</v>
      </c>
      <c r="C1654" s="2">
        <v>46142.737073842596</v>
      </c>
      <c r="D1654">
        <v>526</v>
      </c>
      <c r="F1654" s="2">
        <v>46142.445407175925</v>
      </c>
      <c r="G1654" s="3">
        <v>46142</v>
      </c>
      <c r="H1654" t="s">
        <v>95</v>
      </c>
      <c r="I1654">
        <v>10</v>
      </c>
    </row>
    <row r="1655" spans="1:9" x14ac:dyDescent="0.2">
      <c r="A1655" s="18" t="s">
        <v>1906</v>
      </c>
      <c r="B1655" s="18" t="s">
        <v>10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95</v>
      </c>
      <c r="I1655">
        <v>12</v>
      </c>
    </row>
    <row r="1656" spans="1:9" x14ac:dyDescent="0.2">
      <c r="A1656" s="18" t="s">
        <v>1907</v>
      </c>
      <c r="B1656" s="18" t="s">
        <v>10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95</v>
      </c>
      <c r="I1656">
        <v>13</v>
      </c>
    </row>
    <row r="1657" spans="1:9" x14ac:dyDescent="0.2">
      <c r="A1657" s="18" t="s">
        <v>1908</v>
      </c>
      <c r="B1657" s="18" t="s">
        <v>10</v>
      </c>
      <c r="C1657" s="2">
        <v>46142.87741616898</v>
      </c>
      <c r="D1657">
        <v>569</v>
      </c>
      <c r="E1657" s="7" t="s">
        <v>305</v>
      </c>
      <c r="F1657" s="2">
        <v>46142.585749502316</v>
      </c>
      <c r="G1657" s="3">
        <v>46142</v>
      </c>
      <c r="H1657" t="s">
        <v>95</v>
      </c>
      <c r="I1657">
        <v>14</v>
      </c>
    </row>
    <row r="1658" spans="1:9" x14ac:dyDescent="0.2">
      <c r="A1658" s="18" t="s">
        <v>1909</v>
      </c>
      <c r="B1658" s="18" t="s">
        <v>10</v>
      </c>
      <c r="C1658" s="2">
        <v>46142.882102037038</v>
      </c>
      <c r="D1658">
        <v>569</v>
      </c>
      <c r="E1658" s="7" t="s">
        <v>1910</v>
      </c>
      <c r="F1658" s="2">
        <v>46142.590435370374</v>
      </c>
      <c r="G1658" s="3">
        <v>46142</v>
      </c>
      <c r="H1658" t="s">
        <v>95</v>
      </c>
      <c r="I1658">
        <v>14</v>
      </c>
    </row>
    <row r="1659" spans="1:9" x14ac:dyDescent="0.2">
      <c r="A1659" s="18" t="s">
        <v>1911</v>
      </c>
      <c r="B1659" s="18" t="s">
        <v>10</v>
      </c>
      <c r="C1659" s="2">
        <v>46142.895421643516</v>
      </c>
      <c r="D1659">
        <v>3</v>
      </c>
      <c r="E1659" s="7" t="s">
        <v>1912</v>
      </c>
      <c r="F1659" s="2">
        <v>46142.603754976852</v>
      </c>
      <c r="G1659" s="3">
        <v>46142</v>
      </c>
      <c r="H1659" t="s">
        <v>95</v>
      </c>
      <c r="I1659">
        <v>14</v>
      </c>
    </row>
    <row r="1660" spans="1:9" x14ac:dyDescent="0.2">
      <c r="A1660" s="18" t="s">
        <v>1913</v>
      </c>
      <c r="B1660" s="18" t="s">
        <v>10</v>
      </c>
      <c r="C1660" s="2">
        <v>46142.898730624998</v>
      </c>
      <c r="D1660">
        <v>569</v>
      </c>
      <c r="F1660" s="2">
        <v>46142.607063958334</v>
      </c>
      <c r="G1660" s="3">
        <v>46142</v>
      </c>
      <c r="H1660" t="s">
        <v>95</v>
      </c>
      <c r="I1660">
        <v>14</v>
      </c>
    </row>
    <row r="1661" spans="1:9" x14ac:dyDescent="0.2">
      <c r="A1661" s="18" t="s">
        <v>1914</v>
      </c>
      <c r="B1661" s="18" t="s">
        <v>10</v>
      </c>
      <c r="C1661" s="2">
        <v>46142.91956115741</v>
      </c>
      <c r="D1661">
        <v>569</v>
      </c>
      <c r="E1661" s="7" t="s">
        <v>1910</v>
      </c>
      <c r="F1661" s="2">
        <v>46142.627894490739</v>
      </c>
      <c r="G1661" s="3">
        <v>46142</v>
      </c>
      <c r="H1661" t="s">
        <v>95</v>
      </c>
      <c r="I1661">
        <v>15</v>
      </c>
    </row>
    <row r="1662" spans="1:9" x14ac:dyDescent="0.2">
      <c r="A1662" s="18" t="s">
        <v>1915</v>
      </c>
      <c r="B1662" s="18" t="s">
        <v>10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95</v>
      </c>
      <c r="I1662">
        <v>15</v>
      </c>
    </row>
    <row r="1663" spans="1:9" x14ac:dyDescent="0.2">
      <c r="A1663" s="18" t="s">
        <v>1916</v>
      </c>
      <c r="B1663" s="18" t="s">
        <v>10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115</v>
      </c>
      <c r="I1663">
        <v>4</v>
      </c>
    </row>
    <row r="1664" spans="1:9" x14ac:dyDescent="0.2">
      <c r="A1664" s="18" t="s">
        <v>1917</v>
      </c>
      <c r="B1664" s="18" t="s">
        <v>10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115</v>
      </c>
      <c r="I1664">
        <v>6</v>
      </c>
    </row>
    <row r="1665" spans="1:9" x14ac:dyDescent="0.2">
      <c r="A1665" s="18" t="s">
        <v>1918</v>
      </c>
      <c r="B1665" s="18" t="s">
        <v>10</v>
      </c>
      <c r="C1665" s="2">
        <v>46143.561567708333</v>
      </c>
      <c r="D1665">
        <v>3</v>
      </c>
      <c r="E1665" s="7" t="s">
        <v>768</v>
      </c>
      <c r="F1665" s="2">
        <v>46143.269901041669</v>
      </c>
      <c r="G1665" s="3">
        <v>46143</v>
      </c>
      <c r="H1665" t="s">
        <v>115</v>
      </c>
      <c r="I1665">
        <v>6</v>
      </c>
    </row>
    <row r="1666" spans="1:9" x14ac:dyDescent="0.2">
      <c r="A1666" s="18" t="s">
        <v>1919</v>
      </c>
      <c r="B1666" s="18" t="s">
        <v>10</v>
      </c>
      <c r="C1666" s="2">
        <v>46143.562137719906</v>
      </c>
      <c r="D1666">
        <v>526</v>
      </c>
      <c r="E1666" s="7" t="s">
        <v>275</v>
      </c>
      <c r="F1666" s="2">
        <v>46143.270471053242</v>
      </c>
      <c r="G1666" s="3">
        <v>46143</v>
      </c>
      <c r="H1666" t="s">
        <v>115</v>
      </c>
      <c r="I1666">
        <v>6</v>
      </c>
    </row>
    <row r="1667" spans="1:9" x14ac:dyDescent="0.2">
      <c r="A1667" s="18" t="s">
        <v>1920</v>
      </c>
      <c r="B1667" s="18" t="s">
        <v>10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115</v>
      </c>
      <c r="I1667">
        <v>6</v>
      </c>
    </row>
    <row r="1668" spans="1:9" x14ac:dyDescent="0.2">
      <c r="A1668" s="18" t="s">
        <v>1921</v>
      </c>
      <c r="B1668" s="18" t="s">
        <v>10</v>
      </c>
      <c r="C1668" s="2">
        <v>46143.591939456019</v>
      </c>
      <c r="D1668">
        <v>526</v>
      </c>
      <c r="F1668" s="2">
        <v>46143.300272789354</v>
      </c>
      <c r="G1668" s="3">
        <v>46143</v>
      </c>
      <c r="H1668" t="s">
        <v>115</v>
      </c>
      <c r="I1668">
        <v>7</v>
      </c>
    </row>
    <row r="1669" spans="1:9" x14ac:dyDescent="0.2">
      <c r="A1669" s="18" t="s">
        <v>1922</v>
      </c>
      <c r="B1669" s="18" t="s">
        <v>10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115</v>
      </c>
      <c r="I1669">
        <v>8</v>
      </c>
    </row>
    <row r="1670" spans="1:9" x14ac:dyDescent="0.2">
      <c r="A1670" s="18" t="s">
        <v>1923</v>
      </c>
      <c r="B1670" s="18" t="s">
        <v>10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115</v>
      </c>
      <c r="I1670">
        <v>8</v>
      </c>
    </row>
    <row r="1671" spans="1:9" x14ac:dyDescent="0.2">
      <c r="A1671" s="18" t="s">
        <v>1924</v>
      </c>
      <c r="B1671" s="18" t="s">
        <v>10</v>
      </c>
      <c r="C1671" s="2">
        <v>46143.676120995369</v>
      </c>
      <c r="D1671">
        <v>526</v>
      </c>
      <c r="F1671" s="2">
        <v>46143.384454328705</v>
      </c>
      <c r="G1671" s="3">
        <v>46143</v>
      </c>
      <c r="H1671" t="s">
        <v>115</v>
      </c>
      <c r="I1671">
        <v>9</v>
      </c>
    </row>
    <row r="1672" spans="1:9" x14ac:dyDescent="0.2">
      <c r="A1672" s="18" t="s">
        <v>1925</v>
      </c>
      <c r="B1672" s="18" t="s">
        <v>10</v>
      </c>
      <c r="C1672" s="2">
        <v>46143.734425740739</v>
      </c>
      <c r="D1672">
        <v>569</v>
      </c>
      <c r="E1672" s="7" t="s">
        <v>1910</v>
      </c>
      <c r="F1672" s="2">
        <v>46143.442759074074</v>
      </c>
      <c r="G1672" s="3">
        <v>46143</v>
      </c>
      <c r="H1672" t="s">
        <v>115</v>
      </c>
      <c r="I1672">
        <v>10</v>
      </c>
    </row>
    <row r="1673" spans="1:9" x14ac:dyDescent="0.2">
      <c r="A1673" s="18" t="s">
        <v>1926</v>
      </c>
      <c r="B1673" s="18" t="s">
        <v>10</v>
      </c>
      <c r="C1673" s="2">
        <v>46143.738750381941</v>
      </c>
      <c r="D1673">
        <v>569</v>
      </c>
      <c r="E1673" s="7" t="s">
        <v>1927</v>
      </c>
      <c r="F1673" s="2">
        <v>46143.447083715277</v>
      </c>
      <c r="G1673" s="3">
        <v>46143</v>
      </c>
      <c r="H1673" t="s">
        <v>115</v>
      </c>
      <c r="I1673">
        <v>10</v>
      </c>
    </row>
    <row r="1674" spans="1:9" x14ac:dyDescent="0.2">
      <c r="A1674" s="18" t="s">
        <v>1928</v>
      </c>
      <c r="B1674" s="18" t="s">
        <v>10</v>
      </c>
      <c r="C1674" s="2">
        <v>46144.416582256941</v>
      </c>
      <c r="D1674">
        <v>2</v>
      </c>
      <c r="E1674" s="7" t="s">
        <v>323</v>
      </c>
      <c r="F1674" s="2">
        <v>46144.124915590277</v>
      </c>
      <c r="G1674" s="3">
        <v>46144</v>
      </c>
      <c r="H1674" t="s">
        <v>120</v>
      </c>
      <c r="I1674">
        <v>2</v>
      </c>
    </row>
    <row r="1675" spans="1:9" x14ac:dyDescent="0.2">
      <c r="A1675" s="18" t="s">
        <v>1929</v>
      </c>
      <c r="B1675" s="18" t="s">
        <v>10</v>
      </c>
      <c r="C1675" s="2">
        <v>46144.421539675925</v>
      </c>
      <c r="D1675">
        <v>2</v>
      </c>
      <c r="E1675" s="7" t="s">
        <v>323</v>
      </c>
      <c r="F1675" s="2">
        <v>46144.12987300926</v>
      </c>
      <c r="G1675" s="3">
        <v>46144</v>
      </c>
      <c r="H1675" t="s">
        <v>120</v>
      </c>
      <c r="I1675">
        <v>3</v>
      </c>
    </row>
    <row r="1676" spans="1:9" x14ac:dyDescent="0.2">
      <c r="A1676" s="18" t="s">
        <v>1930</v>
      </c>
      <c r="B1676" s="18" t="s">
        <v>10</v>
      </c>
      <c r="C1676" s="2">
        <v>46144.507249930553</v>
      </c>
      <c r="D1676">
        <v>526</v>
      </c>
      <c r="F1676" s="2">
        <v>46144.215583263889</v>
      </c>
      <c r="G1676" s="3">
        <v>46144</v>
      </c>
      <c r="H1676" t="s">
        <v>120</v>
      </c>
      <c r="I1676">
        <v>5</v>
      </c>
    </row>
    <row r="1677" spans="1:9" x14ac:dyDescent="0.2">
      <c r="A1677" s="18" t="s">
        <v>1931</v>
      </c>
      <c r="B1677" s="18" t="s">
        <v>10</v>
      </c>
      <c r="C1677" s="2">
        <v>46144.601703518521</v>
      </c>
      <c r="D1677">
        <v>526</v>
      </c>
      <c r="E1677" s="7" t="s">
        <v>275</v>
      </c>
      <c r="F1677" s="2">
        <v>46144.31003685185</v>
      </c>
      <c r="G1677" s="3">
        <v>46144</v>
      </c>
      <c r="H1677" t="s">
        <v>120</v>
      </c>
      <c r="I1677">
        <v>7</v>
      </c>
    </row>
    <row r="1678" spans="1:9" x14ac:dyDescent="0.2">
      <c r="A1678" s="18" t="s">
        <v>1932</v>
      </c>
      <c r="B1678" s="18" t="s">
        <v>10</v>
      </c>
      <c r="C1678" s="2">
        <v>46144.62389354167</v>
      </c>
      <c r="D1678">
        <v>34</v>
      </c>
      <c r="F1678" s="2">
        <v>46144.332226874998</v>
      </c>
      <c r="G1678" s="3">
        <v>46144</v>
      </c>
      <c r="H1678" t="s">
        <v>120</v>
      </c>
      <c r="I1678">
        <v>7</v>
      </c>
    </row>
    <row r="1679" spans="1:9" x14ac:dyDescent="0.2">
      <c r="A1679" s="18" t="s">
        <v>1933</v>
      </c>
      <c r="B1679" s="18" t="s">
        <v>10</v>
      </c>
      <c r="C1679" s="2">
        <v>46144.626464745372</v>
      </c>
      <c r="D1679">
        <v>34</v>
      </c>
      <c r="F1679" s="2">
        <v>46144.3347980787</v>
      </c>
      <c r="G1679" s="3">
        <v>46144</v>
      </c>
      <c r="H1679" t="s">
        <v>120</v>
      </c>
      <c r="I1679">
        <v>8</v>
      </c>
    </row>
    <row r="1680" spans="1:9" x14ac:dyDescent="0.2">
      <c r="A1680" s="18" t="s">
        <v>1934</v>
      </c>
      <c r="B1680" s="18" t="s">
        <v>10</v>
      </c>
      <c r="C1680" s="2">
        <v>46144.632627858795</v>
      </c>
      <c r="D1680">
        <v>3</v>
      </c>
      <c r="E1680" s="7" t="s">
        <v>275</v>
      </c>
      <c r="F1680" s="2">
        <v>46144.340961192131</v>
      </c>
      <c r="G1680" s="3">
        <v>46144</v>
      </c>
      <c r="H1680" t="s">
        <v>120</v>
      </c>
      <c r="I1680">
        <v>8</v>
      </c>
    </row>
    <row r="1681" spans="1:9" x14ac:dyDescent="0.2">
      <c r="A1681" s="18" t="s">
        <v>1935</v>
      </c>
      <c r="B1681" s="18" t="s">
        <v>10</v>
      </c>
      <c r="C1681" s="2">
        <v>46144.642665405096</v>
      </c>
      <c r="D1681">
        <v>569</v>
      </c>
      <c r="F1681" s="2">
        <v>46144.350998738424</v>
      </c>
      <c r="G1681" s="3">
        <v>46144</v>
      </c>
      <c r="H1681" t="s">
        <v>120</v>
      </c>
      <c r="I1681">
        <v>8</v>
      </c>
    </row>
    <row r="1682" spans="1:9" x14ac:dyDescent="0.2">
      <c r="A1682" s="18" t="s">
        <v>1936</v>
      </c>
      <c r="B1682" s="18" t="s">
        <v>10</v>
      </c>
      <c r="C1682" s="2">
        <v>46144.744212245372</v>
      </c>
      <c r="D1682">
        <v>526</v>
      </c>
      <c r="F1682" s="2">
        <v>46144.452545578701</v>
      </c>
      <c r="G1682" s="3">
        <v>46144</v>
      </c>
      <c r="H1682" t="s">
        <v>120</v>
      </c>
      <c r="I1682">
        <v>10</v>
      </c>
    </row>
    <row r="1683" spans="1:9" x14ac:dyDescent="0.2">
      <c r="A1683" s="18" t="s">
        <v>1937</v>
      </c>
      <c r="B1683" s="18" t="s">
        <v>10</v>
      </c>
      <c r="C1683" s="2">
        <v>46144.752656435187</v>
      </c>
      <c r="D1683">
        <v>526</v>
      </c>
      <c r="F1683" s="2">
        <v>46144.460989768515</v>
      </c>
      <c r="G1683" s="3">
        <v>46144</v>
      </c>
      <c r="H1683" t="s">
        <v>120</v>
      </c>
      <c r="I1683">
        <v>11</v>
      </c>
    </row>
    <row r="1684" spans="1:9" x14ac:dyDescent="0.2">
      <c r="A1684" s="18" t="s">
        <v>1938</v>
      </c>
      <c r="B1684" s="18" t="s">
        <v>10</v>
      </c>
      <c r="C1684" s="2">
        <v>46144.7572674537</v>
      </c>
      <c r="D1684">
        <v>526</v>
      </c>
      <c r="E1684" s="7" t="s">
        <v>275</v>
      </c>
      <c r="F1684" s="2">
        <v>46144.465600787036</v>
      </c>
      <c r="G1684" s="3">
        <v>46144</v>
      </c>
      <c r="H1684" t="s">
        <v>120</v>
      </c>
      <c r="I1684">
        <v>11</v>
      </c>
    </row>
    <row r="1685" spans="1:9" x14ac:dyDescent="0.2">
      <c r="A1685" s="18" t="s">
        <v>1939</v>
      </c>
      <c r="B1685" s="18" t="s">
        <v>10</v>
      </c>
      <c r="C1685" s="2">
        <v>46144.835426979167</v>
      </c>
      <c r="D1685">
        <v>569</v>
      </c>
      <c r="F1685" s="2">
        <v>46144.543760312503</v>
      </c>
      <c r="G1685" s="3">
        <v>46144</v>
      </c>
      <c r="H1685" t="s">
        <v>120</v>
      </c>
      <c r="I1685">
        <v>13</v>
      </c>
    </row>
    <row r="1686" spans="1:9" x14ac:dyDescent="0.2">
      <c r="A1686" s="18" t="s">
        <v>1940</v>
      </c>
      <c r="B1686" s="18" t="s">
        <v>10</v>
      </c>
      <c r="C1686" s="2">
        <v>46144.90848337963</v>
      </c>
      <c r="D1686">
        <v>526</v>
      </c>
      <c r="E1686" s="7" t="s">
        <v>275</v>
      </c>
      <c r="F1686" s="2">
        <v>46144.616816712965</v>
      </c>
      <c r="G1686" s="3">
        <v>46144</v>
      </c>
      <c r="H1686" t="s">
        <v>120</v>
      </c>
      <c r="I1686">
        <v>14</v>
      </c>
    </row>
    <row r="1687" spans="1:9" x14ac:dyDescent="0.2">
      <c r="A1687" s="18" t="s">
        <v>1941</v>
      </c>
      <c r="B1687" s="18" t="s">
        <v>10</v>
      </c>
      <c r="C1687" s="2">
        <v>46145.458701215277</v>
      </c>
      <c r="D1687">
        <v>33</v>
      </c>
      <c r="F1687" s="2">
        <v>46145.167034548613</v>
      </c>
      <c r="G1687" s="3">
        <v>46145</v>
      </c>
      <c r="H1687" t="s">
        <v>125</v>
      </c>
      <c r="I1687">
        <v>4</v>
      </c>
    </row>
    <row r="1688" spans="1:9" x14ac:dyDescent="0.2">
      <c r="A1688" s="18" t="s">
        <v>1942</v>
      </c>
      <c r="B1688" s="18" t="s">
        <v>10</v>
      </c>
      <c r="C1688" s="2">
        <v>46145.487504837962</v>
      </c>
      <c r="D1688">
        <v>569</v>
      </c>
      <c r="E1688" s="7" t="s">
        <v>1943</v>
      </c>
      <c r="F1688" s="2">
        <v>46145.195838171298</v>
      </c>
      <c r="G1688" s="3">
        <v>46145</v>
      </c>
      <c r="H1688" t="s">
        <v>125</v>
      </c>
      <c r="I1688">
        <v>4</v>
      </c>
    </row>
    <row r="1689" spans="1:9" x14ac:dyDescent="0.2">
      <c r="A1689" s="18" t="s">
        <v>1944</v>
      </c>
      <c r="B1689" s="18" t="s">
        <v>10</v>
      </c>
      <c r="C1689" s="2">
        <v>46145.502024374997</v>
      </c>
      <c r="D1689">
        <v>33</v>
      </c>
      <c r="F1689" s="2">
        <v>46145.210357708333</v>
      </c>
      <c r="G1689" s="3">
        <v>46145</v>
      </c>
      <c r="H1689" t="s">
        <v>125</v>
      </c>
      <c r="I1689">
        <v>5</v>
      </c>
    </row>
    <row r="1690" spans="1:9" x14ac:dyDescent="0.2">
      <c r="A1690" s="18" t="s">
        <v>1945</v>
      </c>
      <c r="B1690" s="18" t="s">
        <v>10</v>
      </c>
      <c r="C1690" s="2">
        <v>46145.54396372685</v>
      </c>
      <c r="D1690">
        <v>569</v>
      </c>
      <c r="F1690" s="2">
        <v>46145.252297060186</v>
      </c>
      <c r="G1690" s="3">
        <v>46145</v>
      </c>
      <c r="H1690" t="s">
        <v>125</v>
      </c>
      <c r="I1690">
        <v>6</v>
      </c>
    </row>
    <row r="1691" spans="1:9" x14ac:dyDescent="0.2">
      <c r="A1691" s="18" t="s">
        <v>1946</v>
      </c>
      <c r="B1691" s="18" t="s">
        <v>10</v>
      </c>
      <c r="C1691" s="2">
        <v>46145.54414510417</v>
      </c>
      <c r="D1691">
        <v>33</v>
      </c>
      <c r="F1691" s="2">
        <v>46145.252478437498</v>
      </c>
      <c r="G1691" s="3">
        <v>46145</v>
      </c>
      <c r="H1691" t="s">
        <v>125</v>
      </c>
      <c r="I1691">
        <v>6</v>
      </c>
    </row>
    <row r="1692" spans="1:9" x14ac:dyDescent="0.2">
      <c r="A1692" s="18" t="s">
        <v>1947</v>
      </c>
      <c r="B1692" s="18" t="s">
        <v>10</v>
      </c>
      <c r="C1692" s="2">
        <v>46145.557265613425</v>
      </c>
      <c r="D1692">
        <v>569</v>
      </c>
      <c r="E1692" s="7" t="s">
        <v>1943</v>
      </c>
      <c r="F1692" s="2">
        <v>46145.26559894676</v>
      </c>
      <c r="G1692" s="3">
        <v>46145</v>
      </c>
      <c r="H1692" t="s">
        <v>125</v>
      </c>
      <c r="I1692">
        <v>6</v>
      </c>
    </row>
    <row r="1693" spans="1:9" x14ac:dyDescent="0.2">
      <c r="A1693" s="18" t="s">
        <v>1948</v>
      </c>
      <c r="B1693" s="18" t="s">
        <v>10</v>
      </c>
      <c r="C1693" s="2">
        <v>46145.572421145836</v>
      </c>
      <c r="D1693">
        <v>3</v>
      </c>
      <c r="F1693" s="2">
        <v>46145.280754479165</v>
      </c>
      <c r="G1693" s="3">
        <v>46145</v>
      </c>
      <c r="H1693" t="s">
        <v>125</v>
      </c>
      <c r="I1693">
        <v>6</v>
      </c>
    </row>
    <row r="1694" spans="1:9" x14ac:dyDescent="0.2">
      <c r="A1694" s="18" t="s">
        <v>1949</v>
      </c>
      <c r="B1694" s="18" t="s">
        <v>10</v>
      </c>
      <c r="C1694" s="2">
        <v>46145.5835525</v>
      </c>
      <c r="D1694">
        <v>569</v>
      </c>
      <c r="F1694" s="2">
        <v>46145.291885833336</v>
      </c>
      <c r="G1694" s="3">
        <v>46145</v>
      </c>
      <c r="H1694" t="s">
        <v>125</v>
      </c>
      <c r="I1694">
        <v>7</v>
      </c>
    </row>
    <row r="1695" spans="1:9" x14ac:dyDescent="0.2">
      <c r="A1695" s="18" t="s">
        <v>1950</v>
      </c>
      <c r="B1695" s="18" t="s">
        <v>10</v>
      </c>
      <c r="C1695" s="2">
        <v>46145.60108479167</v>
      </c>
      <c r="D1695">
        <v>3</v>
      </c>
      <c r="E1695" s="7" t="s">
        <v>1951</v>
      </c>
      <c r="F1695" s="2">
        <v>46145.309418124998</v>
      </c>
      <c r="G1695" s="3">
        <v>46145</v>
      </c>
      <c r="H1695" t="s">
        <v>125</v>
      </c>
      <c r="I1695">
        <v>7</v>
      </c>
    </row>
    <row r="1696" spans="1:9" x14ac:dyDescent="0.2">
      <c r="A1696" s="18" t="s">
        <v>1952</v>
      </c>
      <c r="B1696" s="18" t="s">
        <v>10</v>
      </c>
      <c r="C1696" s="2">
        <v>46145.642566932867</v>
      </c>
      <c r="D1696">
        <v>3</v>
      </c>
      <c r="F1696" s="2">
        <v>46145.350900266203</v>
      </c>
      <c r="G1696" s="3">
        <v>46145</v>
      </c>
      <c r="H1696" t="s">
        <v>125</v>
      </c>
      <c r="I1696">
        <v>8</v>
      </c>
    </row>
    <row r="1697" spans="1:9" x14ac:dyDescent="0.2">
      <c r="A1697" s="18" t="s">
        <v>1953</v>
      </c>
      <c r="B1697" s="18" t="s">
        <v>10</v>
      </c>
      <c r="C1697" s="2">
        <v>46145.67331662037</v>
      </c>
      <c r="D1697">
        <v>526</v>
      </c>
      <c r="E1697" s="7" t="s">
        <v>31</v>
      </c>
      <c r="F1697" s="2">
        <v>46145.381649953706</v>
      </c>
      <c r="G1697" s="3">
        <v>46145</v>
      </c>
      <c r="H1697" t="s">
        <v>125</v>
      </c>
      <c r="I1697">
        <v>9</v>
      </c>
    </row>
    <row r="1698" spans="1:9" x14ac:dyDescent="0.2">
      <c r="A1698" s="18" t="s">
        <v>1954</v>
      </c>
      <c r="B1698" s="18" t="s">
        <v>10</v>
      </c>
      <c r="C1698" s="2">
        <v>46145.703945624999</v>
      </c>
      <c r="D1698">
        <v>33</v>
      </c>
      <c r="F1698" s="2">
        <v>46145.412278958334</v>
      </c>
      <c r="G1698" s="3">
        <v>46145</v>
      </c>
      <c r="H1698" t="s">
        <v>125</v>
      </c>
      <c r="I1698">
        <v>9</v>
      </c>
    </row>
    <row r="1699" spans="1:9" x14ac:dyDescent="0.2">
      <c r="A1699" s="18" t="s">
        <v>1955</v>
      </c>
      <c r="B1699" s="18" t="s">
        <v>10</v>
      </c>
      <c r="C1699" s="2">
        <v>46145.708771990743</v>
      </c>
      <c r="D1699">
        <v>526</v>
      </c>
      <c r="E1699" s="7" t="s">
        <v>275</v>
      </c>
      <c r="F1699" s="2">
        <v>46145.417105324072</v>
      </c>
      <c r="G1699" s="3">
        <v>46145</v>
      </c>
      <c r="H1699" t="s">
        <v>125</v>
      </c>
      <c r="I1699">
        <v>10</v>
      </c>
    </row>
    <row r="1700" spans="1:9" x14ac:dyDescent="0.2">
      <c r="A1700" s="18" t="s">
        <v>1956</v>
      </c>
      <c r="B1700" s="18" t="s">
        <v>10</v>
      </c>
      <c r="C1700" s="2">
        <v>46145.772767847222</v>
      </c>
      <c r="D1700">
        <v>33</v>
      </c>
      <c r="F1700" s="2">
        <v>46145.481101180558</v>
      </c>
      <c r="G1700" s="3">
        <v>46145</v>
      </c>
      <c r="H1700" t="s">
        <v>125</v>
      </c>
      <c r="I1700">
        <v>11</v>
      </c>
    </row>
    <row r="1701" spans="1:9" x14ac:dyDescent="0.2">
      <c r="A1701" s="18" t="s">
        <v>1957</v>
      </c>
      <c r="B1701" s="18" t="s">
        <v>10</v>
      </c>
      <c r="C1701" s="2">
        <v>46145.820524629627</v>
      </c>
      <c r="D1701">
        <v>33</v>
      </c>
      <c r="F1701" s="2">
        <v>46145.528857962963</v>
      </c>
      <c r="G1701" s="3">
        <v>46145</v>
      </c>
      <c r="H1701" t="s">
        <v>125</v>
      </c>
      <c r="I1701">
        <v>12</v>
      </c>
    </row>
    <row r="1702" spans="1:9" x14ac:dyDescent="0.2">
      <c r="A1702" s="18" t="s">
        <v>1958</v>
      </c>
      <c r="B1702" s="18" t="s">
        <v>10</v>
      </c>
      <c r="C1702" s="2">
        <v>46146.071655300926</v>
      </c>
      <c r="D1702">
        <v>526</v>
      </c>
      <c r="F1702" s="2">
        <v>46145.779988634262</v>
      </c>
      <c r="G1702" s="3">
        <v>46145</v>
      </c>
      <c r="H1702" t="s">
        <v>125</v>
      </c>
      <c r="I1702">
        <v>18</v>
      </c>
    </row>
    <row r="1703" spans="1:9" x14ac:dyDescent="0.2">
      <c r="A1703" s="18" t="s">
        <v>1959</v>
      </c>
      <c r="B1703" s="18" t="s">
        <v>10</v>
      </c>
      <c r="C1703" s="2">
        <v>46146.333386817132</v>
      </c>
      <c r="D1703">
        <v>1</v>
      </c>
      <c r="F1703" s="2">
        <v>46146.041720150461</v>
      </c>
      <c r="G1703" s="3">
        <v>46146</v>
      </c>
      <c r="H1703" t="s">
        <v>11</v>
      </c>
      <c r="I1703">
        <v>1</v>
      </c>
    </row>
    <row r="1704" spans="1:9" x14ac:dyDescent="0.2">
      <c r="A1704" s="18" t="s">
        <v>1960</v>
      </c>
      <c r="B1704" s="18" t="s">
        <v>10</v>
      </c>
      <c r="C1704" s="2">
        <v>46146.33750947917</v>
      </c>
      <c r="D1704">
        <v>3</v>
      </c>
      <c r="E1704" s="7" t="s">
        <v>1115</v>
      </c>
      <c r="F1704" s="2">
        <v>46146.045842812498</v>
      </c>
      <c r="G1704" s="3">
        <v>46146</v>
      </c>
      <c r="H1704" t="s">
        <v>11</v>
      </c>
      <c r="I1704">
        <v>1</v>
      </c>
    </row>
    <row r="1705" spans="1:9" x14ac:dyDescent="0.2">
      <c r="A1705" s="18" t="s">
        <v>1961</v>
      </c>
      <c r="B1705" s="18" t="s">
        <v>10</v>
      </c>
      <c r="C1705" s="2">
        <v>46146.357181539352</v>
      </c>
      <c r="D1705">
        <v>32</v>
      </c>
      <c r="F1705" s="2">
        <v>46146.065514872687</v>
      </c>
      <c r="G1705" s="3">
        <v>46146</v>
      </c>
      <c r="H1705" t="s">
        <v>11</v>
      </c>
      <c r="I1705">
        <v>1</v>
      </c>
    </row>
    <row r="1706" spans="1:9" x14ac:dyDescent="0.2">
      <c r="A1706" s="18" t="s">
        <v>1962</v>
      </c>
      <c r="B1706" s="18" t="s">
        <v>10</v>
      </c>
      <c r="C1706" s="2">
        <v>46146.377498680558</v>
      </c>
      <c r="D1706">
        <v>32</v>
      </c>
      <c r="F1706" s="2">
        <v>46146.085832013887</v>
      </c>
      <c r="G1706" s="3">
        <v>46146</v>
      </c>
      <c r="H1706" t="s">
        <v>11</v>
      </c>
      <c r="I1706">
        <v>2</v>
      </c>
    </row>
    <row r="1707" spans="1:9" x14ac:dyDescent="0.2">
      <c r="A1707" s="18" t="s">
        <v>1963</v>
      </c>
      <c r="B1707" s="18" t="s">
        <v>10</v>
      </c>
      <c r="C1707" s="2">
        <v>46146.383615555555</v>
      </c>
      <c r="D1707">
        <v>569</v>
      </c>
      <c r="F1707" s="2">
        <v>46146.09194888889</v>
      </c>
      <c r="G1707" s="3">
        <v>46146</v>
      </c>
      <c r="H1707" t="s">
        <v>11</v>
      </c>
      <c r="I1707">
        <v>2</v>
      </c>
    </row>
    <row r="1708" spans="1:9" x14ac:dyDescent="0.2">
      <c r="A1708" s="18" t="s">
        <v>1964</v>
      </c>
      <c r="B1708" s="18" t="s">
        <v>10</v>
      </c>
      <c r="C1708" s="2">
        <v>46146.384283240739</v>
      </c>
      <c r="D1708">
        <v>569</v>
      </c>
      <c r="E1708" s="7" t="s">
        <v>1965</v>
      </c>
      <c r="F1708" s="2">
        <v>46146.092616574075</v>
      </c>
      <c r="G1708" s="3">
        <v>46146</v>
      </c>
      <c r="H1708" t="s">
        <v>11</v>
      </c>
      <c r="I1708">
        <v>2</v>
      </c>
    </row>
    <row r="1709" spans="1:9" x14ac:dyDescent="0.2">
      <c r="A1709" s="18" t="s">
        <v>1966</v>
      </c>
      <c r="B1709" s="18" t="s">
        <v>10</v>
      </c>
      <c r="C1709" s="2">
        <v>46146.386185752315</v>
      </c>
      <c r="D1709">
        <v>3</v>
      </c>
      <c r="E1709" s="7" t="s">
        <v>150</v>
      </c>
      <c r="F1709" s="2">
        <v>46146.094519085651</v>
      </c>
      <c r="G1709" s="3">
        <v>46146</v>
      </c>
      <c r="H1709" t="s">
        <v>11</v>
      </c>
      <c r="I1709">
        <v>2</v>
      </c>
    </row>
    <row r="1710" spans="1:9" x14ac:dyDescent="0.2">
      <c r="A1710" s="18" t="s">
        <v>1967</v>
      </c>
      <c r="B1710" s="18" t="s">
        <v>10</v>
      </c>
      <c r="C1710" s="2">
        <v>46146.393150937503</v>
      </c>
      <c r="D1710">
        <v>569</v>
      </c>
      <c r="E1710" s="7" t="s">
        <v>1968</v>
      </c>
      <c r="F1710" s="2">
        <v>46146.101484270832</v>
      </c>
      <c r="G1710" s="3">
        <v>46146</v>
      </c>
      <c r="H1710" t="s">
        <v>11</v>
      </c>
      <c r="I1710">
        <v>2</v>
      </c>
    </row>
    <row r="1711" spans="1:9" x14ac:dyDescent="0.2">
      <c r="A1711" s="18" t="s">
        <v>1969</v>
      </c>
      <c r="B1711" s="18" t="s">
        <v>10</v>
      </c>
      <c r="C1711" s="2">
        <v>46146.418484282411</v>
      </c>
      <c r="D1711">
        <v>3</v>
      </c>
      <c r="F1711" s="2">
        <v>46146.126817615739</v>
      </c>
      <c r="G1711" s="3">
        <v>46146</v>
      </c>
      <c r="H1711" t="s">
        <v>11</v>
      </c>
      <c r="I1711">
        <v>3</v>
      </c>
    </row>
    <row r="1712" spans="1:9" x14ac:dyDescent="0.2">
      <c r="A1712" s="18" t="s">
        <v>1970</v>
      </c>
      <c r="B1712" s="18" t="s">
        <v>10</v>
      </c>
      <c r="C1712" s="2">
        <v>46146.425522812497</v>
      </c>
      <c r="D1712">
        <v>569</v>
      </c>
      <c r="E1712" s="7" t="s">
        <v>1943</v>
      </c>
      <c r="F1712" s="2">
        <v>46146.133856145832</v>
      </c>
      <c r="G1712" s="3">
        <v>46146</v>
      </c>
      <c r="H1712" t="s">
        <v>11</v>
      </c>
      <c r="I1712">
        <v>3</v>
      </c>
    </row>
    <row r="1713" spans="1:9" x14ac:dyDescent="0.2">
      <c r="A1713" s="18" t="s">
        <v>1971</v>
      </c>
      <c r="B1713" s="18" t="s">
        <v>10</v>
      </c>
      <c r="C1713" s="2">
        <v>46146.476909861114</v>
      </c>
      <c r="D1713">
        <v>3</v>
      </c>
      <c r="F1713" s="2">
        <v>46146.185243194443</v>
      </c>
      <c r="G1713" s="3">
        <v>46146</v>
      </c>
      <c r="H1713" t="s">
        <v>11</v>
      </c>
      <c r="I1713">
        <v>4</v>
      </c>
    </row>
    <row r="1714" spans="1:9" x14ac:dyDescent="0.2">
      <c r="A1714" s="18" t="s">
        <v>1972</v>
      </c>
      <c r="B1714" s="18" t="s">
        <v>10</v>
      </c>
      <c r="C1714" s="2">
        <v>46146.479132893517</v>
      </c>
      <c r="D1714">
        <v>32</v>
      </c>
      <c r="F1714" s="2">
        <v>46146.187466226853</v>
      </c>
      <c r="G1714" s="3">
        <v>46146</v>
      </c>
      <c r="H1714" t="s">
        <v>11</v>
      </c>
      <c r="I1714">
        <v>4</v>
      </c>
    </row>
    <row r="1715" spans="1:9" x14ac:dyDescent="0.2">
      <c r="A1715" s="18" t="s">
        <v>1973</v>
      </c>
      <c r="B1715" s="18" t="s">
        <v>10</v>
      </c>
      <c r="C1715" s="2">
        <v>46146.524849583337</v>
      </c>
      <c r="D1715">
        <v>534</v>
      </c>
      <c r="F1715" s="2">
        <v>46146.233182916665</v>
      </c>
      <c r="G1715" s="3">
        <v>46146</v>
      </c>
      <c r="H1715" t="s">
        <v>11</v>
      </c>
      <c r="I1715">
        <v>5</v>
      </c>
    </row>
    <row r="1716" spans="1:9" x14ac:dyDescent="0.2">
      <c r="A1716" s="18" t="s">
        <v>1974</v>
      </c>
      <c r="B1716" s="18" t="s">
        <v>10</v>
      </c>
      <c r="C1716" s="2">
        <v>46146.589841793982</v>
      </c>
      <c r="D1716">
        <v>569</v>
      </c>
      <c r="F1716" s="2">
        <v>46146.298175127318</v>
      </c>
      <c r="G1716" s="3">
        <v>46146</v>
      </c>
      <c r="H1716" t="s">
        <v>11</v>
      </c>
      <c r="I1716">
        <v>7</v>
      </c>
    </row>
    <row r="1717" spans="1:9" x14ac:dyDescent="0.2">
      <c r="A1717" s="18" t="s">
        <v>1975</v>
      </c>
      <c r="B1717" s="18" t="s">
        <v>10</v>
      </c>
      <c r="C1717" s="2">
        <v>46146.592274479168</v>
      </c>
      <c r="D1717">
        <v>569</v>
      </c>
      <c r="F1717" s="2">
        <v>46146.300607812504</v>
      </c>
      <c r="G1717" s="3">
        <v>46146</v>
      </c>
      <c r="H1717" t="s">
        <v>11</v>
      </c>
      <c r="I1717">
        <v>7</v>
      </c>
    </row>
    <row r="1718" spans="1:9" x14ac:dyDescent="0.2">
      <c r="A1718" s="18" t="s">
        <v>1976</v>
      </c>
      <c r="B1718" s="18" t="s">
        <v>10</v>
      </c>
      <c r="C1718" s="2">
        <v>46146.644518668982</v>
      </c>
      <c r="D1718">
        <v>569</v>
      </c>
      <c r="F1718" s="2">
        <v>46146.352852002317</v>
      </c>
      <c r="G1718" s="3">
        <v>46146</v>
      </c>
      <c r="H1718" t="s">
        <v>11</v>
      </c>
      <c r="I1718">
        <v>8</v>
      </c>
    </row>
    <row r="1719" spans="1:9" x14ac:dyDescent="0.2">
      <c r="A1719" s="18" t="s">
        <v>1977</v>
      </c>
      <c r="B1719" s="18" t="s">
        <v>10</v>
      </c>
      <c r="C1719" s="2">
        <v>46146.644961296297</v>
      </c>
      <c r="D1719">
        <v>3</v>
      </c>
      <c r="F1719" s="2">
        <v>46146.353294629633</v>
      </c>
      <c r="G1719" s="3">
        <v>46146</v>
      </c>
      <c r="H1719" t="s">
        <v>11</v>
      </c>
      <c r="I1719">
        <v>8</v>
      </c>
    </row>
    <row r="1720" spans="1:9" x14ac:dyDescent="0.2">
      <c r="A1720" s="18" t="s">
        <v>1978</v>
      </c>
      <c r="B1720" s="18" t="s">
        <v>10</v>
      </c>
      <c r="C1720" s="2">
        <v>46146.649768240743</v>
      </c>
      <c r="D1720">
        <v>3</v>
      </c>
      <c r="F1720" s="2">
        <v>46146.358101574071</v>
      </c>
      <c r="G1720" s="3">
        <v>46146</v>
      </c>
      <c r="H1720" t="s">
        <v>11</v>
      </c>
      <c r="I1720">
        <v>8</v>
      </c>
    </row>
    <row r="1721" spans="1:9" x14ac:dyDescent="0.2">
      <c r="A1721" s="18" t="s">
        <v>1979</v>
      </c>
      <c r="B1721" s="18" t="s">
        <v>10</v>
      </c>
      <c r="C1721" s="2">
        <v>46146.663017233797</v>
      </c>
      <c r="D1721">
        <v>569</v>
      </c>
      <c r="E1721" s="7" t="s">
        <v>1980</v>
      </c>
      <c r="F1721" s="2">
        <v>46146.371350567133</v>
      </c>
      <c r="G1721" s="3">
        <v>46146</v>
      </c>
      <c r="H1721" t="s">
        <v>11</v>
      </c>
      <c r="I1721">
        <v>8</v>
      </c>
    </row>
    <row r="1722" spans="1:9" x14ac:dyDescent="0.2">
      <c r="A1722" s="18" t="s">
        <v>1981</v>
      </c>
      <c r="B1722" s="18" t="s">
        <v>10</v>
      </c>
      <c r="C1722" s="2">
        <v>46146.668165868054</v>
      </c>
      <c r="D1722">
        <v>32</v>
      </c>
      <c r="F1722" s="2">
        <v>46146.376499201389</v>
      </c>
      <c r="G1722" s="3">
        <v>46146</v>
      </c>
      <c r="H1722" t="s">
        <v>11</v>
      </c>
      <c r="I1722">
        <v>9</v>
      </c>
    </row>
    <row r="1723" spans="1:9" x14ac:dyDescent="0.2">
      <c r="A1723" s="18" t="s">
        <v>1982</v>
      </c>
      <c r="B1723" s="18" t="s">
        <v>10</v>
      </c>
      <c r="C1723" s="2">
        <v>46146.668523414352</v>
      </c>
      <c r="D1723">
        <v>569</v>
      </c>
      <c r="E1723" s="7" t="s">
        <v>1980</v>
      </c>
      <c r="F1723" s="2">
        <v>46146.376856747687</v>
      </c>
      <c r="G1723" s="3">
        <v>46146</v>
      </c>
      <c r="H1723" t="s">
        <v>11</v>
      </c>
      <c r="I1723">
        <v>9</v>
      </c>
    </row>
    <row r="1724" spans="1:9" x14ac:dyDescent="0.2">
      <c r="A1724" s="18" t="s">
        <v>1983</v>
      </c>
      <c r="B1724" s="18" t="s">
        <v>10</v>
      </c>
      <c r="C1724" s="2">
        <v>46146.735480150463</v>
      </c>
      <c r="D1724">
        <v>32</v>
      </c>
      <c r="F1724" s="2">
        <v>46146.443813483798</v>
      </c>
      <c r="G1724" s="3">
        <v>46146</v>
      </c>
      <c r="H1724" t="s">
        <v>11</v>
      </c>
      <c r="I1724">
        <v>10</v>
      </c>
    </row>
    <row r="1725" spans="1:9" x14ac:dyDescent="0.2">
      <c r="A1725" s="18" t="s">
        <v>1984</v>
      </c>
      <c r="B1725" s="18" t="s">
        <v>10</v>
      </c>
      <c r="C1725" s="2">
        <v>46146.73637697917</v>
      </c>
      <c r="D1725">
        <v>3</v>
      </c>
      <c r="E1725" s="7" t="s">
        <v>1985</v>
      </c>
      <c r="F1725" s="2">
        <v>46146.444710312499</v>
      </c>
      <c r="G1725" s="3">
        <v>46146</v>
      </c>
      <c r="H1725" t="s">
        <v>11</v>
      </c>
      <c r="I1725">
        <v>10</v>
      </c>
    </row>
    <row r="1726" spans="1:9" x14ac:dyDescent="0.2">
      <c r="A1726" s="18" t="s">
        <v>1986</v>
      </c>
      <c r="B1726" s="18" t="s">
        <v>10</v>
      </c>
      <c r="C1726" s="2">
        <v>46146.752162500001</v>
      </c>
      <c r="D1726">
        <v>493</v>
      </c>
      <c r="F1726" s="2">
        <v>46146.460495833337</v>
      </c>
      <c r="G1726" s="3">
        <v>46146</v>
      </c>
      <c r="H1726" t="s">
        <v>11</v>
      </c>
      <c r="I1726">
        <v>11</v>
      </c>
    </row>
    <row r="1727" spans="1:9" x14ac:dyDescent="0.2">
      <c r="A1727" s="18" t="s">
        <v>1987</v>
      </c>
      <c r="B1727" s="18" t="s">
        <v>10</v>
      </c>
      <c r="C1727" s="2">
        <v>46146.756187905092</v>
      </c>
      <c r="D1727">
        <v>3</v>
      </c>
      <c r="E1727" s="7" t="s">
        <v>1985</v>
      </c>
      <c r="F1727" s="2">
        <v>46146.464521238428</v>
      </c>
      <c r="G1727" s="3">
        <v>46146</v>
      </c>
      <c r="H1727" t="s">
        <v>11</v>
      </c>
      <c r="I1727">
        <v>11</v>
      </c>
    </row>
    <row r="1728" spans="1:9" x14ac:dyDescent="0.2">
      <c r="A1728" s="18" t="s">
        <v>1988</v>
      </c>
      <c r="B1728" s="18" t="s">
        <v>10</v>
      </c>
      <c r="C1728" s="2">
        <v>46146.828023321759</v>
      </c>
      <c r="D1728">
        <v>493</v>
      </c>
      <c r="F1728" s="2">
        <v>46146.536356655095</v>
      </c>
      <c r="G1728" s="3">
        <v>46146</v>
      </c>
      <c r="H1728" t="s">
        <v>11</v>
      </c>
      <c r="I1728">
        <v>12</v>
      </c>
    </row>
    <row r="1729" spans="1:9" x14ac:dyDescent="0.2">
      <c r="A1729" s="18" t="s">
        <v>1989</v>
      </c>
      <c r="B1729" s="18" t="s">
        <v>10</v>
      </c>
      <c r="C1729" s="2">
        <v>46146.891751678239</v>
      </c>
      <c r="D1729">
        <v>3</v>
      </c>
      <c r="E1729" s="7" t="s">
        <v>301</v>
      </c>
      <c r="F1729" s="2">
        <v>46146.600085011574</v>
      </c>
      <c r="G1729" s="3">
        <v>46146</v>
      </c>
      <c r="H1729" t="s">
        <v>11</v>
      </c>
      <c r="I1729">
        <v>14</v>
      </c>
    </row>
    <row r="1730" spans="1:9" x14ac:dyDescent="0.2">
      <c r="A1730" s="18" t="s">
        <v>1990</v>
      </c>
      <c r="B1730" s="18" t="s">
        <v>10</v>
      </c>
      <c r="C1730" s="2">
        <v>46146.896845150462</v>
      </c>
      <c r="D1730">
        <v>526</v>
      </c>
      <c r="F1730" s="2">
        <v>46146.605178483798</v>
      </c>
      <c r="G1730" s="3">
        <v>46146</v>
      </c>
      <c r="H1730" t="s">
        <v>11</v>
      </c>
      <c r="I1730">
        <v>14</v>
      </c>
    </row>
    <row r="1731" spans="1:9" x14ac:dyDescent="0.2">
      <c r="A1731" s="18" t="s">
        <v>1991</v>
      </c>
      <c r="B1731" s="18" t="s">
        <v>10</v>
      </c>
      <c r="C1731" s="2">
        <v>46146.938167777778</v>
      </c>
      <c r="D1731">
        <v>526</v>
      </c>
      <c r="F1731" s="2">
        <v>46146.646501111114</v>
      </c>
      <c r="G1731" s="3">
        <v>46146</v>
      </c>
      <c r="H1731" t="s">
        <v>11</v>
      </c>
      <c r="I1731">
        <v>15</v>
      </c>
    </row>
    <row r="1732" spans="1:9" x14ac:dyDescent="0.2">
      <c r="A1732" s="18" t="s">
        <v>1992</v>
      </c>
      <c r="B1732" s="18" t="s">
        <v>10</v>
      </c>
      <c r="C1732" s="2">
        <v>46146.976270451392</v>
      </c>
      <c r="D1732">
        <v>526</v>
      </c>
      <c r="F1732" s="2">
        <v>46146.684603784721</v>
      </c>
      <c r="G1732" s="3">
        <v>46146</v>
      </c>
      <c r="H1732" t="s">
        <v>11</v>
      </c>
      <c r="I1732">
        <v>16</v>
      </c>
    </row>
    <row r="1733" spans="1:9" x14ac:dyDescent="0.2">
      <c r="A1733" s="18" t="s">
        <v>1993</v>
      </c>
      <c r="B1733" s="18" t="s">
        <v>10</v>
      </c>
      <c r="C1733" s="2">
        <v>46147.016800636571</v>
      </c>
      <c r="D1733">
        <v>526</v>
      </c>
      <c r="F1733" s="2">
        <v>46146.725133969907</v>
      </c>
      <c r="G1733" s="3">
        <v>46146</v>
      </c>
      <c r="H1733" t="s">
        <v>11</v>
      </c>
      <c r="I1733">
        <v>17</v>
      </c>
    </row>
    <row r="1734" spans="1:9" x14ac:dyDescent="0.2">
      <c r="A1734" s="18" t="s">
        <v>1994</v>
      </c>
      <c r="B1734" s="18" t="s">
        <v>10</v>
      </c>
      <c r="C1734" s="2">
        <v>46147.036019756946</v>
      </c>
      <c r="D1734">
        <v>3</v>
      </c>
      <c r="F1734" s="2">
        <v>46146.744353090275</v>
      </c>
      <c r="G1734" s="3">
        <v>46146</v>
      </c>
      <c r="H1734" t="s">
        <v>11</v>
      </c>
      <c r="I1734">
        <v>17</v>
      </c>
    </row>
    <row r="1735" spans="1:9" x14ac:dyDescent="0.2">
      <c r="A1735" s="18" t="s">
        <v>1995</v>
      </c>
      <c r="B1735" s="18" t="s">
        <v>10</v>
      </c>
      <c r="C1735" s="2">
        <v>46147.041040879631</v>
      </c>
      <c r="D1735">
        <v>3</v>
      </c>
      <c r="E1735" s="7" t="s">
        <v>301</v>
      </c>
      <c r="F1735" s="2">
        <v>46146.749374212966</v>
      </c>
      <c r="G1735" s="3">
        <v>46146</v>
      </c>
      <c r="H1735" t="s">
        <v>11</v>
      </c>
      <c r="I1735">
        <v>17</v>
      </c>
    </row>
    <row r="1736" spans="1:9" x14ac:dyDescent="0.2">
      <c r="A1736" s="18" t="s">
        <v>1996</v>
      </c>
      <c r="B1736" s="18" t="s">
        <v>10</v>
      </c>
      <c r="C1736" s="2">
        <v>46147.041871168978</v>
      </c>
      <c r="D1736">
        <v>526</v>
      </c>
      <c r="F1736" s="2">
        <v>46146.750204502314</v>
      </c>
      <c r="G1736" s="3">
        <v>46146</v>
      </c>
      <c r="H1736" t="s">
        <v>11</v>
      </c>
      <c r="I1736">
        <v>18</v>
      </c>
    </row>
    <row r="1737" spans="1:9" x14ac:dyDescent="0.2">
      <c r="A1737" s="18" t="s">
        <v>1997</v>
      </c>
      <c r="B1737" s="18" t="s">
        <v>10</v>
      </c>
      <c r="C1737" s="2">
        <v>46147.042281145834</v>
      </c>
      <c r="D1737">
        <v>3</v>
      </c>
      <c r="E1737" s="7" t="s">
        <v>301</v>
      </c>
      <c r="F1737" s="2">
        <v>46146.75061447917</v>
      </c>
      <c r="G1737" s="3">
        <v>46146</v>
      </c>
      <c r="H1737" t="s">
        <v>11</v>
      </c>
      <c r="I1737">
        <v>18</v>
      </c>
    </row>
    <row r="1738" spans="1:9" x14ac:dyDescent="0.2">
      <c r="A1738" s="18" t="s">
        <v>1998</v>
      </c>
      <c r="B1738" s="18" t="s">
        <v>10</v>
      </c>
      <c r="C1738" s="2">
        <v>46147.042291956015</v>
      </c>
      <c r="D1738">
        <v>526</v>
      </c>
      <c r="F1738" s="2">
        <v>46146.750625289351</v>
      </c>
      <c r="G1738" s="3">
        <v>46146</v>
      </c>
      <c r="H1738" t="s">
        <v>11</v>
      </c>
      <c r="I1738">
        <v>18</v>
      </c>
    </row>
    <row r="1739" spans="1:9" x14ac:dyDescent="0.2">
      <c r="A1739" s="18" t="s">
        <v>1999</v>
      </c>
      <c r="B1739" s="18" t="s">
        <v>10</v>
      </c>
      <c r="C1739" s="2">
        <v>46147.090771076386</v>
      </c>
      <c r="D1739">
        <v>526</v>
      </c>
      <c r="F1739" s="2">
        <v>46146.799104409722</v>
      </c>
      <c r="G1739" s="3">
        <v>46146</v>
      </c>
      <c r="H1739" t="s">
        <v>11</v>
      </c>
      <c r="I1739">
        <v>19</v>
      </c>
    </row>
    <row r="1740" spans="1:9" x14ac:dyDescent="0.2">
      <c r="A1740" s="18" t="s">
        <v>2000</v>
      </c>
      <c r="B1740" s="18" t="s">
        <v>10</v>
      </c>
      <c r="C1740" s="2">
        <v>46147.114764467595</v>
      </c>
      <c r="D1740">
        <v>526</v>
      </c>
      <c r="F1740" s="2">
        <v>46146.823097800923</v>
      </c>
      <c r="G1740" s="3">
        <v>46146</v>
      </c>
      <c r="H1740" t="s">
        <v>11</v>
      </c>
      <c r="I1740">
        <v>19</v>
      </c>
    </row>
    <row r="1741" spans="1:9" x14ac:dyDescent="0.2">
      <c r="A1741" s="18" t="s">
        <v>2001</v>
      </c>
      <c r="B1741" s="18" t="s">
        <v>10</v>
      </c>
      <c r="C1741" s="2">
        <v>46147.131372013886</v>
      </c>
      <c r="D1741">
        <v>526</v>
      </c>
      <c r="F1741" s="2">
        <v>46146.839705347222</v>
      </c>
      <c r="G1741" s="3">
        <v>46146</v>
      </c>
      <c r="H1741" t="s">
        <v>11</v>
      </c>
      <c r="I1741">
        <v>20</v>
      </c>
    </row>
    <row r="1742" spans="1:9" x14ac:dyDescent="0.2">
      <c r="A1742" s="18" t="s">
        <v>2002</v>
      </c>
      <c r="B1742" s="18" t="s">
        <v>10</v>
      </c>
      <c r="C1742" s="2">
        <v>46147.141618194444</v>
      </c>
      <c r="D1742">
        <v>526</v>
      </c>
      <c r="F1742" s="2">
        <v>46146.84995152778</v>
      </c>
      <c r="G1742" s="3">
        <v>46146</v>
      </c>
      <c r="H1742" t="s">
        <v>11</v>
      </c>
      <c r="I1742">
        <v>20</v>
      </c>
    </row>
    <row r="1743" spans="1:9" x14ac:dyDescent="0.2">
      <c r="A1743" s="18" t="s">
        <v>2003</v>
      </c>
      <c r="B1743" s="18" t="s">
        <v>10</v>
      </c>
      <c r="C1743" s="2">
        <v>46147.185856979166</v>
      </c>
      <c r="D1743">
        <v>526</v>
      </c>
      <c r="F1743" s="2">
        <v>46146.894190312501</v>
      </c>
      <c r="G1743" s="3">
        <v>46146</v>
      </c>
      <c r="H1743" t="s">
        <v>11</v>
      </c>
      <c r="I1743">
        <v>21</v>
      </c>
    </row>
    <row r="1744" spans="1:9" x14ac:dyDescent="0.2">
      <c r="A1744" s="18" t="s">
        <v>2004</v>
      </c>
      <c r="B1744" s="18" t="s">
        <v>10</v>
      </c>
      <c r="C1744" s="2">
        <v>46147.224914918981</v>
      </c>
      <c r="D1744">
        <v>526</v>
      </c>
      <c r="F1744" s="2">
        <v>46146.933248252317</v>
      </c>
      <c r="G1744" s="3">
        <v>46146</v>
      </c>
      <c r="H1744" t="s">
        <v>11</v>
      </c>
      <c r="I1744">
        <v>22</v>
      </c>
    </row>
    <row r="1745" spans="1:9" x14ac:dyDescent="0.2">
      <c r="A1745" s="18" t="s">
        <v>2005</v>
      </c>
      <c r="B1745" s="18" t="s">
        <v>10</v>
      </c>
      <c r="C1745" s="2">
        <v>46147.258311493053</v>
      </c>
      <c r="D1745">
        <v>526</v>
      </c>
      <c r="F1745" s="2">
        <v>46146.966644826389</v>
      </c>
      <c r="G1745" s="3">
        <v>46146</v>
      </c>
      <c r="H1745" t="s">
        <v>11</v>
      </c>
      <c r="I1745">
        <v>23</v>
      </c>
    </row>
    <row r="1746" spans="1:9" x14ac:dyDescent="0.2">
      <c r="A1746" s="18" t="s">
        <v>2006</v>
      </c>
      <c r="B1746" s="18" t="s">
        <v>10</v>
      </c>
      <c r="C1746" s="2">
        <v>46147.306280312499</v>
      </c>
      <c r="D1746">
        <v>3</v>
      </c>
      <c r="F1746" s="2">
        <v>46147.014613645835</v>
      </c>
      <c r="G1746" s="3">
        <v>46147</v>
      </c>
      <c r="H1746" t="s">
        <v>28</v>
      </c>
      <c r="I1746">
        <v>0</v>
      </c>
    </row>
    <row r="1747" spans="1:9" x14ac:dyDescent="0.2">
      <c r="A1747" s="18" t="s">
        <v>2007</v>
      </c>
      <c r="B1747" s="18" t="s">
        <v>10</v>
      </c>
      <c r="C1747" s="2">
        <v>46147.320435868052</v>
      </c>
      <c r="D1747">
        <v>569</v>
      </c>
      <c r="F1747" s="2">
        <v>46147.028769201388</v>
      </c>
      <c r="G1747" s="3">
        <v>46147</v>
      </c>
      <c r="H1747" t="s">
        <v>28</v>
      </c>
      <c r="I1747">
        <v>0</v>
      </c>
    </row>
    <row r="1748" spans="1:9" x14ac:dyDescent="0.2">
      <c r="A1748" s="18" t="s">
        <v>2008</v>
      </c>
      <c r="B1748" s="18" t="s">
        <v>10</v>
      </c>
      <c r="C1748" s="2">
        <v>46147.362750173612</v>
      </c>
      <c r="D1748">
        <v>3</v>
      </c>
      <c r="F1748" s="2">
        <v>46147.071083506948</v>
      </c>
      <c r="G1748" s="3">
        <v>46147</v>
      </c>
      <c r="H1748" t="s">
        <v>28</v>
      </c>
      <c r="I1748">
        <v>1</v>
      </c>
    </row>
    <row r="1749" spans="1:9" x14ac:dyDescent="0.2">
      <c r="A1749" s="18" t="s">
        <v>2009</v>
      </c>
      <c r="B1749" s="18" t="s">
        <v>10</v>
      </c>
      <c r="C1749" s="2">
        <v>46147.373606238427</v>
      </c>
      <c r="D1749">
        <v>569</v>
      </c>
      <c r="E1749" s="7" t="s">
        <v>2010</v>
      </c>
      <c r="F1749" s="2">
        <v>46147.081939571763</v>
      </c>
      <c r="G1749" s="3">
        <v>46147</v>
      </c>
      <c r="H1749" t="s">
        <v>28</v>
      </c>
      <c r="I1749">
        <v>1</v>
      </c>
    </row>
    <row r="1750" spans="1:9" x14ac:dyDescent="0.2">
      <c r="A1750" s="18" t="s">
        <v>2011</v>
      </c>
      <c r="B1750" s="18" t="s">
        <v>10</v>
      </c>
      <c r="C1750" s="2">
        <v>46147.390548263887</v>
      </c>
      <c r="D1750">
        <v>32</v>
      </c>
      <c r="F1750" s="2">
        <v>46147.098881597223</v>
      </c>
      <c r="G1750" s="3">
        <v>46147</v>
      </c>
      <c r="H1750" t="s">
        <v>28</v>
      </c>
      <c r="I1750">
        <v>2</v>
      </c>
    </row>
    <row r="1751" spans="1:9" x14ac:dyDescent="0.2">
      <c r="A1751" s="18" t="s">
        <v>2012</v>
      </c>
      <c r="B1751" s="18" t="s">
        <v>10</v>
      </c>
      <c r="C1751" s="2">
        <v>46147.416061689815</v>
      </c>
      <c r="D1751">
        <v>3</v>
      </c>
      <c r="F1751" s="2">
        <v>46147.124395023151</v>
      </c>
      <c r="G1751" s="3">
        <v>46147</v>
      </c>
      <c r="H1751" t="s">
        <v>28</v>
      </c>
      <c r="I1751">
        <v>2</v>
      </c>
    </row>
    <row r="1752" spans="1:9" x14ac:dyDescent="0.2">
      <c r="A1752" s="18" t="s">
        <v>2013</v>
      </c>
      <c r="B1752" s="18" t="s">
        <v>10</v>
      </c>
      <c r="C1752" s="2">
        <v>46147.419808425926</v>
      </c>
      <c r="D1752">
        <v>3</v>
      </c>
      <c r="F1752" s="2">
        <v>46147.128141759262</v>
      </c>
      <c r="G1752" s="3">
        <v>46147</v>
      </c>
      <c r="H1752" t="s">
        <v>28</v>
      </c>
      <c r="I1752">
        <v>3</v>
      </c>
    </row>
    <row r="1753" spans="1:9" x14ac:dyDescent="0.2">
      <c r="A1753" s="18" t="s">
        <v>2014</v>
      </c>
      <c r="B1753" s="18" t="s">
        <v>10</v>
      </c>
      <c r="C1753" s="2">
        <v>46147.424396967595</v>
      </c>
      <c r="D1753">
        <v>569</v>
      </c>
      <c r="E1753" s="7" t="s">
        <v>128</v>
      </c>
      <c r="F1753" s="2">
        <v>46147.132730300924</v>
      </c>
      <c r="G1753" s="3">
        <v>46147</v>
      </c>
      <c r="H1753" t="s">
        <v>28</v>
      </c>
      <c r="I1753">
        <v>3</v>
      </c>
    </row>
    <row r="1754" spans="1:9" x14ac:dyDescent="0.2">
      <c r="A1754" s="18" t="s">
        <v>2015</v>
      </c>
      <c r="B1754" s="18" t="s">
        <v>10</v>
      </c>
      <c r="C1754" s="2">
        <v>46147.455672465279</v>
      </c>
      <c r="D1754">
        <v>32</v>
      </c>
      <c r="F1754" s="2">
        <v>46147.164005798608</v>
      </c>
      <c r="G1754" s="3">
        <v>46147</v>
      </c>
      <c r="H1754" t="s">
        <v>28</v>
      </c>
      <c r="I1754">
        <v>3</v>
      </c>
    </row>
    <row r="1755" spans="1:9" x14ac:dyDescent="0.2">
      <c r="A1755" s="18" t="s">
        <v>2016</v>
      </c>
      <c r="B1755" s="18" t="s">
        <v>10</v>
      </c>
      <c r="C1755" s="2">
        <v>46147.456369224536</v>
      </c>
      <c r="D1755">
        <v>3</v>
      </c>
      <c r="F1755" s="2">
        <v>46147.164702557871</v>
      </c>
      <c r="G1755" s="3">
        <v>46147</v>
      </c>
      <c r="H1755" t="s">
        <v>28</v>
      </c>
      <c r="I1755">
        <v>3</v>
      </c>
    </row>
    <row r="1756" spans="1:9" x14ac:dyDescent="0.2">
      <c r="A1756" s="18" t="s">
        <v>2017</v>
      </c>
      <c r="B1756" s="18" t="s">
        <v>10</v>
      </c>
      <c r="C1756" s="2">
        <v>46147.458742280091</v>
      </c>
      <c r="D1756">
        <v>526</v>
      </c>
      <c r="F1756" s="2">
        <v>46147.167075613426</v>
      </c>
      <c r="G1756" s="3">
        <v>46147</v>
      </c>
      <c r="H1756" t="s">
        <v>28</v>
      </c>
      <c r="I1756">
        <v>4</v>
      </c>
    </row>
    <row r="1757" spans="1:9" x14ac:dyDescent="0.2">
      <c r="A1757" s="18" t="s">
        <v>2018</v>
      </c>
      <c r="B1757" s="18" t="s">
        <v>10</v>
      </c>
      <c r="C1757" s="2">
        <v>46147.459557604168</v>
      </c>
      <c r="D1757">
        <v>3</v>
      </c>
      <c r="F1757" s="2">
        <v>46147.167890937497</v>
      </c>
      <c r="G1757" s="3">
        <v>46147</v>
      </c>
      <c r="H1757" t="s">
        <v>28</v>
      </c>
      <c r="I1757">
        <v>4</v>
      </c>
    </row>
    <row r="1758" spans="1:9" x14ac:dyDescent="0.2">
      <c r="A1758" s="18" t="s">
        <v>2019</v>
      </c>
      <c r="B1758" s="18" t="s">
        <v>10</v>
      </c>
      <c r="C1758" s="2">
        <v>46147.49456939815</v>
      </c>
      <c r="D1758">
        <v>32</v>
      </c>
      <c r="F1758" s="2">
        <v>46147.202902731478</v>
      </c>
      <c r="G1758" s="3">
        <v>46147</v>
      </c>
      <c r="H1758" t="s">
        <v>28</v>
      </c>
      <c r="I1758">
        <v>4</v>
      </c>
    </row>
    <row r="1759" spans="1:9" x14ac:dyDescent="0.2">
      <c r="A1759" s="18" t="s">
        <v>2020</v>
      </c>
      <c r="B1759" s="18" t="s">
        <v>10</v>
      </c>
      <c r="C1759" s="2">
        <v>46147.517855902777</v>
      </c>
      <c r="D1759">
        <v>493</v>
      </c>
      <c r="F1759" s="2">
        <v>46147.226189236113</v>
      </c>
      <c r="G1759" s="3">
        <v>46147</v>
      </c>
      <c r="H1759" t="s">
        <v>28</v>
      </c>
      <c r="I1759">
        <v>5</v>
      </c>
    </row>
    <row r="1760" spans="1:9" x14ac:dyDescent="0.2">
      <c r="A1760" s="18" t="s">
        <v>2021</v>
      </c>
      <c r="B1760" s="18" t="s">
        <v>10</v>
      </c>
      <c r="C1760" s="2">
        <v>46147.534058726851</v>
      </c>
      <c r="D1760">
        <v>526</v>
      </c>
      <c r="E1760" s="7" t="s">
        <v>31</v>
      </c>
      <c r="F1760" s="2">
        <v>46147.242392060187</v>
      </c>
      <c r="G1760" s="3">
        <v>46147</v>
      </c>
      <c r="H1760" t="s">
        <v>28</v>
      </c>
      <c r="I1760">
        <v>5</v>
      </c>
    </row>
    <row r="1761" spans="1:9" x14ac:dyDescent="0.2">
      <c r="A1761" s="18" t="s">
        <v>2022</v>
      </c>
      <c r="B1761" s="18" t="s">
        <v>10</v>
      </c>
      <c r="C1761" s="2">
        <v>46147.568376886571</v>
      </c>
      <c r="D1761">
        <v>493</v>
      </c>
      <c r="F1761" s="2">
        <v>46147.276710219907</v>
      </c>
      <c r="G1761" s="3">
        <v>46147</v>
      </c>
      <c r="H1761" t="s">
        <v>28</v>
      </c>
      <c r="I1761">
        <v>6</v>
      </c>
    </row>
    <row r="1762" spans="1:9" x14ac:dyDescent="0.2">
      <c r="A1762" s="18" t="s">
        <v>2023</v>
      </c>
      <c r="B1762" s="18" t="s">
        <v>10</v>
      </c>
      <c r="C1762" s="2">
        <v>46147.569180347222</v>
      </c>
      <c r="D1762">
        <v>569</v>
      </c>
      <c r="F1762" s="2">
        <v>46147.277513680558</v>
      </c>
      <c r="G1762" s="3">
        <v>46147</v>
      </c>
      <c r="H1762" t="s">
        <v>28</v>
      </c>
      <c r="I1762">
        <v>6</v>
      </c>
    </row>
    <row r="1763" spans="1:9" x14ac:dyDescent="0.2">
      <c r="A1763" s="18" t="s">
        <v>2024</v>
      </c>
      <c r="B1763" s="18" t="s">
        <v>10</v>
      </c>
      <c r="C1763" s="2">
        <v>46147.588527291664</v>
      </c>
      <c r="D1763">
        <v>3</v>
      </c>
      <c r="F1763" s="2">
        <v>46147.296860625</v>
      </c>
      <c r="G1763" s="3">
        <v>46147</v>
      </c>
      <c r="H1763" t="s">
        <v>28</v>
      </c>
      <c r="I1763">
        <v>7</v>
      </c>
    </row>
    <row r="1764" spans="1:9" x14ac:dyDescent="0.2">
      <c r="A1764" s="18" t="s">
        <v>2025</v>
      </c>
      <c r="B1764" s="18" t="s">
        <v>10</v>
      </c>
      <c r="C1764" s="2">
        <v>46147.589961018515</v>
      </c>
      <c r="D1764">
        <v>3</v>
      </c>
      <c r="F1764" s="2">
        <v>46147.298294351851</v>
      </c>
      <c r="G1764" s="3">
        <v>46147</v>
      </c>
      <c r="H1764" t="s">
        <v>28</v>
      </c>
      <c r="I1764">
        <v>7</v>
      </c>
    </row>
    <row r="1765" spans="1:9" x14ac:dyDescent="0.2">
      <c r="A1765" s="18" t="s">
        <v>2026</v>
      </c>
      <c r="B1765" s="18" t="s">
        <v>10</v>
      </c>
      <c r="C1765" s="2">
        <v>46147.591032951386</v>
      </c>
      <c r="D1765">
        <v>569</v>
      </c>
      <c r="E1765" s="7" t="s">
        <v>60</v>
      </c>
      <c r="F1765" s="2">
        <v>46147.299366284722</v>
      </c>
      <c r="G1765" s="3">
        <v>46147</v>
      </c>
      <c r="H1765" t="s">
        <v>28</v>
      </c>
      <c r="I1765">
        <v>7</v>
      </c>
    </row>
    <row r="1766" spans="1:9" x14ac:dyDescent="0.2">
      <c r="A1766" s="18" t="s">
        <v>2027</v>
      </c>
      <c r="B1766" s="18" t="s">
        <v>10</v>
      </c>
      <c r="C1766" s="2">
        <v>46147.625724710648</v>
      </c>
      <c r="D1766">
        <v>32</v>
      </c>
      <c r="F1766" s="2">
        <v>46147.334058043984</v>
      </c>
      <c r="G1766" s="3">
        <v>46147</v>
      </c>
      <c r="H1766" t="s">
        <v>28</v>
      </c>
      <c r="I1766">
        <v>8</v>
      </c>
    </row>
    <row r="1767" spans="1:9" x14ac:dyDescent="0.2">
      <c r="A1767" s="18" t="s">
        <v>2028</v>
      </c>
      <c r="B1767" s="18" t="s">
        <v>10</v>
      </c>
      <c r="C1767" s="2">
        <v>46147.627883854169</v>
      </c>
      <c r="D1767">
        <v>569</v>
      </c>
      <c r="E1767" s="7" t="s">
        <v>60</v>
      </c>
      <c r="F1767" s="2">
        <v>46147.336217187498</v>
      </c>
      <c r="G1767" s="3">
        <v>46147</v>
      </c>
      <c r="H1767" t="s">
        <v>28</v>
      </c>
      <c r="I1767">
        <v>8</v>
      </c>
    </row>
    <row r="1768" spans="1:9" x14ac:dyDescent="0.2">
      <c r="A1768" s="18" t="s">
        <v>2029</v>
      </c>
      <c r="B1768" s="18" t="s">
        <v>10</v>
      </c>
      <c r="C1768" s="2">
        <v>46147.677167002315</v>
      </c>
      <c r="D1768">
        <v>569</v>
      </c>
      <c r="E1768" s="7" t="s">
        <v>60</v>
      </c>
      <c r="F1768" s="2">
        <v>46147.385500335651</v>
      </c>
      <c r="G1768" s="3">
        <v>46147</v>
      </c>
      <c r="H1768" t="s">
        <v>28</v>
      </c>
      <c r="I1768">
        <v>9</v>
      </c>
    </row>
    <row r="1769" spans="1:9" x14ac:dyDescent="0.2">
      <c r="A1769" s="18" t="s">
        <v>2030</v>
      </c>
      <c r="B1769" s="18" t="s">
        <v>10</v>
      </c>
      <c r="C1769" s="2">
        <v>46147.683042569442</v>
      </c>
      <c r="D1769">
        <v>32</v>
      </c>
      <c r="F1769" s="2">
        <v>46147.391375902778</v>
      </c>
      <c r="G1769" s="3">
        <v>46147</v>
      </c>
      <c r="H1769" t="s">
        <v>28</v>
      </c>
      <c r="I1769">
        <v>9</v>
      </c>
    </row>
    <row r="1770" spans="1:9" x14ac:dyDescent="0.2">
      <c r="A1770" s="18" t="s">
        <v>2031</v>
      </c>
      <c r="B1770" s="18" t="s">
        <v>10</v>
      </c>
      <c r="C1770" s="2">
        <v>46147.700262199076</v>
      </c>
      <c r="D1770">
        <v>3</v>
      </c>
      <c r="F1770" s="2">
        <v>46147.408595532404</v>
      </c>
      <c r="G1770" s="3">
        <v>46147</v>
      </c>
      <c r="H1770" t="s">
        <v>28</v>
      </c>
      <c r="I1770">
        <v>9</v>
      </c>
    </row>
    <row r="1771" spans="1:9" x14ac:dyDescent="0.2">
      <c r="A1771" s="18" t="s">
        <v>2035</v>
      </c>
      <c r="B1771" s="18" t="s">
        <v>10</v>
      </c>
      <c r="C1771" s="2">
        <v>46147.721297581018</v>
      </c>
      <c r="D1771">
        <v>526</v>
      </c>
      <c r="F1771" s="2">
        <v>46147.429630914354</v>
      </c>
      <c r="G1771" s="3">
        <v>46147</v>
      </c>
      <c r="H1771" t="s">
        <v>28</v>
      </c>
      <c r="I1771">
        <v>10</v>
      </c>
    </row>
    <row r="1772" spans="1:9" x14ac:dyDescent="0.2">
      <c r="A1772" s="18" t="s">
        <v>2036</v>
      </c>
      <c r="B1772" s="18" t="s">
        <v>10</v>
      </c>
      <c r="C1772" s="2">
        <v>46147.726057766202</v>
      </c>
      <c r="D1772">
        <v>1</v>
      </c>
      <c r="F1772" s="2">
        <v>46147.434391099538</v>
      </c>
      <c r="G1772" s="3">
        <v>46147</v>
      </c>
      <c r="H1772" t="s">
        <v>28</v>
      </c>
      <c r="I1772">
        <v>10</v>
      </c>
    </row>
    <row r="1773" spans="1:9" x14ac:dyDescent="0.2">
      <c r="A1773" s="18" t="s">
        <v>2037</v>
      </c>
      <c r="B1773" s="18" t="s">
        <v>10</v>
      </c>
      <c r="C1773" s="2">
        <v>46147.738909872685</v>
      </c>
      <c r="D1773">
        <v>569</v>
      </c>
      <c r="E1773" s="7" t="s">
        <v>60</v>
      </c>
      <c r="F1773" s="2">
        <v>46147.447243206021</v>
      </c>
      <c r="G1773" s="3">
        <v>46147</v>
      </c>
      <c r="H1773" t="s">
        <v>28</v>
      </c>
      <c r="I1773">
        <v>10</v>
      </c>
    </row>
    <row r="1774" spans="1:9" x14ac:dyDescent="0.2">
      <c r="A1774" s="18" t="s">
        <v>2038</v>
      </c>
      <c r="B1774" s="18" t="s">
        <v>10</v>
      </c>
      <c r="C1774" s="2">
        <v>46147.751541990743</v>
      </c>
      <c r="D1774">
        <v>569</v>
      </c>
      <c r="E1774" s="7" t="s">
        <v>60</v>
      </c>
      <c r="F1774" s="2">
        <v>46147.459875324072</v>
      </c>
      <c r="G1774" s="3">
        <v>46147</v>
      </c>
      <c r="H1774" t="s">
        <v>28</v>
      </c>
      <c r="I1774">
        <v>11</v>
      </c>
    </row>
    <row r="1775" spans="1:9" x14ac:dyDescent="0.2">
      <c r="A1775" s="18" t="s">
        <v>2039</v>
      </c>
      <c r="B1775" s="18" t="s">
        <v>10</v>
      </c>
      <c r="C1775" s="2">
        <v>46147.795628564818</v>
      </c>
      <c r="D1775">
        <v>569</v>
      </c>
      <c r="E1775" s="7" t="s">
        <v>60</v>
      </c>
      <c r="F1775" s="2">
        <v>46147.503961898146</v>
      </c>
      <c r="G1775" s="3">
        <v>46147</v>
      </c>
      <c r="H1775" t="s">
        <v>28</v>
      </c>
      <c r="I1775">
        <v>12</v>
      </c>
    </row>
    <row r="1776" spans="1:9" x14ac:dyDescent="0.2">
      <c r="A1776" s="18" t="s">
        <v>2040</v>
      </c>
      <c r="B1776" s="18" t="s">
        <v>10</v>
      </c>
      <c r="C1776" s="2">
        <v>46147.857123240741</v>
      </c>
      <c r="D1776">
        <v>569</v>
      </c>
      <c r="F1776" s="2">
        <v>46147.565456574077</v>
      </c>
      <c r="G1776" s="3">
        <v>46147</v>
      </c>
      <c r="H1776" t="s">
        <v>28</v>
      </c>
      <c r="I1776">
        <v>13</v>
      </c>
    </row>
    <row r="1777" spans="1:9" x14ac:dyDescent="0.2">
      <c r="A1777" s="18" t="s">
        <v>2041</v>
      </c>
      <c r="B1777" s="18" t="s">
        <v>10</v>
      </c>
      <c r="C1777" s="2">
        <v>46147.86374739583</v>
      </c>
      <c r="D1777">
        <v>526</v>
      </c>
      <c r="F1777" s="2">
        <v>46147.572080729165</v>
      </c>
      <c r="G1777" s="3">
        <v>46147</v>
      </c>
      <c r="H1777" t="s">
        <v>28</v>
      </c>
      <c r="I1777">
        <v>13</v>
      </c>
    </row>
    <row r="1778" spans="1:9" x14ac:dyDescent="0.2">
      <c r="A1778" s="18" t="s">
        <v>2042</v>
      </c>
      <c r="B1778" s="18" t="s">
        <v>10</v>
      </c>
      <c r="C1778" s="2">
        <v>46147.89002608796</v>
      </c>
      <c r="D1778">
        <v>526</v>
      </c>
      <c r="F1778" s="2">
        <v>46147.598359421296</v>
      </c>
      <c r="G1778" s="3">
        <v>46147</v>
      </c>
      <c r="H1778" t="s">
        <v>28</v>
      </c>
      <c r="I1778">
        <v>14</v>
      </c>
    </row>
    <row r="1779" spans="1:9" x14ac:dyDescent="0.2">
      <c r="A1779" s="18" t="s">
        <v>2043</v>
      </c>
      <c r="B1779" s="18" t="s">
        <v>10</v>
      </c>
      <c r="C1779" s="2">
        <v>46147.89757346065</v>
      </c>
      <c r="D1779">
        <v>569</v>
      </c>
      <c r="E1779" s="7" t="s">
        <v>2044</v>
      </c>
      <c r="F1779" s="2">
        <v>46147.605906793979</v>
      </c>
      <c r="G1779" s="3">
        <v>46147</v>
      </c>
      <c r="H1779" t="s">
        <v>28</v>
      </c>
      <c r="I1779">
        <v>14</v>
      </c>
    </row>
    <row r="1780" spans="1:9" x14ac:dyDescent="0.2">
      <c r="A1780" s="18" t="s">
        <v>2045</v>
      </c>
      <c r="B1780" s="18" t="s">
        <v>10</v>
      </c>
      <c r="C1780" s="2">
        <v>46147.905906377317</v>
      </c>
      <c r="D1780">
        <v>3</v>
      </c>
      <c r="E1780" s="7" t="s">
        <v>301</v>
      </c>
      <c r="F1780" s="2">
        <v>46147.614239710645</v>
      </c>
      <c r="G1780" s="3">
        <v>46147</v>
      </c>
      <c r="H1780" t="s">
        <v>28</v>
      </c>
      <c r="I1780">
        <v>14</v>
      </c>
    </row>
    <row r="1781" spans="1:9" x14ac:dyDescent="0.2">
      <c r="A1781" s="18" t="s">
        <v>2046</v>
      </c>
      <c r="B1781" s="18" t="s">
        <v>10</v>
      </c>
      <c r="C1781" s="2">
        <v>46147.907387488427</v>
      </c>
      <c r="D1781">
        <v>569</v>
      </c>
      <c r="E1781" s="7" t="s">
        <v>301</v>
      </c>
      <c r="F1781" s="2">
        <v>46147.615720821763</v>
      </c>
      <c r="G1781" s="3">
        <v>46147</v>
      </c>
      <c r="H1781" t="s">
        <v>28</v>
      </c>
      <c r="I1781">
        <v>14</v>
      </c>
    </row>
    <row r="1782" spans="1:9" x14ac:dyDescent="0.2">
      <c r="A1782" s="18" t="s">
        <v>2047</v>
      </c>
      <c r="B1782" s="18" t="s">
        <v>10</v>
      </c>
      <c r="C1782" s="2">
        <v>46147.909194733795</v>
      </c>
      <c r="D1782">
        <v>569</v>
      </c>
      <c r="E1782" s="7" t="s">
        <v>2048</v>
      </c>
      <c r="F1782" s="2">
        <v>46147.61752806713</v>
      </c>
      <c r="G1782" s="3">
        <v>46147</v>
      </c>
      <c r="H1782" t="s">
        <v>28</v>
      </c>
      <c r="I1782">
        <v>14</v>
      </c>
    </row>
    <row r="1783" spans="1:9" x14ac:dyDescent="0.2">
      <c r="A1783" s="18" t="s">
        <v>2049</v>
      </c>
      <c r="B1783" s="18" t="s">
        <v>10</v>
      </c>
      <c r="C1783" s="2">
        <v>46147.917719340279</v>
      </c>
      <c r="D1783">
        <v>3</v>
      </c>
      <c r="E1783" s="7" t="s">
        <v>2048</v>
      </c>
      <c r="F1783" s="2">
        <v>46147.626052673608</v>
      </c>
      <c r="G1783" s="3">
        <v>46147</v>
      </c>
      <c r="H1783" t="s">
        <v>28</v>
      </c>
      <c r="I1783">
        <v>15</v>
      </c>
    </row>
    <row r="1784" spans="1:9" x14ac:dyDescent="0.2">
      <c r="A1784" s="18" t="s">
        <v>2050</v>
      </c>
      <c r="B1784" s="18" t="s">
        <v>10</v>
      </c>
      <c r="C1784" s="2">
        <v>46148.090601967589</v>
      </c>
      <c r="D1784">
        <v>3</v>
      </c>
      <c r="F1784" s="2">
        <v>46147.798935300925</v>
      </c>
      <c r="G1784" s="3">
        <v>46147</v>
      </c>
      <c r="H1784" t="s">
        <v>28</v>
      </c>
      <c r="I1784">
        <v>19</v>
      </c>
    </row>
    <row r="1785" spans="1:9" x14ac:dyDescent="0.2">
      <c r="A1785" s="18" t="s">
        <v>2051</v>
      </c>
      <c r="B1785" s="18" t="s">
        <v>10</v>
      </c>
      <c r="C1785" s="2">
        <v>46148.146412881943</v>
      </c>
      <c r="D1785">
        <v>3</v>
      </c>
      <c r="F1785" s="2">
        <v>46147.854746215278</v>
      </c>
      <c r="G1785" s="3">
        <v>46147</v>
      </c>
      <c r="H1785" t="s">
        <v>28</v>
      </c>
      <c r="I1785">
        <v>20</v>
      </c>
    </row>
    <row r="1786" spans="1:9" x14ac:dyDescent="0.2">
      <c r="A1786" s="18" t="s">
        <v>2052</v>
      </c>
      <c r="B1786" s="18" t="s">
        <v>10</v>
      </c>
      <c r="C1786" s="2">
        <v>46148.281919988425</v>
      </c>
      <c r="D1786">
        <v>493</v>
      </c>
      <c r="F1786" s="2">
        <v>46147.990253321761</v>
      </c>
      <c r="G1786" s="3">
        <v>46147</v>
      </c>
      <c r="H1786" t="s">
        <v>28</v>
      </c>
      <c r="I1786">
        <v>23</v>
      </c>
    </row>
    <row r="1787" spans="1:9" x14ac:dyDescent="0.2">
      <c r="A1787" s="18" t="s">
        <v>2053</v>
      </c>
      <c r="B1787" s="18" t="s">
        <v>10</v>
      </c>
      <c r="C1787" s="2">
        <v>46148.331629189815</v>
      </c>
      <c r="D1787">
        <v>569</v>
      </c>
      <c r="E1787" s="7" t="s">
        <v>60</v>
      </c>
      <c r="F1787" s="2">
        <v>46148.039962523151</v>
      </c>
      <c r="G1787" s="3">
        <v>46148</v>
      </c>
      <c r="H1787" t="s">
        <v>63</v>
      </c>
      <c r="I1787">
        <v>0</v>
      </c>
    </row>
    <row r="1788" spans="1:9" x14ac:dyDescent="0.2">
      <c r="A1788" s="18" t="s">
        <v>2054</v>
      </c>
      <c r="B1788" s="18" t="s">
        <v>10</v>
      </c>
      <c r="C1788" s="2">
        <v>46148.349193032409</v>
      </c>
      <c r="D1788">
        <v>569</v>
      </c>
      <c r="F1788" s="2">
        <v>46148.057526365737</v>
      </c>
      <c r="G1788" s="3">
        <v>46148</v>
      </c>
      <c r="H1788" t="s">
        <v>63</v>
      </c>
      <c r="I1788">
        <v>1</v>
      </c>
    </row>
    <row r="1789" spans="1:9" x14ac:dyDescent="0.2">
      <c r="A1789" s="18" t="s">
        <v>2055</v>
      </c>
      <c r="B1789" s="18" t="s">
        <v>10</v>
      </c>
      <c r="C1789" s="2">
        <v>46148.369225775466</v>
      </c>
      <c r="D1789">
        <v>569</v>
      </c>
      <c r="F1789" s="2">
        <v>46148.077559108795</v>
      </c>
      <c r="G1789" s="3">
        <v>46148</v>
      </c>
      <c r="H1789" t="s">
        <v>63</v>
      </c>
      <c r="I1789">
        <v>1</v>
      </c>
    </row>
    <row r="1790" spans="1:9" x14ac:dyDescent="0.2">
      <c r="A1790" s="18" t="s">
        <v>2056</v>
      </c>
      <c r="B1790" s="18" t="s">
        <v>10</v>
      </c>
      <c r="C1790" s="2">
        <v>46148.387579930553</v>
      </c>
      <c r="D1790">
        <v>569</v>
      </c>
      <c r="E1790" s="7" t="s">
        <v>60</v>
      </c>
      <c r="F1790" s="2">
        <v>46148.095913263889</v>
      </c>
      <c r="G1790" s="3">
        <v>46148</v>
      </c>
      <c r="H1790" t="s">
        <v>63</v>
      </c>
      <c r="I1790">
        <v>2</v>
      </c>
    </row>
    <row r="1791" spans="1:9" x14ac:dyDescent="0.2">
      <c r="A1791" s="18" t="s">
        <v>2057</v>
      </c>
      <c r="B1791" s="18" t="s">
        <v>10</v>
      </c>
      <c r="C1791" s="2">
        <v>46148.388414131943</v>
      </c>
      <c r="D1791">
        <v>3</v>
      </c>
      <c r="F1791" s="2">
        <v>46148.096747465279</v>
      </c>
      <c r="G1791" s="3">
        <v>46148</v>
      </c>
      <c r="H1791" t="s">
        <v>63</v>
      </c>
      <c r="I1791">
        <v>2</v>
      </c>
    </row>
    <row r="1792" spans="1:9" x14ac:dyDescent="0.2">
      <c r="A1792" s="18" t="s">
        <v>2058</v>
      </c>
      <c r="B1792" s="18" t="s">
        <v>10</v>
      </c>
      <c r="C1792" s="2">
        <v>46148.402283217591</v>
      </c>
      <c r="D1792">
        <v>526</v>
      </c>
      <c r="F1792" s="2">
        <v>46148.110616550926</v>
      </c>
      <c r="G1792" s="3">
        <v>46148</v>
      </c>
      <c r="H1792" t="s">
        <v>63</v>
      </c>
      <c r="I1792">
        <v>2</v>
      </c>
    </row>
    <row r="1793" spans="1:9" x14ac:dyDescent="0.2">
      <c r="A1793" s="18" t="s">
        <v>2059</v>
      </c>
      <c r="B1793" s="18" t="s">
        <v>10</v>
      </c>
      <c r="C1793" s="2">
        <v>46148.426782118055</v>
      </c>
      <c r="D1793">
        <v>526</v>
      </c>
      <c r="F1793" s="2">
        <v>46148.13511545139</v>
      </c>
      <c r="G1793" s="3">
        <v>46148</v>
      </c>
      <c r="H1793" t="s">
        <v>63</v>
      </c>
      <c r="I1793">
        <v>3</v>
      </c>
    </row>
    <row r="1794" spans="1:9" x14ac:dyDescent="0.2">
      <c r="A1794" s="18" t="s">
        <v>2060</v>
      </c>
      <c r="B1794" s="18" t="s">
        <v>10</v>
      </c>
      <c r="C1794" s="2">
        <v>46148.42920136574</v>
      </c>
      <c r="D1794">
        <v>3</v>
      </c>
      <c r="F1794" s="2">
        <v>46148.137534699075</v>
      </c>
      <c r="G1794" s="3">
        <v>46148</v>
      </c>
      <c r="H1794" t="s">
        <v>63</v>
      </c>
      <c r="I1794">
        <v>3</v>
      </c>
    </row>
    <row r="1795" spans="1:9" x14ac:dyDescent="0.2">
      <c r="A1795" s="18" t="s">
        <v>2061</v>
      </c>
      <c r="B1795" s="18" t="s">
        <v>10</v>
      </c>
      <c r="C1795" s="2">
        <v>46148.433921481483</v>
      </c>
      <c r="D1795">
        <v>493</v>
      </c>
      <c r="F1795" s="2">
        <v>46148.142254814818</v>
      </c>
      <c r="G1795" s="3">
        <v>46148</v>
      </c>
      <c r="H1795" t="s">
        <v>63</v>
      </c>
      <c r="I1795">
        <v>3</v>
      </c>
    </row>
    <row r="1796" spans="1:9" x14ac:dyDescent="0.2">
      <c r="A1796" s="18" t="s">
        <v>2062</v>
      </c>
      <c r="B1796" s="18" t="s">
        <v>10</v>
      </c>
      <c r="C1796" s="2">
        <v>46148.459504502316</v>
      </c>
      <c r="D1796">
        <v>526</v>
      </c>
      <c r="F1796" s="2">
        <v>46148.167837835645</v>
      </c>
      <c r="G1796" s="3">
        <v>46148</v>
      </c>
      <c r="H1796" t="s">
        <v>63</v>
      </c>
      <c r="I1796">
        <v>4</v>
      </c>
    </row>
    <row r="1797" spans="1:9" x14ac:dyDescent="0.2">
      <c r="A1797" s="18" t="s">
        <v>2063</v>
      </c>
      <c r="B1797" s="18" t="s">
        <v>10</v>
      </c>
      <c r="C1797" s="2">
        <v>46148.472385046298</v>
      </c>
      <c r="D1797">
        <v>3</v>
      </c>
      <c r="F1797" s="2">
        <v>46148.180718379626</v>
      </c>
      <c r="G1797" s="3">
        <v>46148</v>
      </c>
      <c r="H1797" t="s">
        <v>63</v>
      </c>
      <c r="I1797">
        <v>4</v>
      </c>
    </row>
    <row r="1798" spans="1:9" x14ac:dyDescent="0.2">
      <c r="A1798" s="18" t="s">
        <v>2064</v>
      </c>
      <c r="B1798" s="18" t="s">
        <v>10</v>
      </c>
      <c r="C1798" s="2">
        <v>46148.472945439818</v>
      </c>
      <c r="D1798">
        <v>1</v>
      </c>
      <c r="F1798" s="2">
        <v>46148.181278773147</v>
      </c>
      <c r="G1798" s="3">
        <v>46148</v>
      </c>
      <c r="H1798" t="s">
        <v>63</v>
      </c>
      <c r="I1798">
        <v>4</v>
      </c>
    </row>
    <row r="1799" spans="1:9" x14ac:dyDescent="0.2">
      <c r="A1799" s="18" t="s">
        <v>2065</v>
      </c>
      <c r="B1799" s="18" t="s">
        <v>10</v>
      </c>
      <c r="C1799" s="2">
        <v>46148.478990625001</v>
      </c>
      <c r="D1799">
        <v>3</v>
      </c>
      <c r="F1799" s="2">
        <v>46148.187323958336</v>
      </c>
      <c r="G1799" s="3">
        <v>46148</v>
      </c>
      <c r="H1799" t="s">
        <v>63</v>
      </c>
      <c r="I1799">
        <v>4</v>
      </c>
    </row>
    <row r="1800" spans="1:9" x14ac:dyDescent="0.2">
      <c r="A1800" s="18" t="s">
        <v>2066</v>
      </c>
      <c r="B1800" s="18" t="s">
        <v>10</v>
      </c>
      <c r="C1800" s="2">
        <v>46148.482825011575</v>
      </c>
      <c r="D1800">
        <v>3</v>
      </c>
      <c r="E1800" s="7" t="s">
        <v>2067</v>
      </c>
      <c r="F1800" s="2">
        <v>46148.191158344911</v>
      </c>
      <c r="G1800" s="3">
        <v>46148</v>
      </c>
      <c r="H1800" t="s">
        <v>63</v>
      </c>
      <c r="I1800">
        <v>4</v>
      </c>
    </row>
    <row r="1801" spans="1:9" x14ac:dyDescent="0.2">
      <c r="A1801" s="18" t="s">
        <v>2068</v>
      </c>
      <c r="B1801" s="18" t="s">
        <v>10</v>
      </c>
      <c r="C1801" s="2">
        <v>46148.539125763891</v>
      </c>
      <c r="D1801">
        <v>3</v>
      </c>
      <c r="E1801" s="7" t="s">
        <v>613</v>
      </c>
      <c r="F1801" s="2">
        <v>46148.24745909722</v>
      </c>
      <c r="G1801" s="3">
        <v>46148</v>
      </c>
      <c r="H1801" t="s">
        <v>63</v>
      </c>
      <c r="I1801">
        <v>5</v>
      </c>
    </row>
    <row r="1802" spans="1:9" x14ac:dyDescent="0.2">
      <c r="A1802" s="18" t="s">
        <v>2069</v>
      </c>
      <c r="B1802" s="18" t="s">
        <v>10</v>
      </c>
      <c r="C1802" s="2">
        <v>46148.54544736111</v>
      </c>
      <c r="D1802">
        <v>3</v>
      </c>
      <c r="F1802" s="2">
        <v>46148.253780694446</v>
      </c>
      <c r="G1802" s="3">
        <v>46148</v>
      </c>
      <c r="H1802" t="s">
        <v>63</v>
      </c>
      <c r="I1802">
        <v>6</v>
      </c>
    </row>
    <row r="1803" spans="1:9" x14ac:dyDescent="0.2">
      <c r="A1803" s="18" t="s">
        <v>2070</v>
      </c>
      <c r="B1803" s="18" t="s">
        <v>10</v>
      </c>
      <c r="C1803" s="2">
        <v>46148.591212280095</v>
      </c>
      <c r="D1803">
        <v>493</v>
      </c>
      <c r="F1803" s="2">
        <v>46148.299545613423</v>
      </c>
      <c r="G1803" s="3">
        <v>46148</v>
      </c>
      <c r="H1803" t="s">
        <v>63</v>
      </c>
      <c r="I1803">
        <v>7</v>
      </c>
    </row>
    <row r="1804" spans="1:9" x14ac:dyDescent="0.2">
      <c r="A1804" s="18" t="s">
        <v>2071</v>
      </c>
      <c r="B1804" s="18" t="s">
        <v>10</v>
      </c>
      <c r="C1804" s="2">
        <v>46148.614094606484</v>
      </c>
      <c r="D1804">
        <v>534</v>
      </c>
      <c r="F1804" s="2">
        <v>46148.322427939813</v>
      </c>
      <c r="G1804" s="3">
        <v>46148</v>
      </c>
      <c r="H1804" t="s">
        <v>63</v>
      </c>
      <c r="I1804">
        <v>7</v>
      </c>
    </row>
    <row r="1805" spans="1:9" x14ac:dyDescent="0.2">
      <c r="A1805" s="18" t="s">
        <v>2072</v>
      </c>
      <c r="B1805" s="18" t="s">
        <v>10</v>
      </c>
      <c r="C1805" s="2">
        <v>46148.804498113423</v>
      </c>
      <c r="D1805">
        <v>3</v>
      </c>
      <c r="E1805" s="7" t="s">
        <v>709</v>
      </c>
      <c r="F1805" s="2">
        <v>46148.512831446758</v>
      </c>
      <c r="G1805" s="3">
        <v>46148</v>
      </c>
      <c r="H1805" t="s">
        <v>63</v>
      </c>
      <c r="I1805">
        <v>12</v>
      </c>
    </row>
    <row r="1806" spans="1:9" x14ac:dyDescent="0.2">
      <c r="A1806" s="18" t="s">
        <v>2073</v>
      </c>
      <c r="B1806" s="18" t="s">
        <v>10</v>
      </c>
      <c r="C1806" s="2">
        <v>46148.87324134259</v>
      </c>
      <c r="D1806">
        <v>569</v>
      </c>
      <c r="E1806" s="7" t="s">
        <v>2074</v>
      </c>
      <c r="F1806" s="2">
        <v>46148.581574675925</v>
      </c>
      <c r="G1806" s="3">
        <v>46148</v>
      </c>
      <c r="H1806" t="s">
        <v>63</v>
      </c>
      <c r="I1806">
        <v>13</v>
      </c>
    </row>
    <row r="1807" spans="1:9" x14ac:dyDescent="0.2">
      <c r="A1807" s="18" t="s">
        <v>2075</v>
      </c>
      <c r="B1807" s="18" t="s">
        <v>10</v>
      </c>
      <c r="C1807" s="2">
        <v>46148.882703564814</v>
      </c>
      <c r="D1807">
        <v>569</v>
      </c>
      <c r="E1807" s="7" t="s">
        <v>2076</v>
      </c>
      <c r="F1807" s="2">
        <v>46148.591036898149</v>
      </c>
      <c r="G1807" s="3">
        <v>46148</v>
      </c>
      <c r="H1807" t="s">
        <v>63</v>
      </c>
      <c r="I1807">
        <v>14</v>
      </c>
    </row>
    <row r="1808" spans="1:9" x14ac:dyDescent="0.2">
      <c r="A1808" s="18" t="s">
        <v>2077</v>
      </c>
      <c r="B1808" s="18" t="s">
        <v>10</v>
      </c>
      <c r="C1808" s="2">
        <v>46148.918451134261</v>
      </c>
      <c r="D1808">
        <v>3</v>
      </c>
      <c r="E1808" s="7" t="s">
        <v>301</v>
      </c>
      <c r="F1808" s="2">
        <v>46148.626784467589</v>
      </c>
      <c r="G1808" s="3">
        <v>46148</v>
      </c>
      <c r="H1808" t="s">
        <v>63</v>
      </c>
      <c r="I1808">
        <v>15</v>
      </c>
    </row>
    <row r="1809" spans="1:9" x14ac:dyDescent="0.2">
      <c r="A1809" s="18" t="s">
        <v>2078</v>
      </c>
      <c r="B1809" s="18" t="s">
        <v>10</v>
      </c>
      <c r="C1809" s="2">
        <v>46149.355872731481</v>
      </c>
      <c r="D1809">
        <v>526</v>
      </c>
      <c r="F1809" s="2">
        <v>46149.064206064817</v>
      </c>
      <c r="G1809" s="3">
        <v>46149</v>
      </c>
      <c r="H1809" t="s">
        <v>95</v>
      </c>
      <c r="I1809">
        <v>1</v>
      </c>
    </row>
    <row r="1810" spans="1:9" x14ac:dyDescent="0.2">
      <c r="A1810" s="18" t="s">
        <v>2079</v>
      </c>
      <c r="B1810" s="18" t="s">
        <v>10</v>
      </c>
      <c r="C1810" s="2">
        <v>46149.384932002315</v>
      </c>
      <c r="D1810">
        <v>526</v>
      </c>
      <c r="F1810" s="2">
        <v>46149.09326533565</v>
      </c>
      <c r="G1810" s="3">
        <v>46149</v>
      </c>
      <c r="H1810" t="s">
        <v>95</v>
      </c>
      <c r="I1810">
        <v>2</v>
      </c>
    </row>
    <row r="1811" spans="1:9" x14ac:dyDescent="0.2">
      <c r="A1811" s="18" t="s">
        <v>2080</v>
      </c>
      <c r="B1811" s="18" t="s">
        <v>10</v>
      </c>
      <c r="C1811" s="2">
        <v>46149.437489652781</v>
      </c>
      <c r="D1811">
        <v>526</v>
      </c>
      <c r="E1811" s="7" t="s">
        <v>31</v>
      </c>
      <c r="F1811" s="2">
        <v>46149.145822986109</v>
      </c>
      <c r="G1811" s="3">
        <v>46149</v>
      </c>
      <c r="H1811" t="s">
        <v>95</v>
      </c>
      <c r="I1811">
        <v>3</v>
      </c>
    </row>
    <row r="1812" spans="1:9" x14ac:dyDescent="0.2">
      <c r="A1812" s="18" t="s">
        <v>2081</v>
      </c>
      <c r="B1812" s="18" t="s">
        <v>10</v>
      </c>
      <c r="C1812" s="2">
        <v>46149.476415115743</v>
      </c>
      <c r="D1812">
        <v>526</v>
      </c>
      <c r="E1812" s="7" t="s">
        <v>2082</v>
      </c>
      <c r="F1812" s="2">
        <v>46149.184748449072</v>
      </c>
      <c r="G1812" s="3">
        <v>46149</v>
      </c>
      <c r="H1812" t="s">
        <v>95</v>
      </c>
      <c r="I1812">
        <v>4</v>
      </c>
    </row>
    <row r="1813" spans="1:9" x14ac:dyDescent="0.2">
      <c r="A1813" s="18" t="s">
        <v>2083</v>
      </c>
      <c r="B1813" s="18" t="s">
        <v>10</v>
      </c>
      <c r="C1813" s="2">
        <v>46149.57878984954</v>
      </c>
      <c r="D1813">
        <v>569</v>
      </c>
      <c r="E1813" s="7" t="s">
        <v>2084</v>
      </c>
      <c r="F1813" s="2">
        <v>46149.287123182869</v>
      </c>
      <c r="G1813" s="3">
        <v>46149</v>
      </c>
      <c r="H1813" t="s">
        <v>95</v>
      </c>
      <c r="I1813">
        <v>6</v>
      </c>
    </row>
    <row r="1814" spans="1:9" x14ac:dyDescent="0.2">
      <c r="A1814" s="18" t="s">
        <v>2085</v>
      </c>
      <c r="B1814" s="18" t="s">
        <v>10</v>
      </c>
      <c r="C1814" s="2">
        <v>46149.579035451388</v>
      </c>
      <c r="D1814">
        <v>526</v>
      </c>
      <c r="F1814" s="2">
        <v>46149.287368784724</v>
      </c>
      <c r="G1814" s="3">
        <v>46149</v>
      </c>
      <c r="H1814" t="s">
        <v>95</v>
      </c>
      <c r="I1814">
        <v>6</v>
      </c>
    </row>
    <row r="1815" spans="1:9" x14ac:dyDescent="0.2">
      <c r="A1815" s="18" t="s">
        <v>2086</v>
      </c>
      <c r="B1815" s="18" t="s">
        <v>10</v>
      </c>
      <c r="C1815" s="2">
        <v>46149.580063587964</v>
      </c>
      <c r="D1815">
        <v>3</v>
      </c>
      <c r="F1815" s="2">
        <v>46149.2883969213</v>
      </c>
      <c r="G1815" s="3">
        <v>46149</v>
      </c>
      <c r="H1815" t="s">
        <v>95</v>
      </c>
      <c r="I1815">
        <v>6</v>
      </c>
    </row>
    <row r="1816" spans="1:9" x14ac:dyDescent="0.2">
      <c r="A1816" s="18" t="s">
        <v>2087</v>
      </c>
      <c r="B1816" s="18" t="s">
        <v>10</v>
      </c>
      <c r="C1816" s="2">
        <v>46149.580422418985</v>
      </c>
      <c r="D1816">
        <v>569</v>
      </c>
      <c r="E1816" s="7" t="s">
        <v>2088</v>
      </c>
      <c r="F1816" s="2">
        <v>46149.288755752314</v>
      </c>
      <c r="G1816" s="3">
        <v>46149</v>
      </c>
      <c r="H1816" t="s">
        <v>95</v>
      </c>
      <c r="I1816">
        <v>6</v>
      </c>
    </row>
    <row r="1817" spans="1:9" x14ac:dyDescent="0.2">
      <c r="A1817" s="18" t="s">
        <v>2089</v>
      </c>
      <c r="B1817" s="18" t="s">
        <v>10</v>
      </c>
      <c r="C1817" s="2">
        <v>46149.614598680557</v>
      </c>
      <c r="D1817">
        <v>526</v>
      </c>
      <c r="F1817" s="2">
        <v>46149.322932013885</v>
      </c>
      <c r="G1817" s="3">
        <v>46149</v>
      </c>
      <c r="H1817" t="s">
        <v>95</v>
      </c>
      <c r="I1817">
        <v>7</v>
      </c>
    </row>
    <row r="1818" spans="1:9" x14ac:dyDescent="0.2">
      <c r="A1818" s="18" t="s">
        <v>2090</v>
      </c>
      <c r="B1818" s="18" t="s">
        <v>10</v>
      </c>
      <c r="C1818" s="2">
        <v>46149.634890243055</v>
      </c>
      <c r="D1818">
        <v>3</v>
      </c>
      <c r="F1818" s="2">
        <v>46149.34322357639</v>
      </c>
      <c r="G1818" s="3">
        <v>46149</v>
      </c>
      <c r="H1818" t="s">
        <v>95</v>
      </c>
      <c r="I1818">
        <v>8</v>
      </c>
    </row>
    <row r="1819" spans="1:9" x14ac:dyDescent="0.2">
      <c r="A1819" s="18" t="s">
        <v>2091</v>
      </c>
      <c r="B1819" s="18" t="s">
        <v>10</v>
      </c>
      <c r="C1819" s="2">
        <v>46149.636734386571</v>
      </c>
      <c r="D1819">
        <v>3</v>
      </c>
      <c r="E1819" s="7" t="s">
        <v>2092</v>
      </c>
      <c r="F1819" s="2">
        <v>46149.345067719907</v>
      </c>
      <c r="G1819" s="3">
        <v>46149</v>
      </c>
      <c r="H1819" t="s">
        <v>95</v>
      </c>
      <c r="I1819">
        <v>8</v>
      </c>
    </row>
    <row r="1820" spans="1:9" x14ac:dyDescent="0.2">
      <c r="A1820" s="18" t="s">
        <v>2093</v>
      </c>
      <c r="B1820" s="18" t="s">
        <v>10</v>
      </c>
      <c r="C1820" s="2">
        <v>46149.637009467595</v>
      </c>
      <c r="D1820">
        <v>526</v>
      </c>
      <c r="F1820" s="2">
        <v>46149.345342800923</v>
      </c>
      <c r="G1820" s="3">
        <v>46149</v>
      </c>
      <c r="H1820" t="s">
        <v>95</v>
      </c>
      <c r="I1820">
        <v>8</v>
      </c>
    </row>
    <row r="1821" spans="1:9" x14ac:dyDescent="0.2">
      <c r="A1821" s="18" t="s">
        <v>2094</v>
      </c>
      <c r="B1821" s="18" t="s">
        <v>10</v>
      </c>
      <c r="C1821" s="2">
        <v>46149.751330243053</v>
      </c>
      <c r="D1821">
        <v>3</v>
      </c>
      <c r="E1821" s="7" t="s">
        <v>2095</v>
      </c>
      <c r="F1821" s="2">
        <v>46149.459663576388</v>
      </c>
      <c r="G1821" s="3">
        <v>46149</v>
      </c>
      <c r="H1821" t="s">
        <v>95</v>
      </c>
      <c r="I1821">
        <v>11</v>
      </c>
    </row>
    <row r="1822" spans="1:9" x14ac:dyDescent="0.2">
      <c r="A1822" s="18" t="s">
        <v>2096</v>
      </c>
      <c r="B1822" s="18" t="s">
        <v>10</v>
      </c>
      <c r="C1822" s="2">
        <v>46149.804233275463</v>
      </c>
      <c r="D1822">
        <v>3</v>
      </c>
      <c r="E1822" s="7" t="s">
        <v>2097</v>
      </c>
      <c r="F1822" s="2">
        <v>46149.512566608799</v>
      </c>
      <c r="G1822" s="3">
        <v>46149</v>
      </c>
      <c r="H1822" t="s">
        <v>95</v>
      </c>
      <c r="I1822">
        <v>12</v>
      </c>
    </row>
    <row r="1823" spans="1:9" x14ac:dyDescent="0.2">
      <c r="A1823" s="18" t="s">
        <v>2098</v>
      </c>
      <c r="B1823" s="18" t="s">
        <v>10</v>
      </c>
      <c r="C1823" s="2">
        <v>46149.83732327546</v>
      </c>
      <c r="D1823">
        <v>3</v>
      </c>
      <c r="E1823" s="7" t="s">
        <v>2097</v>
      </c>
      <c r="F1823" s="2">
        <v>46149.545656608796</v>
      </c>
      <c r="G1823" s="3">
        <v>46149</v>
      </c>
      <c r="H1823" t="s">
        <v>95</v>
      </c>
      <c r="I1823">
        <v>13</v>
      </c>
    </row>
    <row r="1824" spans="1:9" x14ac:dyDescent="0.2">
      <c r="A1824" s="18" t="s">
        <v>2099</v>
      </c>
      <c r="B1824" s="18" t="s">
        <v>10</v>
      </c>
      <c r="C1824" s="2">
        <v>46149.839978425924</v>
      </c>
      <c r="D1824">
        <v>570</v>
      </c>
      <c r="F1824" s="2">
        <v>46149.548311759259</v>
      </c>
      <c r="G1824" s="3">
        <v>46149</v>
      </c>
      <c r="H1824" t="s">
        <v>95</v>
      </c>
      <c r="I1824">
        <v>13</v>
      </c>
    </row>
    <row r="1825" spans="1:9" x14ac:dyDescent="0.2">
      <c r="A1825" s="18" t="s">
        <v>2100</v>
      </c>
      <c r="B1825" s="18" t="s">
        <v>10</v>
      </c>
      <c r="C1825" s="2">
        <v>46149.854939826386</v>
      </c>
      <c r="D1825">
        <v>570</v>
      </c>
      <c r="E1825" s="7" t="s">
        <v>367</v>
      </c>
      <c r="F1825" s="2">
        <v>46149.563273159722</v>
      </c>
      <c r="G1825" s="3">
        <v>46149</v>
      </c>
      <c r="H1825" t="s">
        <v>95</v>
      </c>
      <c r="I1825">
        <v>13</v>
      </c>
    </row>
    <row r="1826" spans="1:9" x14ac:dyDescent="0.2">
      <c r="A1826" s="18" t="s">
        <v>2101</v>
      </c>
      <c r="B1826" s="18" t="s">
        <v>10</v>
      </c>
      <c r="C1826" s="2">
        <v>46149.878263136576</v>
      </c>
      <c r="D1826">
        <v>570</v>
      </c>
      <c r="E1826" s="7" t="s">
        <v>1885</v>
      </c>
      <c r="F1826" s="2">
        <v>46149.586596469904</v>
      </c>
      <c r="G1826" s="3">
        <v>46149</v>
      </c>
      <c r="H1826" t="s">
        <v>95</v>
      </c>
      <c r="I1826">
        <v>14</v>
      </c>
    </row>
    <row r="1827" spans="1:9" x14ac:dyDescent="0.2">
      <c r="A1827" s="18" t="s">
        <v>2102</v>
      </c>
      <c r="B1827" s="18" t="s">
        <v>10</v>
      </c>
      <c r="C1827" s="2">
        <v>46149.952843530089</v>
      </c>
      <c r="D1827">
        <v>570</v>
      </c>
      <c r="F1827" s="2">
        <v>46149.661176863425</v>
      </c>
      <c r="G1827" s="3">
        <v>46149</v>
      </c>
      <c r="H1827" t="s">
        <v>95</v>
      </c>
      <c r="I1827">
        <v>15</v>
      </c>
    </row>
    <row r="1828" spans="1:9" x14ac:dyDescent="0.2">
      <c r="A1828" s="18" t="s">
        <v>2103</v>
      </c>
      <c r="B1828" s="18" t="s">
        <v>10</v>
      </c>
      <c r="C1828" s="2">
        <v>46149.960198668981</v>
      </c>
      <c r="D1828">
        <v>570</v>
      </c>
      <c r="E1828" s="7" t="s">
        <v>367</v>
      </c>
      <c r="F1828" s="2">
        <v>46149.668532002317</v>
      </c>
      <c r="G1828" s="3">
        <v>46149</v>
      </c>
      <c r="H1828" t="s">
        <v>95</v>
      </c>
      <c r="I1828">
        <v>16</v>
      </c>
    </row>
    <row r="1829" spans="1:9" x14ac:dyDescent="0.2">
      <c r="A1829" s="18" t="s">
        <v>2104</v>
      </c>
      <c r="B1829" s="18" t="s">
        <v>10</v>
      </c>
      <c r="C1829" s="2">
        <v>46149.97187991898</v>
      </c>
      <c r="D1829">
        <v>527</v>
      </c>
      <c r="E1829" s="7" t="s">
        <v>31</v>
      </c>
      <c r="F1829" s="2">
        <v>46149.680213252315</v>
      </c>
      <c r="G1829" s="3">
        <v>46149</v>
      </c>
      <c r="H1829" t="s">
        <v>95</v>
      </c>
      <c r="I1829">
        <v>16</v>
      </c>
    </row>
    <row r="1830" spans="1:9" x14ac:dyDescent="0.2">
      <c r="A1830" s="18" t="s">
        <v>2105</v>
      </c>
      <c r="B1830" s="18" t="s">
        <v>10</v>
      </c>
      <c r="C1830" s="2">
        <v>46150.010335949075</v>
      </c>
      <c r="D1830">
        <v>527</v>
      </c>
      <c r="E1830" s="7" t="s">
        <v>2097</v>
      </c>
      <c r="F1830" s="2">
        <v>46149.718669282411</v>
      </c>
      <c r="G1830" s="3">
        <v>46149</v>
      </c>
      <c r="H1830" t="s">
        <v>95</v>
      </c>
      <c r="I1830">
        <v>17</v>
      </c>
    </row>
    <row r="1831" spans="1:9" x14ac:dyDescent="0.2">
      <c r="A1831" s="18" t="s">
        <v>2106</v>
      </c>
      <c r="B1831" s="18" t="s">
        <v>10</v>
      </c>
      <c r="C1831" s="2">
        <v>46150.376323738426</v>
      </c>
      <c r="D1831">
        <v>3</v>
      </c>
      <c r="F1831" s="2">
        <v>46150.084657071762</v>
      </c>
      <c r="G1831" s="3">
        <v>46150</v>
      </c>
      <c r="H1831" t="s">
        <v>115</v>
      </c>
      <c r="I1831">
        <v>2</v>
      </c>
    </row>
    <row r="1832" spans="1:9" x14ac:dyDescent="0.2">
      <c r="A1832" s="18" t="s">
        <v>2107</v>
      </c>
      <c r="B1832" s="18" t="s">
        <v>10</v>
      </c>
      <c r="C1832" s="2">
        <v>46150.391778611112</v>
      </c>
      <c r="D1832">
        <v>527</v>
      </c>
      <c r="F1832" s="2">
        <v>46150.100111944441</v>
      </c>
      <c r="G1832" s="3">
        <v>46150</v>
      </c>
      <c r="H1832" t="s">
        <v>115</v>
      </c>
      <c r="I1832">
        <v>2</v>
      </c>
    </row>
    <row r="1833" spans="1:9" x14ac:dyDescent="0.2">
      <c r="A1833" s="18" t="s">
        <v>2108</v>
      </c>
      <c r="B1833" s="18" t="s">
        <v>10</v>
      </c>
      <c r="C1833" s="2">
        <v>46150.39943125</v>
      </c>
      <c r="D1833">
        <v>3</v>
      </c>
      <c r="F1833" s="2">
        <v>46150.107764583336</v>
      </c>
      <c r="G1833" s="3">
        <v>46150</v>
      </c>
      <c r="H1833" t="s">
        <v>115</v>
      </c>
      <c r="I1833">
        <v>2</v>
      </c>
    </row>
    <row r="1834" spans="1:9" x14ac:dyDescent="0.2">
      <c r="A1834" s="18" t="s">
        <v>2109</v>
      </c>
      <c r="B1834" s="18" t="s">
        <v>10</v>
      </c>
      <c r="C1834" s="2">
        <v>46150.415129201392</v>
      </c>
      <c r="D1834">
        <v>570</v>
      </c>
      <c r="E1834" s="7" t="s">
        <v>2110</v>
      </c>
      <c r="F1834" s="2">
        <v>46150.123462534721</v>
      </c>
      <c r="G1834" s="3">
        <v>46150</v>
      </c>
      <c r="H1834" t="s">
        <v>115</v>
      </c>
      <c r="I1834">
        <v>2</v>
      </c>
    </row>
    <row r="1835" spans="1:9" x14ac:dyDescent="0.2">
      <c r="A1835" s="18" t="s">
        <v>2111</v>
      </c>
      <c r="B1835" s="18" t="s">
        <v>10</v>
      </c>
      <c r="C1835" s="2">
        <v>46150.58959614583</v>
      </c>
      <c r="D1835">
        <v>527</v>
      </c>
      <c r="E1835" s="7" t="s">
        <v>140</v>
      </c>
      <c r="F1835" s="2">
        <v>46150.297929479166</v>
      </c>
      <c r="G1835" s="3">
        <v>46150</v>
      </c>
      <c r="H1835" t="s">
        <v>115</v>
      </c>
      <c r="I1835">
        <v>7</v>
      </c>
    </row>
    <row r="1836" spans="1:9" x14ac:dyDescent="0.2">
      <c r="A1836" s="18" t="s">
        <v>2112</v>
      </c>
      <c r="B1836" s="18" t="s">
        <v>10</v>
      </c>
      <c r="C1836" s="2">
        <v>46150.60013431713</v>
      </c>
      <c r="D1836">
        <v>3</v>
      </c>
      <c r="F1836" s="2">
        <v>46150.308467650466</v>
      </c>
      <c r="G1836" s="3">
        <v>46150</v>
      </c>
      <c r="H1836" t="s">
        <v>115</v>
      </c>
      <c r="I1836">
        <v>7</v>
      </c>
    </row>
    <row r="1837" spans="1:9" x14ac:dyDescent="0.2">
      <c r="A1837" s="18" t="s">
        <v>2113</v>
      </c>
      <c r="B1837" s="18" t="s">
        <v>10</v>
      </c>
      <c r="C1837" s="2">
        <v>46150.660381875001</v>
      </c>
      <c r="D1837">
        <v>3</v>
      </c>
      <c r="E1837" s="7" t="s">
        <v>768</v>
      </c>
      <c r="F1837" s="2">
        <v>46150.368715208337</v>
      </c>
      <c r="G1837" s="3">
        <v>46150</v>
      </c>
      <c r="H1837" t="s">
        <v>115</v>
      </c>
      <c r="I1837">
        <v>8</v>
      </c>
    </row>
    <row r="1838" spans="1:9" x14ac:dyDescent="0.2">
      <c r="A1838" s="18" t="s">
        <v>2114</v>
      </c>
      <c r="B1838" s="18" t="s">
        <v>10</v>
      </c>
      <c r="C1838" s="2">
        <v>46150.660729131945</v>
      </c>
      <c r="D1838">
        <v>3</v>
      </c>
      <c r="F1838" s="2">
        <v>46150.369062465281</v>
      </c>
      <c r="G1838" s="3">
        <v>46150</v>
      </c>
      <c r="H1838" t="s">
        <v>115</v>
      </c>
      <c r="I1838">
        <v>8</v>
      </c>
    </row>
    <row r="1839" spans="1:9" x14ac:dyDescent="0.2">
      <c r="A1839" s="18" t="s">
        <v>2115</v>
      </c>
      <c r="B1839" s="18" t="s">
        <v>10</v>
      </c>
      <c r="C1839" s="2">
        <v>46150.660844652775</v>
      </c>
      <c r="D1839">
        <v>3</v>
      </c>
      <c r="F1839" s="2">
        <v>46150.369177986111</v>
      </c>
      <c r="G1839" s="3">
        <v>46150</v>
      </c>
      <c r="H1839" t="s">
        <v>115</v>
      </c>
      <c r="I1839">
        <v>8</v>
      </c>
    </row>
    <row r="1840" spans="1:9" x14ac:dyDescent="0.2">
      <c r="A1840" s="18" t="s">
        <v>2116</v>
      </c>
      <c r="B1840" s="18" t="s">
        <v>10</v>
      </c>
      <c r="C1840" s="2">
        <v>46150.66091835648</v>
      </c>
      <c r="D1840">
        <v>3</v>
      </c>
      <c r="E1840" s="7" t="s">
        <v>305</v>
      </c>
      <c r="F1840" s="2">
        <v>46150.369251689815</v>
      </c>
      <c r="G1840" s="3">
        <v>46150</v>
      </c>
      <c r="H1840" t="s">
        <v>115</v>
      </c>
      <c r="I1840">
        <v>8</v>
      </c>
    </row>
    <row r="1841" spans="1:9" x14ac:dyDescent="0.2">
      <c r="A1841" s="18" t="s">
        <v>2117</v>
      </c>
      <c r="B1841" s="18" t="s">
        <v>10</v>
      </c>
      <c r="C1841" s="2">
        <v>46150.685026157407</v>
      </c>
      <c r="D1841">
        <v>570</v>
      </c>
      <c r="E1841" s="7" t="s">
        <v>582</v>
      </c>
      <c r="F1841" s="2">
        <v>46150.393359490743</v>
      </c>
      <c r="G1841" s="3">
        <v>46150</v>
      </c>
      <c r="H1841" t="s">
        <v>115</v>
      </c>
      <c r="I1841">
        <v>9</v>
      </c>
    </row>
    <row r="1842" spans="1:9" x14ac:dyDescent="0.2">
      <c r="A1842" s="18" t="s">
        <v>2118</v>
      </c>
      <c r="B1842" s="18" t="s">
        <v>10</v>
      </c>
      <c r="C1842" s="2">
        <v>46151.513684930556</v>
      </c>
      <c r="D1842">
        <v>527</v>
      </c>
      <c r="F1842" s="2">
        <v>46151.222018263892</v>
      </c>
      <c r="G1842" s="3">
        <v>46151</v>
      </c>
      <c r="H1842" t="s">
        <v>120</v>
      </c>
      <c r="I1842">
        <v>5</v>
      </c>
    </row>
    <row r="1843" spans="1:9" x14ac:dyDescent="0.2">
      <c r="A1843" s="18" t="s">
        <v>2119</v>
      </c>
      <c r="B1843" s="18" t="s">
        <v>10</v>
      </c>
      <c r="C1843" s="2">
        <v>46151.598034166665</v>
      </c>
      <c r="D1843">
        <v>527</v>
      </c>
      <c r="E1843" s="7" t="s">
        <v>31</v>
      </c>
      <c r="F1843" s="2">
        <v>46151.306367500001</v>
      </c>
      <c r="G1843" s="3">
        <v>46151</v>
      </c>
      <c r="H1843" t="s">
        <v>120</v>
      </c>
      <c r="I1843">
        <v>7</v>
      </c>
    </row>
    <row r="1844" spans="1:9" x14ac:dyDescent="0.2">
      <c r="A1844" s="18" t="s">
        <v>2120</v>
      </c>
      <c r="B1844" s="18" t="s">
        <v>10</v>
      </c>
      <c r="C1844" s="2">
        <v>46151.620713703705</v>
      </c>
      <c r="D1844">
        <v>527</v>
      </c>
      <c r="E1844" s="7" t="s">
        <v>275</v>
      </c>
      <c r="F1844" s="2">
        <v>46151.329047037034</v>
      </c>
      <c r="G1844" s="3">
        <v>46151</v>
      </c>
      <c r="H1844" t="s">
        <v>120</v>
      </c>
      <c r="I1844">
        <v>7</v>
      </c>
    </row>
    <row r="1845" spans="1:9" x14ac:dyDescent="0.2">
      <c r="A1845" s="18" t="s">
        <v>2121</v>
      </c>
      <c r="B1845" s="18" t="s">
        <v>10</v>
      </c>
      <c r="C1845" s="2">
        <v>46151.633562210649</v>
      </c>
      <c r="D1845">
        <v>3</v>
      </c>
      <c r="F1845" s="2">
        <v>46151.341895543985</v>
      </c>
      <c r="G1845" s="3">
        <v>46151</v>
      </c>
      <c r="H1845" t="s">
        <v>120</v>
      </c>
      <c r="I1845">
        <v>8</v>
      </c>
    </row>
    <row r="1846" spans="1:9" x14ac:dyDescent="0.2">
      <c r="A1846" s="18" t="s">
        <v>2122</v>
      </c>
      <c r="B1846" s="18" t="s">
        <v>10</v>
      </c>
      <c r="C1846" s="2">
        <v>46151.841106354164</v>
      </c>
      <c r="D1846">
        <v>527</v>
      </c>
      <c r="F1846" s="2">
        <v>46151.5494396875</v>
      </c>
      <c r="G1846" s="3">
        <v>46151</v>
      </c>
      <c r="H1846" t="s">
        <v>120</v>
      </c>
      <c r="I1846">
        <v>13</v>
      </c>
    </row>
    <row r="1847" spans="1:9" x14ac:dyDescent="0.2">
      <c r="A1847" s="18" t="s">
        <v>2123</v>
      </c>
      <c r="B1847" s="18" t="s">
        <v>10</v>
      </c>
      <c r="C1847" s="2">
        <v>46151.935980509261</v>
      </c>
      <c r="D1847">
        <v>570</v>
      </c>
      <c r="E1847" s="7" t="s">
        <v>2124</v>
      </c>
      <c r="F1847" s="2">
        <v>46151.644313842589</v>
      </c>
      <c r="G1847" s="3">
        <v>46151</v>
      </c>
      <c r="H1847" t="s">
        <v>120</v>
      </c>
      <c r="I1847">
        <v>15</v>
      </c>
    </row>
    <row r="1848" spans="1:9" x14ac:dyDescent="0.2">
      <c r="A1848" s="18" t="s">
        <v>2125</v>
      </c>
      <c r="B1848" s="18" t="s">
        <v>10</v>
      </c>
      <c r="C1848" s="2">
        <v>46152.476058599539</v>
      </c>
      <c r="D1848">
        <v>1</v>
      </c>
      <c r="F1848" s="2">
        <v>46152.184391932868</v>
      </c>
      <c r="G1848" s="3">
        <v>46152</v>
      </c>
      <c r="H1848" t="s">
        <v>125</v>
      </c>
      <c r="I1848">
        <v>4</v>
      </c>
    </row>
    <row r="1849" spans="1:9" x14ac:dyDescent="0.2">
      <c r="A1849" s="18" t="s">
        <v>2126</v>
      </c>
      <c r="B1849" s="18" t="s">
        <v>10</v>
      </c>
      <c r="C1849" s="2">
        <v>46152.484255416668</v>
      </c>
      <c r="D1849">
        <v>527</v>
      </c>
      <c r="E1849" s="7" t="s">
        <v>275</v>
      </c>
      <c r="F1849" s="2">
        <v>46152.192588749997</v>
      </c>
      <c r="G1849" s="3">
        <v>46152</v>
      </c>
      <c r="H1849" t="s">
        <v>125</v>
      </c>
      <c r="I1849">
        <v>4</v>
      </c>
    </row>
    <row r="1850" spans="1:9" x14ac:dyDescent="0.2">
      <c r="A1850" s="18" t="s">
        <v>2127</v>
      </c>
      <c r="B1850" s="18" t="s">
        <v>10</v>
      </c>
      <c r="C1850" s="2">
        <v>46152.486754386577</v>
      </c>
      <c r="D1850">
        <v>527</v>
      </c>
      <c r="E1850" s="7" t="s">
        <v>31</v>
      </c>
      <c r="F1850" s="2">
        <v>46152.195087719905</v>
      </c>
      <c r="G1850" s="3">
        <v>46152</v>
      </c>
      <c r="H1850" t="s">
        <v>125</v>
      </c>
      <c r="I1850">
        <v>4</v>
      </c>
    </row>
    <row r="1851" spans="1:9" x14ac:dyDescent="0.2">
      <c r="A1851" s="18" t="s">
        <v>2128</v>
      </c>
      <c r="B1851" s="18" t="s">
        <v>10</v>
      </c>
      <c r="C1851" s="2">
        <v>46152.579260462961</v>
      </c>
      <c r="D1851">
        <v>4</v>
      </c>
      <c r="F1851" s="2">
        <v>46152.287593796296</v>
      </c>
      <c r="G1851" s="3">
        <v>46152</v>
      </c>
      <c r="H1851" t="s">
        <v>125</v>
      </c>
      <c r="I1851">
        <v>6</v>
      </c>
    </row>
    <row r="1852" spans="1:9" x14ac:dyDescent="0.2">
      <c r="A1852" s="18" t="s">
        <v>2129</v>
      </c>
      <c r="B1852" s="18" t="s">
        <v>10</v>
      </c>
      <c r="C1852" s="2">
        <v>46152.584378391206</v>
      </c>
      <c r="D1852">
        <v>5</v>
      </c>
      <c r="F1852" s="2">
        <v>46152.292711724534</v>
      </c>
      <c r="G1852" s="3">
        <v>46152</v>
      </c>
      <c r="H1852" t="s">
        <v>125</v>
      </c>
      <c r="I1852">
        <v>7</v>
      </c>
    </row>
    <row r="1853" spans="1:9" x14ac:dyDescent="0.2">
      <c r="A1853" s="18" t="s">
        <v>2130</v>
      </c>
      <c r="B1853" s="18" t="s">
        <v>10</v>
      </c>
      <c r="C1853" s="2">
        <v>46152.72463449074</v>
      </c>
      <c r="D1853">
        <v>1</v>
      </c>
      <c r="F1853" s="2">
        <v>46152.432967824076</v>
      </c>
      <c r="G1853" s="3">
        <v>46152</v>
      </c>
      <c r="H1853" t="s">
        <v>125</v>
      </c>
      <c r="I1853">
        <v>10</v>
      </c>
    </row>
    <row r="1854" spans="1:9" x14ac:dyDescent="0.2">
      <c r="A1854" s="18" t="s">
        <v>2131</v>
      </c>
      <c r="B1854" s="18" t="s">
        <v>10</v>
      </c>
      <c r="C1854" s="2">
        <v>46153.058551747687</v>
      </c>
      <c r="D1854">
        <v>527</v>
      </c>
      <c r="F1854" s="2">
        <v>46152.766885081015</v>
      </c>
      <c r="G1854" s="3">
        <v>46152</v>
      </c>
      <c r="H1854" t="s">
        <v>125</v>
      </c>
      <c r="I1854">
        <v>18</v>
      </c>
    </row>
    <row r="1855" spans="1:9" x14ac:dyDescent="0.2">
      <c r="A1855" s="18" t="s">
        <v>2132</v>
      </c>
      <c r="B1855" s="18" t="s">
        <v>10</v>
      </c>
      <c r="C1855" s="2">
        <v>46153.059223680553</v>
      </c>
      <c r="D1855">
        <v>3</v>
      </c>
      <c r="E1855" s="7" t="s">
        <v>89</v>
      </c>
      <c r="F1855" s="2">
        <v>46152.767557013889</v>
      </c>
      <c r="G1855" s="3">
        <v>46152</v>
      </c>
      <c r="H1855" t="s">
        <v>125</v>
      </c>
      <c r="I1855">
        <v>18</v>
      </c>
    </row>
    <row r="1856" spans="1:9" x14ac:dyDescent="0.2">
      <c r="A1856" s="18" t="s">
        <v>2133</v>
      </c>
      <c r="B1856" s="18" t="s">
        <v>10</v>
      </c>
      <c r="C1856" s="2">
        <v>46153.19641315972</v>
      </c>
      <c r="D1856">
        <v>570</v>
      </c>
      <c r="E1856" s="7" t="s">
        <v>625</v>
      </c>
      <c r="F1856" s="2">
        <v>46152.904746493055</v>
      </c>
      <c r="G1856" s="3">
        <v>46152</v>
      </c>
      <c r="H1856" t="s">
        <v>125</v>
      </c>
      <c r="I1856">
        <v>21</v>
      </c>
    </row>
    <row r="1857" spans="1:9" x14ac:dyDescent="0.2">
      <c r="A1857" s="18" t="s">
        <v>2134</v>
      </c>
      <c r="B1857" s="18" t="s">
        <v>10</v>
      </c>
      <c r="C1857" s="2">
        <v>46153.404202199075</v>
      </c>
      <c r="D1857">
        <v>527</v>
      </c>
      <c r="E1857" s="7" t="s">
        <v>31</v>
      </c>
      <c r="F1857" s="2">
        <v>46153.112535532404</v>
      </c>
      <c r="G1857" s="3">
        <v>46153</v>
      </c>
      <c r="H1857" t="s">
        <v>11</v>
      </c>
      <c r="I1857">
        <v>2</v>
      </c>
    </row>
    <row r="1858" spans="1:9" x14ac:dyDescent="0.2">
      <c r="A1858" s="18" t="s">
        <v>2135</v>
      </c>
      <c r="B1858" s="18" t="s">
        <v>10</v>
      </c>
      <c r="C1858" s="2">
        <v>46153.477009594906</v>
      </c>
      <c r="D1858">
        <v>570</v>
      </c>
      <c r="F1858" s="2">
        <v>46153.185342928242</v>
      </c>
      <c r="G1858" s="3">
        <v>46153</v>
      </c>
      <c r="H1858" t="s">
        <v>11</v>
      </c>
      <c r="I1858">
        <v>4</v>
      </c>
    </row>
    <row r="1859" spans="1:9" x14ac:dyDescent="0.2">
      <c r="A1859" s="18" t="s">
        <v>2136</v>
      </c>
      <c r="B1859" s="18" t="s">
        <v>10</v>
      </c>
      <c r="C1859" s="2">
        <v>46153.517651030095</v>
      </c>
      <c r="D1859">
        <v>3</v>
      </c>
      <c r="F1859" s="2">
        <v>46153.225984363424</v>
      </c>
      <c r="G1859" s="3">
        <v>46153</v>
      </c>
      <c r="H1859" t="s">
        <v>11</v>
      </c>
      <c r="I1859">
        <v>5</v>
      </c>
    </row>
    <row r="1860" spans="1:9" x14ac:dyDescent="0.2">
      <c r="A1860" s="18" t="s">
        <v>2137</v>
      </c>
      <c r="B1860" s="18" t="s">
        <v>10</v>
      </c>
      <c r="C1860" s="2">
        <v>46153.539769953706</v>
      </c>
      <c r="D1860">
        <v>570</v>
      </c>
      <c r="F1860" s="2">
        <v>46153.248103287035</v>
      </c>
      <c r="G1860" s="3">
        <v>46153</v>
      </c>
      <c r="H1860" t="s">
        <v>11</v>
      </c>
      <c r="I1860">
        <v>5</v>
      </c>
    </row>
    <row r="1861" spans="1:9" x14ac:dyDescent="0.2">
      <c r="A1861" s="18" t="s">
        <v>2138</v>
      </c>
      <c r="B1861" s="18" t="s">
        <v>10</v>
      </c>
      <c r="C1861" s="2">
        <v>46153.544780972225</v>
      </c>
      <c r="D1861">
        <v>3</v>
      </c>
      <c r="F1861" s="2">
        <v>46153.253114305553</v>
      </c>
      <c r="G1861" s="3">
        <v>46153</v>
      </c>
      <c r="H1861" t="s">
        <v>11</v>
      </c>
      <c r="I1861">
        <v>6</v>
      </c>
    </row>
    <row r="1862" spans="1:9" x14ac:dyDescent="0.2">
      <c r="A1862" s="18" t="s">
        <v>2139</v>
      </c>
      <c r="B1862" s="18" t="s">
        <v>10</v>
      </c>
      <c r="C1862" s="2">
        <v>46153.552621631941</v>
      </c>
      <c r="D1862">
        <v>570</v>
      </c>
      <c r="F1862" s="2">
        <v>46153.260954965277</v>
      </c>
      <c r="G1862" s="3">
        <v>46153</v>
      </c>
      <c r="H1862" t="s">
        <v>11</v>
      </c>
      <c r="I1862">
        <v>6</v>
      </c>
    </row>
    <row r="1863" spans="1:9" x14ac:dyDescent="0.2">
      <c r="A1863" s="18" t="s">
        <v>2140</v>
      </c>
      <c r="B1863" s="18" t="s">
        <v>10</v>
      </c>
      <c r="C1863" s="2">
        <v>46153.638213148151</v>
      </c>
      <c r="D1863">
        <v>534</v>
      </c>
      <c r="F1863" s="2">
        <v>46153.34654648148</v>
      </c>
      <c r="G1863" s="3">
        <v>46153</v>
      </c>
      <c r="H1863" t="s">
        <v>11</v>
      </c>
      <c r="I1863">
        <v>8</v>
      </c>
    </row>
    <row r="1864" spans="1:9" x14ac:dyDescent="0.2">
      <c r="A1864" s="18" t="s">
        <v>2141</v>
      </c>
      <c r="B1864" s="18" t="s">
        <v>10</v>
      </c>
      <c r="C1864" s="2">
        <v>46153.699645451386</v>
      </c>
      <c r="D1864">
        <v>3</v>
      </c>
      <c r="E1864" s="7" t="s">
        <v>2142</v>
      </c>
      <c r="F1864" s="2">
        <v>46153.407978784722</v>
      </c>
      <c r="G1864" s="3">
        <v>46153</v>
      </c>
      <c r="H1864" t="s">
        <v>11</v>
      </c>
      <c r="I1864">
        <v>9</v>
      </c>
    </row>
    <row r="1865" spans="1:9" x14ac:dyDescent="0.2">
      <c r="A1865" s="18" t="s">
        <v>2143</v>
      </c>
      <c r="B1865" s="18" t="s">
        <v>10</v>
      </c>
      <c r="C1865" s="2">
        <v>46153.710264953705</v>
      </c>
      <c r="D1865">
        <v>3</v>
      </c>
      <c r="E1865" s="7" t="s">
        <v>2142</v>
      </c>
      <c r="F1865" s="2">
        <v>46153.41859828704</v>
      </c>
      <c r="G1865" s="3">
        <v>46153</v>
      </c>
      <c r="H1865" t="s">
        <v>11</v>
      </c>
      <c r="I1865">
        <v>10</v>
      </c>
    </row>
    <row r="1866" spans="1:9" x14ac:dyDescent="0.2">
      <c r="A1866" s="18" t="s">
        <v>2144</v>
      </c>
      <c r="B1866" s="18" t="s">
        <v>10</v>
      </c>
      <c r="C1866" s="2">
        <v>46153.749135995371</v>
      </c>
      <c r="D1866">
        <v>570</v>
      </c>
      <c r="E1866" s="7" t="s">
        <v>2145</v>
      </c>
      <c r="F1866" s="2">
        <v>46153.457469328707</v>
      </c>
      <c r="G1866" s="3">
        <v>46153</v>
      </c>
      <c r="H1866" t="s">
        <v>11</v>
      </c>
      <c r="I1866">
        <v>10</v>
      </c>
    </row>
    <row r="1867" spans="1:9" x14ac:dyDescent="0.2">
      <c r="A1867" s="18" t="s">
        <v>2146</v>
      </c>
      <c r="B1867" s="18" t="s">
        <v>10</v>
      </c>
      <c r="C1867" s="2">
        <v>46153.825063182871</v>
      </c>
      <c r="D1867">
        <v>493</v>
      </c>
      <c r="F1867" s="2">
        <v>46153.533396516206</v>
      </c>
      <c r="G1867" s="3">
        <v>46153</v>
      </c>
      <c r="H1867" t="s">
        <v>11</v>
      </c>
      <c r="I1867">
        <v>12</v>
      </c>
    </row>
    <row r="1868" spans="1:9" x14ac:dyDescent="0.2">
      <c r="A1868" s="18" t="s">
        <v>2147</v>
      </c>
      <c r="B1868" s="18" t="s">
        <v>10</v>
      </c>
      <c r="C1868" s="2">
        <v>46153.962911527778</v>
      </c>
      <c r="D1868">
        <v>570</v>
      </c>
      <c r="E1868" s="7" t="s">
        <v>2148</v>
      </c>
      <c r="F1868" s="2">
        <v>46153.671244861114</v>
      </c>
      <c r="G1868" s="3">
        <v>46153</v>
      </c>
      <c r="H1868" t="s">
        <v>11</v>
      </c>
      <c r="I1868">
        <v>16</v>
      </c>
    </row>
    <row r="1869" spans="1:9" x14ac:dyDescent="0.2">
      <c r="A1869" s="18" t="s">
        <v>2149</v>
      </c>
      <c r="B1869" s="18" t="s">
        <v>10</v>
      </c>
      <c r="C1869" s="2">
        <v>46154.157239687498</v>
      </c>
      <c r="D1869">
        <v>3</v>
      </c>
      <c r="F1869" s="2">
        <v>46153.865573020834</v>
      </c>
      <c r="G1869" s="3">
        <v>46153</v>
      </c>
      <c r="H1869" t="s">
        <v>11</v>
      </c>
      <c r="I1869">
        <v>20</v>
      </c>
    </row>
    <row r="1870" spans="1:9" x14ac:dyDescent="0.2">
      <c r="A1870" s="18" t="s">
        <v>2150</v>
      </c>
      <c r="B1870" s="18" t="s">
        <v>10</v>
      </c>
      <c r="C1870" s="2">
        <v>46154.231379583332</v>
      </c>
      <c r="D1870">
        <v>1</v>
      </c>
      <c r="F1870" s="2">
        <v>46153.939712916668</v>
      </c>
      <c r="G1870" s="3">
        <v>46153</v>
      </c>
      <c r="H1870" t="s">
        <v>11</v>
      </c>
      <c r="I1870">
        <v>22</v>
      </c>
    </row>
    <row r="1871" spans="1:9" x14ac:dyDescent="0.2">
      <c r="A1871" s="18" t="s">
        <v>2151</v>
      </c>
      <c r="B1871" s="18" t="s">
        <v>10</v>
      </c>
      <c r="C1871" s="2">
        <v>46154.32614503472</v>
      </c>
      <c r="D1871">
        <v>534</v>
      </c>
      <c r="F1871" s="2">
        <v>46154.034478368056</v>
      </c>
      <c r="G1871" s="3">
        <v>46154</v>
      </c>
      <c r="H1871" t="s">
        <v>28</v>
      </c>
      <c r="I1871">
        <v>0</v>
      </c>
    </row>
    <row r="1872" spans="1:9" x14ac:dyDescent="0.2">
      <c r="A1872" s="18" t="s">
        <v>2152</v>
      </c>
      <c r="B1872" s="18" t="s">
        <v>10</v>
      </c>
      <c r="C1872" s="2">
        <v>46154.463202893516</v>
      </c>
      <c r="D1872">
        <v>570</v>
      </c>
      <c r="E1872" s="7" t="s">
        <v>582</v>
      </c>
      <c r="F1872" s="2">
        <v>46154.171536226851</v>
      </c>
      <c r="G1872" s="3">
        <v>46154</v>
      </c>
      <c r="H1872" t="s">
        <v>28</v>
      </c>
      <c r="I1872">
        <v>4</v>
      </c>
    </row>
    <row r="1873" spans="1:9" x14ac:dyDescent="0.2">
      <c r="A1873" s="18" t="s">
        <v>2153</v>
      </c>
      <c r="B1873" s="18" t="s">
        <v>10</v>
      </c>
      <c r="C1873" s="2">
        <v>46154.503886990744</v>
      </c>
      <c r="D1873">
        <v>570</v>
      </c>
      <c r="E1873" s="7" t="s">
        <v>582</v>
      </c>
      <c r="F1873" s="2">
        <v>46154.212220324072</v>
      </c>
      <c r="G1873" s="3">
        <v>46154</v>
      </c>
      <c r="H1873" t="s">
        <v>28</v>
      </c>
      <c r="I1873">
        <v>5</v>
      </c>
    </row>
    <row r="1874" spans="1:9" x14ac:dyDescent="0.2">
      <c r="A1874" s="18" t="s">
        <v>2154</v>
      </c>
      <c r="B1874" s="18" t="s">
        <v>10</v>
      </c>
      <c r="C1874" s="2">
        <v>46154.51773699074</v>
      </c>
      <c r="D1874">
        <v>1</v>
      </c>
      <c r="E1874" s="7" t="s">
        <v>1478</v>
      </c>
      <c r="F1874" s="2">
        <v>46154.226070324075</v>
      </c>
      <c r="G1874" s="3">
        <v>46154</v>
      </c>
      <c r="H1874" t="s">
        <v>28</v>
      </c>
      <c r="I1874">
        <v>5</v>
      </c>
    </row>
    <row r="1875" spans="1:9" x14ac:dyDescent="0.2">
      <c r="A1875" s="18" t="s">
        <v>2155</v>
      </c>
      <c r="B1875" s="18" t="s">
        <v>10</v>
      </c>
      <c r="C1875" s="2">
        <v>46154.562076736111</v>
      </c>
      <c r="D1875">
        <v>3</v>
      </c>
      <c r="E1875" s="7" t="s">
        <v>768</v>
      </c>
      <c r="F1875" s="2">
        <v>46154.270410069446</v>
      </c>
      <c r="G1875" s="3">
        <v>46154</v>
      </c>
      <c r="H1875" t="s">
        <v>28</v>
      </c>
      <c r="I1875">
        <v>6</v>
      </c>
    </row>
    <row r="1876" spans="1:9" x14ac:dyDescent="0.2">
      <c r="A1876" s="18" t="s">
        <v>2156</v>
      </c>
      <c r="B1876" s="18" t="s">
        <v>10</v>
      </c>
      <c r="C1876" s="2">
        <v>46154.562492245372</v>
      </c>
      <c r="D1876">
        <v>527</v>
      </c>
      <c r="E1876" s="7" t="s">
        <v>31</v>
      </c>
      <c r="F1876" s="2">
        <v>46154.2708255787</v>
      </c>
      <c r="G1876" s="3">
        <v>46154</v>
      </c>
      <c r="H1876" t="s">
        <v>28</v>
      </c>
      <c r="I1876">
        <v>6</v>
      </c>
    </row>
    <row r="1877" spans="1:9" x14ac:dyDescent="0.2">
      <c r="A1877" s="18" t="s">
        <v>2157</v>
      </c>
      <c r="B1877" s="18" t="s">
        <v>10</v>
      </c>
      <c r="C1877" s="2">
        <v>46154.607356342596</v>
      </c>
      <c r="D1877">
        <v>570</v>
      </c>
      <c r="E1877" s="7" t="s">
        <v>2158</v>
      </c>
      <c r="F1877" s="2">
        <v>46154.315689675925</v>
      </c>
      <c r="G1877" s="3">
        <v>46154</v>
      </c>
      <c r="H1877" t="s">
        <v>28</v>
      </c>
      <c r="I1877">
        <v>7</v>
      </c>
    </row>
    <row r="1878" spans="1:9" x14ac:dyDescent="0.2">
      <c r="A1878" s="18" t="s">
        <v>2159</v>
      </c>
      <c r="B1878" s="18" t="s">
        <v>10</v>
      </c>
      <c r="C1878" s="2">
        <v>46154.608651539354</v>
      </c>
      <c r="D1878">
        <v>3</v>
      </c>
      <c r="E1878" s="7" t="s">
        <v>15</v>
      </c>
      <c r="F1878" s="2">
        <v>46154.316984872683</v>
      </c>
      <c r="G1878" s="3">
        <v>46154</v>
      </c>
      <c r="H1878" t="s">
        <v>28</v>
      </c>
      <c r="I1878">
        <v>7</v>
      </c>
    </row>
    <row r="1879" spans="1:9" x14ac:dyDescent="0.2">
      <c r="A1879" s="18" t="s">
        <v>2160</v>
      </c>
      <c r="B1879" s="18" t="s">
        <v>10</v>
      </c>
      <c r="C1879" s="2">
        <v>46154.661093437498</v>
      </c>
      <c r="D1879">
        <v>3</v>
      </c>
      <c r="F1879" s="2">
        <v>46154.369426770834</v>
      </c>
      <c r="G1879" s="3">
        <v>46154</v>
      </c>
      <c r="H1879" t="s">
        <v>28</v>
      </c>
      <c r="I1879">
        <v>8</v>
      </c>
    </row>
    <row r="1880" spans="1:9" x14ac:dyDescent="0.2">
      <c r="A1880" s="18" t="s">
        <v>2161</v>
      </c>
      <c r="B1880" s="18" t="s">
        <v>10</v>
      </c>
      <c r="C1880" s="2">
        <v>46154.69453630787</v>
      </c>
      <c r="D1880">
        <v>570</v>
      </c>
      <c r="E1880" s="7" t="s">
        <v>582</v>
      </c>
      <c r="F1880" s="2">
        <v>46154.402869641206</v>
      </c>
      <c r="G1880" s="3">
        <v>46154</v>
      </c>
      <c r="H1880" t="s">
        <v>28</v>
      </c>
      <c r="I1880">
        <v>9</v>
      </c>
    </row>
    <row r="1881" spans="1:9" x14ac:dyDescent="0.2">
      <c r="A1881" s="18" t="s">
        <v>2162</v>
      </c>
      <c r="B1881" s="18" t="s">
        <v>10</v>
      </c>
      <c r="C1881" s="2">
        <v>46154.697160474534</v>
      </c>
      <c r="D1881">
        <v>570</v>
      </c>
      <c r="E1881" s="7" t="s">
        <v>2163</v>
      </c>
      <c r="F1881" s="2">
        <v>46154.40549380787</v>
      </c>
      <c r="G1881" s="3">
        <v>46154</v>
      </c>
      <c r="H1881" t="s">
        <v>28</v>
      </c>
      <c r="I1881">
        <v>9</v>
      </c>
    </row>
    <row r="1882" spans="1:9" x14ac:dyDescent="0.2">
      <c r="A1882" s="18" t="s">
        <v>2164</v>
      </c>
      <c r="B1882" s="18" t="s">
        <v>10</v>
      </c>
      <c r="C1882" s="2">
        <v>46154.702281886573</v>
      </c>
      <c r="D1882">
        <v>570</v>
      </c>
      <c r="E1882" s="7" t="s">
        <v>128</v>
      </c>
      <c r="F1882" s="2">
        <v>46154.410615219909</v>
      </c>
      <c r="G1882" s="3">
        <v>46154</v>
      </c>
      <c r="H1882" t="s">
        <v>28</v>
      </c>
      <c r="I1882">
        <v>9</v>
      </c>
    </row>
    <row r="1883" spans="1:9" x14ac:dyDescent="0.2">
      <c r="A1883" s="18" t="s">
        <v>2174</v>
      </c>
      <c r="B1883" s="18" t="s">
        <v>10</v>
      </c>
      <c r="C1883" s="2">
        <v>46154.859745393522</v>
      </c>
      <c r="D1883">
        <v>570</v>
      </c>
      <c r="F1883" s="2">
        <v>46154.56807872685</v>
      </c>
      <c r="G1883" s="3">
        <v>46154</v>
      </c>
      <c r="H1883" t="s">
        <v>28</v>
      </c>
      <c r="I1883">
        <v>13</v>
      </c>
    </row>
    <row r="1884" spans="1:9" x14ac:dyDescent="0.2">
      <c r="A1884" s="18" t="s">
        <v>2175</v>
      </c>
      <c r="B1884" s="18" t="s">
        <v>10</v>
      </c>
      <c r="C1884" s="2">
        <v>46154.875997060182</v>
      </c>
      <c r="D1884">
        <v>570</v>
      </c>
      <c r="F1884" s="2">
        <v>46154.584330393518</v>
      </c>
      <c r="G1884" s="3">
        <v>46154</v>
      </c>
      <c r="H1884" t="s">
        <v>28</v>
      </c>
      <c r="I1884">
        <v>14</v>
      </c>
    </row>
    <row r="1885" spans="1:9" x14ac:dyDescent="0.2">
      <c r="A1885" s="18" t="s">
        <v>2176</v>
      </c>
      <c r="B1885" s="18" t="s">
        <v>10</v>
      </c>
      <c r="C1885" s="2">
        <v>46155.068805740739</v>
      </c>
      <c r="D1885">
        <v>570</v>
      </c>
      <c r="F1885" s="2">
        <v>46154.777139074075</v>
      </c>
      <c r="G1885" s="3">
        <v>46154</v>
      </c>
      <c r="H1885" t="s">
        <v>28</v>
      </c>
      <c r="I1885">
        <v>18</v>
      </c>
    </row>
    <row r="1886" spans="1:9" x14ac:dyDescent="0.2">
      <c r="A1886" s="18" t="s">
        <v>2177</v>
      </c>
      <c r="B1886" s="18" t="s">
        <v>10</v>
      </c>
      <c r="C1886" s="2">
        <v>46155.325524178239</v>
      </c>
      <c r="D1886">
        <v>3</v>
      </c>
      <c r="F1886" s="2">
        <v>46155.033857511575</v>
      </c>
      <c r="G1886" s="3">
        <v>46155</v>
      </c>
      <c r="H1886" t="s">
        <v>63</v>
      </c>
      <c r="I1886">
        <v>0</v>
      </c>
    </row>
    <row r="1887" spans="1:9" x14ac:dyDescent="0.2">
      <c r="A1887" s="18" t="s">
        <v>2178</v>
      </c>
      <c r="B1887" s="18" t="s">
        <v>10</v>
      </c>
      <c r="C1887" s="2">
        <v>46155.337330300928</v>
      </c>
      <c r="D1887">
        <v>527</v>
      </c>
      <c r="E1887" s="7" t="s">
        <v>275</v>
      </c>
      <c r="F1887" s="2">
        <v>46155.045663634257</v>
      </c>
      <c r="G1887" s="3">
        <v>46155</v>
      </c>
      <c r="H1887" t="s">
        <v>63</v>
      </c>
      <c r="I1887">
        <v>1</v>
      </c>
    </row>
    <row r="1888" spans="1:9" x14ac:dyDescent="0.2">
      <c r="A1888" s="18" t="s">
        <v>2179</v>
      </c>
      <c r="B1888" s="18" t="s">
        <v>10</v>
      </c>
      <c r="C1888" s="2">
        <v>46155.34116369213</v>
      </c>
      <c r="D1888">
        <v>570</v>
      </c>
      <c r="F1888" s="2">
        <v>46155.049497025466</v>
      </c>
      <c r="G1888" s="3">
        <v>46155</v>
      </c>
      <c r="H1888" t="s">
        <v>63</v>
      </c>
      <c r="I1888">
        <v>1</v>
      </c>
    </row>
    <row r="1889" spans="1:9" x14ac:dyDescent="0.2">
      <c r="A1889" s="18" t="s">
        <v>2180</v>
      </c>
      <c r="B1889" s="18" t="s">
        <v>10</v>
      </c>
      <c r="C1889" s="2">
        <v>46155.38756855324</v>
      </c>
      <c r="D1889">
        <v>570</v>
      </c>
      <c r="E1889" s="7" t="s">
        <v>582</v>
      </c>
      <c r="F1889" s="2">
        <v>46155.095901886576</v>
      </c>
      <c r="G1889" s="3">
        <v>46155</v>
      </c>
      <c r="H1889" t="s">
        <v>63</v>
      </c>
      <c r="I1889">
        <v>2</v>
      </c>
    </row>
    <row r="1890" spans="1:9" x14ac:dyDescent="0.2">
      <c r="A1890" s="18" t="s">
        <v>2181</v>
      </c>
      <c r="B1890" s="18" t="s">
        <v>10</v>
      </c>
      <c r="C1890" s="2">
        <v>46155.400611851852</v>
      </c>
      <c r="D1890">
        <v>527</v>
      </c>
      <c r="E1890" s="7" t="s">
        <v>31</v>
      </c>
      <c r="F1890" s="2">
        <v>46155.108945185188</v>
      </c>
      <c r="G1890" s="3">
        <v>46155</v>
      </c>
      <c r="H1890" t="s">
        <v>63</v>
      </c>
      <c r="I1890">
        <v>2</v>
      </c>
    </row>
    <row r="1891" spans="1:9" x14ac:dyDescent="0.2">
      <c r="A1891" s="18" t="s">
        <v>2182</v>
      </c>
      <c r="B1891" s="18" t="s">
        <v>10</v>
      </c>
      <c r="C1891" s="2">
        <v>46155.417126203705</v>
      </c>
      <c r="D1891">
        <v>527</v>
      </c>
      <c r="E1891" s="7" t="s">
        <v>31</v>
      </c>
      <c r="F1891" s="2">
        <v>46155.125459537034</v>
      </c>
      <c r="G1891" s="3">
        <v>46155</v>
      </c>
      <c r="H1891" t="s">
        <v>63</v>
      </c>
      <c r="I1891">
        <v>3</v>
      </c>
    </row>
    <row r="1892" spans="1:9" x14ac:dyDescent="0.2">
      <c r="A1892" s="18" t="s">
        <v>2183</v>
      </c>
      <c r="B1892" s="18" t="s">
        <v>10</v>
      </c>
      <c r="C1892" s="2">
        <v>46155.422718449074</v>
      </c>
      <c r="D1892">
        <v>3</v>
      </c>
      <c r="E1892" s="7" t="s">
        <v>305</v>
      </c>
      <c r="F1892" s="2">
        <v>46155.131051782409</v>
      </c>
      <c r="G1892" s="3">
        <v>46155</v>
      </c>
      <c r="H1892" t="s">
        <v>63</v>
      </c>
      <c r="I1892">
        <v>3</v>
      </c>
    </row>
    <row r="1893" spans="1:9" x14ac:dyDescent="0.2">
      <c r="A1893" s="18" t="s">
        <v>2184</v>
      </c>
      <c r="B1893" s="18" t="s">
        <v>10</v>
      </c>
      <c r="C1893" s="2">
        <v>46155.432758946758</v>
      </c>
      <c r="D1893">
        <v>527</v>
      </c>
      <c r="F1893" s="2">
        <v>46155.141092280093</v>
      </c>
      <c r="G1893" s="3">
        <v>46155</v>
      </c>
      <c r="H1893" t="s">
        <v>63</v>
      </c>
      <c r="I1893">
        <v>3</v>
      </c>
    </row>
    <row r="1894" spans="1:9" x14ac:dyDescent="0.2">
      <c r="A1894" s="18" t="s">
        <v>2185</v>
      </c>
      <c r="B1894" s="18" t="s">
        <v>10</v>
      </c>
      <c r="C1894" s="2">
        <v>46155.502084652777</v>
      </c>
      <c r="D1894">
        <v>527</v>
      </c>
      <c r="F1894" s="2">
        <v>46155.210417986113</v>
      </c>
      <c r="G1894" s="3">
        <v>46155</v>
      </c>
      <c r="H1894" t="s">
        <v>63</v>
      </c>
      <c r="I1894">
        <v>5</v>
      </c>
    </row>
    <row r="1895" spans="1:9" x14ac:dyDescent="0.2">
      <c r="A1895" s="18" t="s">
        <v>2186</v>
      </c>
      <c r="B1895" s="18" t="s">
        <v>10</v>
      </c>
      <c r="C1895" s="2">
        <v>46156.479157731483</v>
      </c>
      <c r="D1895">
        <v>3</v>
      </c>
      <c r="F1895" s="2">
        <v>46156.187491064811</v>
      </c>
      <c r="G1895" s="3">
        <v>46156</v>
      </c>
      <c r="H1895" t="s">
        <v>95</v>
      </c>
      <c r="I1895">
        <v>4</v>
      </c>
    </row>
    <row r="1896" spans="1:9" x14ac:dyDescent="0.2">
      <c r="A1896" s="18" t="s">
        <v>2187</v>
      </c>
      <c r="B1896" s="18" t="s">
        <v>10</v>
      </c>
      <c r="C1896" s="2">
        <v>46156.492088611114</v>
      </c>
      <c r="D1896">
        <v>1</v>
      </c>
      <c r="F1896" s="2">
        <v>46156.200421944442</v>
      </c>
      <c r="G1896" s="3">
        <v>46156</v>
      </c>
      <c r="H1896" t="s">
        <v>95</v>
      </c>
      <c r="I1896">
        <v>4</v>
      </c>
    </row>
    <row r="1897" spans="1:9" x14ac:dyDescent="0.2">
      <c r="A1897" s="18" t="s">
        <v>2188</v>
      </c>
      <c r="B1897" s="18" t="s">
        <v>10</v>
      </c>
      <c r="C1897" s="2">
        <v>46156.49620021991</v>
      </c>
      <c r="D1897">
        <v>3</v>
      </c>
      <c r="E1897" s="7" t="s">
        <v>768</v>
      </c>
      <c r="F1897" s="2">
        <v>46156.204533553238</v>
      </c>
      <c r="G1897" s="3">
        <v>46156</v>
      </c>
      <c r="H1897" t="s">
        <v>95</v>
      </c>
      <c r="I1897">
        <v>4</v>
      </c>
    </row>
    <row r="1898" spans="1:9" x14ac:dyDescent="0.2">
      <c r="A1898" s="18" t="s">
        <v>2189</v>
      </c>
      <c r="B1898" s="18" t="s">
        <v>10</v>
      </c>
      <c r="C1898" s="2">
        <v>46156.506710277776</v>
      </c>
      <c r="D1898">
        <v>527</v>
      </c>
      <c r="E1898" s="7" t="s">
        <v>768</v>
      </c>
      <c r="F1898" s="2">
        <v>46156.215043611111</v>
      </c>
      <c r="G1898" s="3">
        <v>46156</v>
      </c>
      <c r="H1898" t="s">
        <v>95</v>
      </c>
      <c r="I1898">
        <v>5</v>
      </c>
    </row>
    <row r="1899" spans="1:9" x14ac:dyDescent="0.2">
      <c r="A1899" s="18" t="s">
        <v>2190</v>
      </c>
      <c r="B1899" s="18" t="s">
        <v>10</v>
      </c>
      <c r="C1899" s="2">
        <v>46156.547812094905</v>
      </c>
      <c r="D1899">
        <v>783</v>
      </c>
      <c r="F1899" s="2">
        <v>46156.25614542824</v>
      </c>
      <c r="G1899" s="3">
        <v>46156</v>
      </c>
      <c r="H1899" t="s">
        <v>95</v>
      </c>
      <c r="I1899">
        <v>6</v>
      </c>
    </row>
    <row r="1900" spans="1:9" x14ac:dyDescent="0.2">
      <c r="A1900" s="18" t="s">
        <v>2191</v>
      </c>
      <c r="B1900" s="18" t="s">
        <v>10</v>
      </c>
      <c r="C1900" s="2">
        <v>46156.595173981485</v>
      </c>
      <c r="D1900">
        <v>527</v>
      </c>
      <c r="E1900" s="7" t="s">
        <v>768</v>
      </c>
      <c r="F1900" s="2">
        <v>46156.303507314813</v>
      </c>
      <c r="G1900" s="3">
        <v>46156</v>
      </c>
      <c r="H1900" t="s">
        <v>95</v>
      </c>
      <c r="I1900">
        <v>7</v>
      </c>
    </row>
    <row r="1901" spans="1:9" x14ac:dyDescent="0.2">
      <c r="A1901" s="18" t="s">
        <v>2192</v>
      </c>
      <c r="B1901" s="18" t="s">
        <v>10</v>
      </c>
      <c r="C1901" s="2">
        <v>46156.832316967593</v>
      </c>
      <c r="D1901">
        <v>3</v>
      </c>
      <c r="E1901" s="7" t="s">
        <v>2193</v>
      </c>
      <c r="F1901" s="2">
        <v>46156.540650300929</v>
      </c>
      <c r="G1901" s="3">
        <v>46156</v>
      </c>
      <c r="H1901" t="s">
        <v>95</v>
      </c>
      <c r="I1901">
        <v>12</v>
      </c>
    </row>
    <row r="1902" spans="1:9" x14ac:dyDescent="0.2">
      <c r="A1902" s="18" t="s">
        <v>2194</v>
      </c>
      <c r="B1902" s="18" t="s">
        <v>10</v>
      </c>
      <c r="C1902" s="2">
        <v>46156.836094548613</v>
      </c>
      <c r="D1902">
        <v>1</v>
      </c>
      <c r="F1902" s="2">
        <v>46156.544427881941</v>
      </c>
      <c r="G1902" s="3">
        <v>46156</v>
      </c>
      <c r="H1902" t="s">
        <v>95</v>
      </c>
      <c r="I1902">
        <v>13</v>
      </c>
    </row>
    <row r="1903" spans="1:9" x14ac:dyDescent="0.2">
      <c r="A1903" s="18" t="s">
        <v>2195</v>
      </c>
      <c r="B1903" s="18" t="s">
        <v>10</v>
      </c>
      <c r="C1903" s="2">
        <v>46156.867176979169</v>
      </c>
      <c r="D1903">
        <v>570</v>
      </c>
      <c r="E1903" s="7" t="s">
        <v>2196</v>
      </c>
      <c r="F1903" s="2">
        <v>46156.575510312497</v>
      </c>
      <c r="G1903" s="3">
        <v>46156</v>
      </c>
      <c r="H1903" t="s">
        <v>95</v>
      </c>
      <c r="I1903">
        <v>13</v>
      </c>
    </row>
    <row r="1904" spans="1:9" x14ac:dyDescent="0.2">
      <c r="A1904" s="18" t="s">
        <v>2197</v>
      </c>
      <c r="B1904" s="18" t="s">
        <v>10</v>
      </c>
      <c r="C1904" s="2">
        <v>46156.877879444444</v>
      </c>
      <c r="D1904">
        <v>527</v>
      </c>
      <c r="E1904" s="7" t="s">
        <v>31</v>
      </c>
      <c r="F1904" s="2">
        <v>46156.58621277778</v>
      </c>
      <c r="G1904" s="3">
        <v>46156</v>
      </c>
      <c r="H1904" t="s">
        <v>95</v>
      </c>
      <c r="I1904">
        <v>14</v>
      </c>
    </row>
    <row r="1905" spans="1:9" x14ac:dyDescent="0.2">
      <c r="A1905" s="18" t="s">
        <v>2198</v>
      </c>
      <c r="B1905" s="18" t="s">
        <v>10</v>
      </c>
      <c r="C1905" s="2">
        <v>46157.347712060182</v>
      </c>
      <c r="D1905">
        <v>570</v>
      </c>
      <c r="E1905" s="7" t="s">
        <v>582</v>
      </c>
      <c r="F1905" s="2">
        <v>46157.056045393518</v>
      </c>
      <c r="G1905" s="3">
        <v>46157</v>
      </c>
      <c r="H1905" t="s">
        <v>115</v>
      </c>
      <c r="I1905">
        <v>1</v>
      </c>
    </row>
    <row r="1906" spans="1:9" x14ac:dyDescent="0.2">
      <c r="A1906" s="18" t="s">
        <v>2199</v>
      </c>
      <c r="B1906" s="18" t="s">
        <v>10</v>
      </c>
      <c r="C1906" s="2">
        <v>46157.359640543982</v>
      </c>
      <c r="D1906">
        <v>3</v>
      </c>
      <c r="E1906" s="7" t="s">
        <v>2200</v>
      </c>
      <c r="F1906" s="2">
        <v>46157.067973877318</v>
      </c>
      <c r="G1906" s="3">
        <v>46157</v>
      </c>
      <c r="H1906" t="s">
        <v>115</v>
      </c>
      <c r="I1906">
        <v>1</v>
      </c>
    </row>
    <row r="1907" spans="1:9" x14ac:dyDescent="0.2">
      <c r="A1907" s="18" t="s">
        <v>2201</v>
      </c>
      <c r="B1907" s="18" t="s">
        <v>10</v>
      </c>
      <c r="C1907" s="2">
        <v>46157.411611932868</v>
      </c>
      <c r="D1907">
        <v>527</v>
      </c>
      <c r="E1907" s="7" t="s">
        <v>31</v>
      </c>
      <c r="F1907" s="2">
        <v>46157.119945266204</v>
      </c>
      <c r="G1907" s="3">
        <v>46157</v>
      </c>
      <c r="H1907" t="s">
        <v>115</v>
      </c>
      <c r="I1907">
        <v>2</v>
      </c>
    </row>
    <row r="1908" spans="1:9" x14ac:dyDescent="0.2">
      <c r="A1908" s="18" t="s">
        <v>2202</v>
      </c>
      <c r="B1908" s="18" t="s">
        <v>10</v>
      </c>
      <c r="C1908" s="2">
        <v>46157.627750648149</v>
      </c>
      <c r="D1908">
        <v>527</v>
      </c>
      <c r="F1908" s="2">
        <v>46157.336083981485</v>
      </c>
      <c r="G1908" s="3">
        <v>46157</v>
      </c>
      <c r="H1908" t="s">
        <v>115</v>
      </c>
      <c r="I1908">
        <v>8</v>
      </c>
    </row>
    <row r="1909" spans="1:9" x14ac:dyDescent="0.2">
      <c r="A1909" s="18" t="s">
        <v>2203</v>
      </c>
      <c r="B1909" s="18" t="s">
        <v>10</v>
      </c>
      <c r="C1909" s="2">
        <v>46157.676667928237</v>
      </c>
      <c r="D1909">
        <v>3</v>
      </c>
      <c r="F1909" s="2">
        <v>46157.385001261573</v>
      </c>
      <c r="G1909" s="3">
        <v>46157</v>
      </c>
      <c r="H1909" t="s">
        <v>115</v>
      </c>
      <c r="I1909">
        <v>9</v>
      </c>
    </row>
    <row r="1910" spans="1:9" x14ac:dyDescent="0.2">
      <c r="A1910" s="18" t="s">
        <v>2204</v>
      </c>
      <c r="B1910" s="18" t="s">
        <v>10</v>
      </c>
      <c r="C1910" s="2">
        <v>46157.957509664353</v>
      </c>
      <c r="D1910">
        <v>570</v>
      </c>
      <c r="F1910" s="2">
        <v>46157.665842997689</v>
      </c>
      <c r="G1910" s="3">
        <v>46157</v>
      </c>
      <c r="H1910" t="s">
        <v>115</v>
      </c>
      <c r="I1910">
        <v>15</v>
      </c>
    </row>
    <row r="1911" spans="1:9" x14ac:dyDescent="0.2">
      <c r="A1911" s="18" t="s">
        <v>2205</v>
      </c>
      <c r="B1911" s="18" t="s">
        <v>10</v>
      </c>
      <c r="C1911" s="2">
        <v>46157.958829699077</v>
      </c>
      <c r="D1911">
        <v>570</v>
      </c>
      <c r="F1911" s="2">
        <v>46157.667163032405</v>
      </c>
      <c r="G1911" s="3">
        <v>46157</v>
      </c>
      <c r="H1911" t="s">
        <v>115</v>
      </c>
      <c r="I1911">
        <v>16</v>
      </c>
    </row>
    <row r="1912" spans="1:9" x14ac:dyDescent="0.2">
      <c r="A1912" s="18" t="s">
        <v>2206</v>
      </c>
      <c r="B1912" s="18" t="s">
        <v>10</v>
      </c>
      <c r="C1912" s="2">
        <v>46157.960894594908</v>
      </c>
      <c r="D1912">
        <v>3</v>
      </c>
      <c r="E1912" s="7" t="s">
        <v>360</v>
      </c>
      <c r="F1912" s="2">
        <v>46157.669227928243</v>
      </c>
      <c r="G1912" s="3">
        <v>46157</v>
      </c>
      <c r="H1912" t="s">
        <v>115</v>
      </c>
      <c r="I1912">
        <v>16</v>
      </c>
    </row>
    <row r="1913" spans="1:9" x14ac:dyDescent="0.2">
      <c r="A1913" s="18" t="s">
        <v>2207</v>
      </c>
      <c r="B1913" s="18" t="s">
        <v>10</v>
      </c>
      <c r="C1913" s="2">
        <v>46157.961254421294</v>
      </c>
      <c r="D1913">
        <v>3</v>
      </c>
      <c r="E1913" s="7" t="s">
        <v>2208</v>
      </c>
      <c r="F1913" s="2">
        <v>46157.66958775463</v>
      </c>
      <c r="G1913" s="3">
        <v>46157</v>
      </c>
      <c r="H1913" t="s">
        <v>115</v>
      </c>
      <c r="I1913">
        <v>16</v>
      </c>
    </row>
    <row r="1914" spans="1:9" x14ac:dyDescent="0.2">
      <c r="A1914" s="18" t="s">
        <v>2209</v>
      </c>
      <c r="B1914" s="18" t="s">
        <v>10</v>
      </c>
      <c r="C1914" s="2">
        <v>46157.962925405096</v>
      </c>
      <c r="D1914">
        <v>3</v>
      </c>
      <c r="E1914" s="7" t="s">
        <v>522</v>
      </c>
      <c r="F1914" s="2">
        <v>46157.671258738425</v>
      </c>
      <c r="G1914" s="3">
        <v>46157</v>
      </c>
      <c r="H1914" t="s">
        <v>115</v>
      </c>
      <c r="I1914">
        <v>16</v>
      </c>
    </row>
    <row r="1915" spans="1:9" x14ac:dyDescent="0.2">
      <c r="A1915" s="18" t="s">
        <v>2210</v>
      </c>
      <c r="B1915" s="18" t="s">
        <v>10</v>
      </c>
      <c r="C1915" s="2">
        <v>46157.969193483797</v>
      </c>
      <c r="D1915">
        <v>570</v>
      </c>
      <c r="E1915" s="7" t="s">
        <v>2211</v>
      </c>
      <c r="F1915" s="2">
        <v>46157.677526817133</v>
      </c>
      <c r="G1915" s="3">
        <v>46157</v>
      </c>
      <c r="H1915" t="s">
        <v>115</v>
      </c>
      <c r="I1915">
        <v>16</v>
      </c>
    </row>
    <row r="1916" spans="1:9" x14ac:dyDescent="0.2">
      <c r="A1916" s="18" t="s">
        <v>2212</v>
      </c>
      <c r="B1916" s="18" t="s">
        <v>10</v>
      </c>
      <c r="C1916" s="2">
        <v>46157.971264537038</v>
      </c>
      <c r="D1916">
        <v>3</v>
      </c>
      <c r="F1916" s="2">
        <v>46157.679597870374</v>
      </c>
      <c r="G1916" s="3">
        <v>46157</v>
      </c>
      <c r="H1916" t="s">
        <v>115</v>
      </c>
      <c r="I1916">
        <v>16</v>
      </c>
    </row>
    <row r="1917" spans="1:9" x14ac:dyDescent="0.2">
      <c r="A1917" s="18" t="s">
        <v>2213</v>
      </c>
      <c r="B1917" s="18" t="s">
        <v>10</v>
      </c>
      <c r="C1917" s="2">
        <v>46158.023118761572</v>
      </c>
      <c r="D1917">
        <v>527</v>
      </c>
      <c r="E1917" s="7" t="s">
        <v>2208</v>
      </c>
      <c r="F1917" s="2">
        <v>46157.731452094908</v>
      </c>
      <c r="G1917" s="3">
        <v>46157</v>
      </c>
      <c r="H1917" t="s">
        <v>115</v>
      </c>
      <c r="I1917">
        <v>17</v>
      </c>
    </row>
    <row r="1918" spans="1:9" x14ac:dyDescent="0.2">
      <c r="A1918" s="18" t="s">
        <v>2214</v>
      </c>
      <c r="B1918" s="18" t="s">
        <v>10</v>
      </c>
      <c r="C1918" s="2">
        <v>46158.023497164351</v>
      </c>
      <c r="D1918">
        <v>570</v>
      </c>
      <c r="E1918" s="7" t="s">
        <v>1375</v>
      </c>
      <c r="F1918" s="2">
        <v>46157.731830497687</v>
      </c>
      <c r="G1918" s="3">
        <v>46157</v>
      </c>
      <c r="H1918" t="s">
        <v>115</v>
      </c>
      <c r="I1918">
        <v>17</v>
      </c>
    </row>
    <row r="1919" spans="1:9" x14ac:dyDescent="0.2">
      <c r="A1919" s="18" t="s">
        <v>2215</v>
      </c>
      <c r="B1919" s="18" t="s">
        <v>10</v>
      </c>
      <c r="C1919" s="2">
        <v>46158.024902974539</v>
      </c>
      <c r="D1919">
        <v>527</v>
      </c>
      <c r="F1919" s="2">
        <v>46157.733236307868</v>
      </c>
      <c r="G1919" s="3">
        <v>46157</v>
      </c>
      <c r="H1919" t="s">
        <v>115</v>
      </c>
      <c r="I1919">
        <v>17</v>
      </c>
    </row>
    <row r="1920" spans="1:9" x14ac:dyDescent="0.2">
      <c r="A1920" s="18" t="s">
        <v>2216</v>
      </c>
      <c r="B1920" s="18" t="s">
        <v>10</v>
      </c>
      <c r="C1920" s="2">
        <v>46158.025090659721</v>
      </c>
      <c r="D1920">
        <v>570</v>
      </c>
      <c r="E1920" s="7" t="s">
        <v>2211</v>
      </c>
      <c r="F1920" s="2">
        <v>46157.733423993057</v>
      </c>
      <c r="G1920" s="3">
        <v>46157</v>
      </c>
      <c r="H1920" t="s">
        <v>115</v>
      </c>
      <c r="I1920">
        <v>17</v>
      </c>
    </row>
    <row r="1921" spans="1:9" x14ac:dyDescent="0.2">
      <c r="A1921" s="18" t="s">
        <v>2217</v>
      </c>
      <c r="B1921" s="18" t="s">
        <v>10</v>
      </c>
      <c r="C1921" s="2">
        <v>46158.125450844906</v>
      </c>
      <c r="D1921">
        <v>570</v>
      </c>
      <c r="E1921" s="7" t="s">
        <v>2211</v>
      </c>
      <c r="F1921" s="2">
        <v>46157.833784178241</v>
      </c>
      <c r="G1921" s="3">
        <v>46157</v>
      </c>
      <c r="H1921" t="s">
        <v>115</v>
      </c>
      <c r="I1921">
        <v>20</v>
      </c>
    </row>
    <row r="1922" spans="1:9" x14ac:dyDescent="0.2">
      <c r="A1922" s="18" t="s">
        <v>2218</v>
      </c>
      <c r="B1922" s="18" t="s">
        <v>10</v>
      </c>
      <c r="C1922" s="2">
        <v>46158.272752025463</v>
      </c>
      <c r="D1922">
        <v>570</v>
      </c>
      <c r="E1922" s="7" t="s">
        <v>2211</v>
      </c>
      <c r="F1922" s="2">
        <v>46157.981085358799</v>
      </c>
      <c r="G1922" s="3">
        <v>46157</v>
      </c>
      <c r="H1922" t="s">
        <v>115</v>
      </c>
      <c r="I1922">
        <v>23</v>
      </c>
    </row>
    <row r="1923" spans="1:9" x14ac:dyDescent="0.2">
      <c r="A1923" s="18" t="s">
        <v>2219</v>
      </c>
      <c r="B1923" s="18" t="s">
        <v>10</v>
      </c>
      <c r="C1923" s="2">
        <v>46158.844918796298</v>
      </c>
      <c r="D1923">
        <v>527</v>
      </c>
      <c r="E1923" s="7" t="s">
        <v>31</v>
      </c>
      <c r="F1923" s="2">
        <v>46158.553252129626</v>
      </c>
      <c r="G1923" s="3">
        <v>46158</v>
      </c>
      <c r="H1923" t="s">
        <v>120</v>
      </c>
      <c r="I1923">
        <v>13</v>
      </c>
    </row>
    <row r="1924" spans="1:9" x14ac:dyDescent="0.2">
      <c r="A1924" s="18" t="s">
        <v>2220</v>
      </c>
      <c r="B1924" s="18" t="s">
        <v>10</v>
      </c>
      <c r="C1924" s="2">
        <v>46158.874837025462</v>
      </c>
      <c r="D1924">
        <v>570</v>
      </c>
      <c r="F1924" s="2">
        <v>46158.583170358797</v>
      </c>
      <c r="G1924" s="3">
        <v>46158</v>
      </c>
      <c r="H1924" t="s">
        <v>120</v>
      </c>
      <c r="I1924">
        <v>13</v>
      </c>
    </row>
    <row r="1925" spans="1:9" x14ac:dyDescent="0.2">
      <c r="A1925" s="18" t="s">
        <v>2221</v>
      </c>
      <c r="B1925" s="18" t="s">
        <v>10</v>
      </c>
      <c r="C1925" s="2">
        <v>46158.8762437037</v>
      </c>
      <c r="D1925">
        <v>527</v>
      </c>
      <c r="E1925" s="7" t="s">
        <v>31</v>
      </c>
      <c r="F1925" s="2">
        <v>46158.584577037036</v>
      </c>
      <c r="G1925" s="3">
        <v>46158</v>
      </c>
      <c r="H1925" t="s">
        <v>120</v>
      </c>
      <c r="I1925">
        <v>14</v>
      </c>
    </row>
    <row r="1926" spans="1:9" x14ac:dyDescent="0.2">
      <c r="A1926" s="18" t="s">
        <v>2222</v>
      </c>
      <c r="B1926" s="18" t="s">
        <v>10</v>
      </c>
      <c r="C1926" s="2">
        <v>46158.877980439815</v>
      </c>
      <c r="D1926">
        <v>3</v>
      </c>
      <c r="F1926" s="2">
        <v>46158.58631377315</v>
      </c>
      <c r="G1926" s="3">
        <v>46158</v>
      </c>
      <c r="H1926" t="s">
        <v>120</v>
      </c>
      <c r="I1926">
        <v>14</v>
      </c>
    </row>
    <row r="1927" spans="1:9" x14ac:dyDescent="0.2">
      <c r="A1927" s="18" t="s">
        <v>2223</v>
      </c>
      <c r="B1927" s="18" t="s">
        <v>10</v>
      </c>
      <c r="C1927" s="2">
        <v>46159.077961782408</v>
      </c>
      <c r="D1927">
        <v>3</v>
      </c>
      <c r="F1927" s="2">
        <v>46158.786295115744</v>
      </c>
      <c r="G1927" s="3">
        <v>46158</v>
      </c>
      <c r="H1927" t="s">
        <v>120</v>
      </c>
      <c r="I1927">
        <v>18</v>
      </c>
    </row>
    <row r="1928" spans="1:9" x14ac:dyDescent="0.2">
      <c r="A1928" s="18" t="s">
        <v>2224</v>
      </c>
      <c r="B1928" s="18" t="s">
        <v>10</v>
      </c>
      <c r="C1928" s="2">
        <v>46159.281074444443</v>
      </c>
      <c r="D1928">
        <v>3</v>
      </c>
      <c r="F1928" s="2">
        <v>46158.989407777779</v>
      </c>
      <c r="G1928" s="3">
        <v>46158</v>
      </c>
      <c r="H1928" t="s">
        <v>120</v>
      </c>
      <c r="I1928">
        <v>23</v>
      </c>
    </row>
    <row r="1929" spans="1:9" x14ac:dyDescent="0.2">
      <c r="A1929" s="18" t="s">
        <v>2225</v>
      </c>
      <c r="B1929" s="18" t="s">
        <v>10</v>
      </c>
      <c r="C1929" s="2">
        <v>46159.595830185186</v>
      </c>
      <c r="D1929">
        <v>570</v>
      </c>
      <c r="F1929" s="2">
        <v>46159.304163518522</v>
      </c>
      <c r="G1929" s="3">
        <v>46159</v>
      </c>
      <c r="H1929" t="s">
        <v>125</v>
      </c>
      <c r="I1929">
        <v>7</v>
      </c>
    </row>
    <row r="1930" spans="1:9" x14ac:dyDescent="0.2">
      <c r="A1930" s="18" t="s">
        <v>2226</v>
      </c>
      <c r="B1930" s="18" t="s">
        <v>10</v>
      </c>
      <c r="C1930" s="2">
        <v>46159.732297731483</v>
      </c>
      <c r="D1930">
        <v>3</v>
      </c>
      <c r="F1930" s="2">
        <v>46159.440631064812</v>
      </c>
      <c r="G1930" s="3">
        <v>46159</v>
      </c>
      <c r="H1930" t="s">
        <v>125</v>
      </c>
      <c r="I1930">
        <v>10</v>
      </c>
    </row>
    <row r="1931" spans="1:9" x14ac:dyDescent="0.2">
      <c r="A1931" s="18" t="s">
        <v>2227</v>
      </c>
      <c r="B1931" s="18" t="s">
        <v>10</v>
      </c>
      <c r="C1931" s="2">
        <v>46159.745349594908</v>
      </c>
      <c r="D1931">
        <v>570</v>
      </c>
      <c r="F1931" s="2">
        <v>46159.453682928244</v>
      </c>
      <c r="G1931" s="3">
        <v>46159</v>
      </c>
      <c r="H1931" t="s">
        <v>125</v>
      </c>
      <c r="I1931">
        <v>10</v>
      </c>
    </row>
    <row r="1932" spans="1:9" x14ac:dyDescent="0.2">
      <c r="A1932" s="18" t="s">
        <v>2228</v>
      </c>
      <c r="B1932" s="18" t="s">
        <v>10</v>
      </c>
      <c r="C1932" s="2">
        <v>46159.879353379627</v>
      </c>
      <c r="D1932">
        <v>570</v>
      </c>
      <c r="E1932" s="7" t="s">
        <v>60</v>
      </c>
      <c r="F1932" s="2">
        <v>46159.587686712963</v>
      </c>
      <c r="G1932" s="3">
        <v>46159</v>
      </c>
      <c r="H1932" t="s">
        <v>125</v>
      </c>
      <c r="I1932">
        <v>14</v>
      </c>
    </row>
    <row r="1933" spans="1:9" x14ac:dyDescent="0.2">
      <c r="A1933" s="18" t="s">
        <v>2229</v>
      </c>
      <c r="B1933" s="18" t="s">
        <v>10</v>
      </c>
      <c r="C1933" s="2">
        <v>46160.15018128472</v>
      </c>
      <c r="D1933">
        <v>3</v>
      </c>
      <c r="F1933" s="2">
        <v>46159.858514618056</v>
      </c>
      <c r="G1933" s="3">
        <v>46159</v>
      </c>
      <c r="H1933" t="s">
        <v>125</v>
      </c>
      <c r="I1933">
        <v>20</v>
      </c>
    </row>
    <row r="1934" spans="1:9" x14ac:dyDescent="0.2">
      <c r="A1934" s="18" t="s">
        <v>2230</v>
      </c>
      <c r="B1934" s="18" t="s">
        <v>10</v>
      </c>
      <c r="C1934" s="2">
        <v>46160.150751400462</v>
      </c>
      <c r="D1934">
        <v>3</v>
      </c>
      <c r="E1934" s="7" t="s">
        <v>2231</v>
      </c>
      <c r="F1934" s="2">
        <v>46159.859084733798</v>
      </c>
      <c r="G1934" s="3">
        <v>46159</v>
      </c>
      <c r="H1934" t="s">
        <v>125</v>
      </c>
      <c r="I1934">
        <v>20</v>
      </c>
    </row>
    <row r="1935" spans="1:9" x14ac:dyDescent="0.2">
      <c r="A1935" s="18" t="s">
        <v>2232</v>
      </c>
      <c r="B1935" s="18" t="s">
        <v>10</v>
      </c>
      <c r="C1935" s="2">
        <v>46160.338852800924</v>
      </c>
      <c r="D1935">
        <v>3</v>
      </c>
      <c r="F1935" s="2">
        <v>46160.047186134259</v>
      </c>
      <c r="G1935" s="3">
        <v>46160</v>
      </c>
      <c r="H1935" t="s">
        <v>11</v>
      </c>
      <c r="I1935">
        <v>1</v>
      </c>
    </row>
    <row r="1936" spans="1:9" x14ac:dyDescent="0.2">
      <c r="A1936" s="18" t="s">
        <v>2233</v>
      </c>
      <c r="B1936" s="18" t="s">
        <v>10</v>
      </c>
      <c r="C1936" s="2">
        <v>46160.379063576387</v>
      </c>
      <c r="D1936">
        <v>3</v>
      </c>
      <c r="F1936" s="2">
        <v>46160.087396909723</v>
      </c>
      <c r="G1936" s="3">
        <v>46160</v>
      </c>
      <c r="H1936" t="s">
        <v>11</v>
      </c>
      <c r="I1936">
        <v>2</v>
      </c>
    </row>
    <row r="1937" spans="1:9" x14ac:dyDescent="0.2">
      <c r="A1937" s="18" t="s">
        <v>2234</v>
      </c>
      <c r="B1937" s="18" t="s">
        <v>10</v>
      </c>
      <c r="C1937" s="2">
        <v>46160.379350497686</v>
      </c>
      <c r="D1937">
        <v>3</v>
      </c>
      <c r="E1937" s="7" t="s">
        <v>15</v>
      </c>
      <c r="F1937" s="2">
        <v>46160.087683831021</v>
      </c>
      <c r="G1937" s="3">
        <v>46160</v>
      </c>
      <c r="H1937" t="s">
        <v>11</v>
      </c>
      <c r="I1937">
        <v>2</v>
      </c>
    </row>
    <row r="1938" spans="1:9" x14ac:dyDescent="0.2">
      <c r="A1938" s="18" t="s">
        <v>2235</v>
      </c>
      <c r="B1938" s="18" t="s">
        <v>10</v>
      </c>
      <c r="C1938" s="2">
        <v>46160.383566944445</v>
      </c>
      <c r="D1938">
        <v>3</v>
      </c>
      <c r="F1938" s="2">
        <v>46160.091900277781</v>
      </c>
      <c r="G1938" s="3">
        <v>46160</v>
      </c>
      <c r="H1938" t="s">
        <v>11</v>
      </c>
      <c r="I1938">
        <v>2</v>
      </c>
    </row>
    <row r="1939" spans="1:9" x14ac:dyDescent="0.2">
      <c r="A1939" s="18" t="s">
        <v>2236</v>
      </c>
      <c r="B1939" s="18" t="s">
        <v>10</v>
      </c>
      <c r="C1939" s="2">
        <v>46160.460100393517</v>
      </c>
      <c r="D1939">
        <v>493</v>
      </c>
      <c r="F1939" s="2">
        <v>46160.168433726853</v>
      </c>
      <c r="G1939" s="3">
        <v>46160</v>
      </c>
      <c r="H1939" t="s">
        <v>11</v>
      </c>
      <c r="I1939">
        <v>4</v>
      </c>
    </row>
    <row r="1940" spans="1:9" x14ac:dyDescent="0.2">
      <c r="A1940" s="18" t="s">
        <v>2237</v>
      </c>
      <c r="B1940" s="18" t="s">
        <v>10</v>
      </c>
      <c r="C1940" s="2">
        <v>46160.569286064812</v>
      </c>
      <c r="D1940">
        <v>3</v>
      </c>
      <c r="F1940" s="2">
        <v>46160.277619398148</v>
      </c>
      <c r="G1940" s="3">
        <v>46160</v>
      </c>
      <c r="H1940" t="s">
        <v>11</v>
      </c>
      <c r="I1940">
        <v>6</v>
      </c>
    </row>
    <row r="1941" spans="1:9" x14ac:dyDescent="0.2">
      <c r="A1941" s="18" t="s">
        <v>2238</v>
      </c>
      <c r="B1941" s="18" t="s">
        <v>10</v>
      </c>
      <c r="C1941" s="2">
        <v>46160.58653951389</v>
      </c>
      <c r="D1941">
        <v>1</v>
      </c>
      <c r="E1941" s="7" t="s">
        <v>1139</v>
      </c>
      <c r="F1941" s="2">
        <v>46160.294872847226</v>
      </c>
      <c r="G1941" s="3">
        <v>46160</v>
      </c>
      <c r="H1941" t="s">
        <v>11</v>
      </c>
      <c r="I1941">
        <v>7</v>
      </c>
    </row>
    <row r="1942" spans="1:9" x14ac:dyDescent="0.2">
      <c r="A1942" s="18" t="s">
        <v>2239</v>
      </c>
      <c r="B1942" s="18" t="s">
        <v>10</v>
      </c>
      <c r="C1942" s="2">
        <v>46160.611070937499</v>
      </c>
      <c r="D1942">
        <v>570</v>
      </c>
      <c r="F1942" s="2">
        <v>46160.319404270835</v>
      </c>
      <c r="G1942" s="3">
        <v>46160</v>
      </c>
      <c r="H1942" t="s">
        <v>11</v>
      </c>
      <c r="I1942">
        <v>7</v>
      </c>
    </row>
    <row r="1943" spans="1:9" x14ac:dyDescent="0.2">
      <c r="A1943" s="18" t="s">
        <v>2240</v>
      </c>
      <c r="B1943" s="18" t="s">
        <v>10</v>
      </c>
      <c r="C1943" s="2">
        <v>46160.714048020833</v>
      </c>
      <c r="D1943">
        <v>527</v>
      </c>
      <c r="F1943" s="2">
        <v>46160.422381354168</v>
      </c>
      <c r="G1943" s="3">
        <v>46160</v>
      </c>
      <c r="H1943" t="s">
        <v>11</v>
      </c>
      <c r="I1943">
        <v>10</v>
      </c>
    </row>
    <row r="1944" spans="1:9" x14ac:dyDescent="0.2">
      <c r="A1944" s="18" t="s">
        <v>2241</v>
      </c>
      <c r="B1944" s="18" t="s">
        <v>10</v>
      </c>
      <c r="C1944" s="2">
        <v>46160.716646875</v>
      </c>
      <c r="D1944">
        <v>3</v>
      </c>
      <c r="E1944" s="7" t="s">
        <v>301</v>
      </c>
      <c r="F1944" s="2">
        <v>46160.424980208336</v>
      </c>
      <c r="G1944" s="3">
        <v>46160</v>
      </c>
      <c r="H1944" t="s">
        <v>11</v>
      </c>
      <c r="I1944">
        <v>10</v>
      </c>
    </row>
    <row r="1945" spans="1:9" x14ac:dyDescent="0.2">
      <c r="A1945" s="18" t="s">
        <v>2242</v>
      </c>
      <c r="B1945" s="18" t="s">
        <v>10</v>
      </c>
      <c r="C1945" s="2">
        <v>46160.724772546295</v>
      </c>
      <c r="D1945">
        <v>3</v>
      </c>
      <c r="F1945" s="2">
        <v>46160.433105879631</v>
      </c>
      <c r="G1945" s="3">
        <v>46160</v>
      </c>
      <c r="H1945" t="s">
        <v>11</v>
      </c>
      <c r="I1945">
        <v>10</v>
      </c>
    </row>
    <row r="1946" spans="1:9" x14ac:dyDescent="0.2">
      <c r="A1946" s="18" t="s">
        <v>2243</v>
      </c>
      <c r="B1946" s="18" t="s">
        <v>10</v>
      </c>
      <c r="C1946" s="2">
        <v>46160.750575370374</v>
      </c>
      <c r="D1946">
        <v>1</v>
      </c>
      <c r="F1946" s="2">
        <v>46160.458908703702</v>
      </c>
      <c r="G1946" s="3">
        <v>46160</v>
      </c>
      <c r="H1946" t="s">
        <v>11</v>
      </c>
      <c r="I1946">
        <v>11</v>
      </c>
    </row>
    <row r="1947" spans="1:9" x14ac:dyDescent="0.2">
      <c r="A1947" s="18" t="s">
        <v>2244</v>
      </c>
      <c r="B1947" s="18" t="s">
        <v>10</v>
      </c>
      <c r="C1947" s="2">
        <v>46160.90463420139</v>
      </c>
      <c r="D1947">
        <v>3</v>
      </c>
      <c r="E1947" s="7" t="s">
        <v>2245</v>
      </c>
      <c r="F1947" s="2">
        <v>46160.612967534726</v>
      </c>
      <c r="G1947" s="3">
        <v>46160</v>
      </c>
      <c r="H1947" t="s">
        <v>11</v>
      </c>
      <c r="I1947">
        <v>14</v>
      </c>
    </row>
    <row r="1948" spans="1:9" x14ac:dyDescent="0.2">
      <c r="A1948" s="18" t="s">
        <v>2246</v>
      </c>
      <c r="B1948" s="18" t="s">
        <v>10</v>
      </c>
      <c r="C1948" s="2">
        <v>46160.917027175929</v>
      </c>
      <c r="D1948">
        <v>527</v>
      </c>
      <c r="F1948" s="2">
        <v>46160.625360509257</v>
      </c>
      <c r="G1948" s="3">
        <v>46160</v>
      </c>
      <c r="H1948" t="s">
        <v>11</v>
      </c>
      <c r="I1948">
        <v>15</v>
      </c>
    </row>
    <row r="1949" spans="1:9" x14ac:dyDescent="0.2">
      <c r="A1949" s="18" t="s">
        <v>2247</v>
      </c>
      <c r="B1949" s="18" t="s">
        <v>10</v>
      </c>
      <c r="C1949" s="2">
        <v>46160.917613113423</v>
      </c>
      <c r="D1949">
        <v>3</v>
      </c>
      <c r="F1949" s="2">
        <v>46160.625946446758</v>
      </c>
      <c r="G1949" s="3">
        <v>46160</v>
      </c>
      <c r="H1949" t="s">
        <v>11</v>
      </c>
      <c r="I1949">
        <v>15</v>
      </c>
    </row>
    <row r="1950" spans="1:9" x14ac:dyDescent="0.2">
      <c r="A1950" s="18" t="s">
        <v>2248</v>
      </c>
      <c r="B1950" s="18" t="s">
        <v>10</v>
      </c>
      <c r="C1950" s="2">
        <v>46160.921371076387</v>
      </c>
      <c r="D1950">
        <v>3</v>
      </c>
      <c r="E1950" s="7" t="s">
        <v>2245</v>
      </c>
      <c r="F1950" s="2">
        <v>46160.629704409723</v>
      </c>
      <c r="G1950" s="3">
        <v>46160</v>
      </c>
      <c r="H1950" t="s">
        <v>11</v>
      </c>
      <c r="I1950">
        <v>15</v>
      </c>
    </row>
    <row r="1951" spans="1:9" x14ac:dyDescent="0.2">
      <c r="A1951" s="18" t="s">
        <v>2249</v>
      </c>
      <c r="B1951" s="18" t="s">
        <v>10</v>
      </c>
      <c r="C1951" s="2">
        <v>46160.933639953706</v>
      </c>
      <c r="D1951">
        <v>3</v>
      </c>
      <c r="E1951" s="7" t="s">
        <v>709</v>
      </c>
      <c r="F1951" s="2">
        <v>46160.641973287034</v>
      </c>
      <c r="G1951" s="3">
        <v>46160</v>
      </c>
      <c r="H1951" t="s">
        <v>11</v>
      </c>
      <c r="I1951">
        <v>15</v>
      </c>
    </row>
    <row r="1952" spans="1:9" x14ac:dyDescent="0.2">
      <c r="A1952" s="18" t="s">
        <v>2250</v>
      </c>
      <c r="B1952" s="18" t="s">
        <v>10</v>
      </c>
      <c r="C1952" s="2">
        <v>46160.961008067126</v>
      </c>
      <c r="D1952">
        <v>570</v>
      </c>
      <c r="E1952" s="7" t="s">
        <v>2245</v>
      </c>
      <c r="F1952" s="2">
        <v>46160.669341400462</v>
      </c>
      <c r="G1952" s="3">
        <v>46160</v>
      </c>
      <c r="H1952" t="s">
        <v>11</v>
      </c>
      <c r="I1952">
        <v>16</v>
      </c>
    </row>
    <row r="1953" spans="1:9" x14ac:dyDescent="0.2">
      <c r="A1953" s="18" t="s">
        <v>2251</v>
      </c>
      <c r="B1953" s="18" t="s">
        <v>10</v>
      </c>
      <c r="C1953" s="2">
        <v>46160.984709131946</v>
      </c>
      <c r="D1953">
        <v>527</v>
      </c>
      <c r="E1953" s="7" t="s">
        <v>709</v>
      </c>
      <c r="F1953" s="2">
        <v>46160.693042465275</v>
      </c>
      <c r="G1953" s="3">
        <v>46160</v>
      </c>
      <c r="H1953" t="s">
        <v>11</v>
      </c>
      <c r="I1953">
        <v>16</v>
      </c>
    </row>
    <row r="1954" spans="1:9" x14ac:dyDescent="0.2">
      <c r="A1954" s="18" t="s">
        <v>2252</v>
      </c>
      <c r="B1954" s="18" t="s">
        <v>10</v>
      </c>
      <c r="C1954" s="2">
        <v>46161.063334571758</v>
      </c>
      <c r="D1954">
        <v>3</v>
      </c>
      <c r="F1954" s="2">
        <v>46160.771667905094</v>
      </c>
      <c r="G1954" s="3">
        <v>46160</v>
      </c>
      <c r="H1954" t="s">
        <v>11</v>
      </c>
      <c r="I1954">
        <v>18</v>
      </c>
    </row>
    <row r="1955" spans="1:9" x14ac:dyDescent="0.2">
      <c r="A1955" s="18" t="s">
        <v>2253</v>
      </c>
      <c r="B1955" s="18" t="s">
        <v>10</v>
      </c>
      <c r="C1955" s="2">
        <v>46161.129720729165</v>
      </c>
      <c r="D1955">
        <v>3</v>
      </c>
      <c r="F1955" s="2">
        <v>46160.8380540625</v>
      </c>
      <c r="G1955" s="3">
        <v>46160</v>
      </c>
      <c r="H1955" t="s">
        <v>11</v>
      </c>
      <c r="I1955">
        <v>20</v>
      </c>
    </row>
    <row r="1956" spans="1:9" x14ac:dyDescent="0.2">
      <c r="A1956" s="18" t="s">
        <v>2254</v>
      </c>
      <c r="B1956" s="18" t="s">
        <v>10</v>
      </c>
      <c r="C1956" s="2">
        <v>46161.312588043984</v>
      </c>
      <c r="D1956">
        <v>3</v>
      </c>
      <c r="F1956" s="2">
        <v>46161.020921377312</v>
      </c>
      <c r="G1956" s="3">
        <v>46161</v>
      </c>
      <c r="H1956" t="s">
        <v>28</v>
      </c>
      <c r="I1956">
        <v>0</v>
      </c>
    </row>
    <row r="1957" spans="1:9" x14ac:dyDescent="0.2">
      <c r="A1957" s="18" t="s">
        <v>2255</v>
      </c>
      <c r="B1957" s="18" t="s">
        <v>10</v>
      </c>
      <c r="C1957" s="2">
        <v>46161.364388298614</v>
      </c>
      <c r="D1957">
        <v>527</v>
      </c>
      <c r="F1957" s="2">
        <v>46161.072721631943</v>
      </c>
      <c r="G1957" s="3">
        <v>46161</v>
      </c>
      <c r="H1957" t="s">
        <v>28</v>
      </c>
      <c r="I1957">
        <v>1</v>
      </c>
    </row>
    <row r="1958" spans="1:9" x14ac:dyDescent="0.2">
      <c r="A1958" s="18" t="s">
        <v>2256</v>
      </c>
      <c r="B1958" s="18" t="s">
        <v>10</v>
      </c>
      <c r="C1958" s="2">
        <v>46161.450827222223</v>
      </c>
      <c r="D1958">
        <v>570</v>
      </c>
      <c r="F1958" s="2">
        <v>46161.159160555559</v>
      </c>
      <c r="G1958" s="3">
        <v>46161</v>
      </c>
      <c r="H1958" t="s">
        <v>28</v>
      </c>
      <c r="I1958">
        <v>3</v>
      </c>
    </row>
    <row r="1959" spans="1:9" x14ac:dyDescent="0.2">
      <c r="A1959" s="18" t="s">
        <v>2257</v>
      </c>
      <c r="B1959" s="18" t="s">
        <v>10</v>
      </c>
      <c r="C1959" s="2">
        <v>46161.585791273152</v>
      </c>
      <c r="D1959">
        <v>570</v>
      </c>
      <c r="E1959" s="7" t="s">
        <v>2258</v>
      </c>
      <c r="F1959" s="2">
        <v>46161.29412460648</v>
      </c>
      <c r="G1959" s="3">
        <v>46161</v>
      </c>
      <c r="H1959" t="s">
        <v>28</v>
      </c>
      <c r="I1959">
        <v>7</v>
      </c>
    </row>
    <row r="1960" spans="1:9" x14ac:dyDescent="0.2">
      <c r="A1960" s="18" t="s">
        <v>2259</v>
      </c>
      <c r="B1960" s="18" t="s">
        <v>10</v>
      </c>
      <c r="C1960" s="2">
        <v>46161.628882870369</v>
      </c>
      <c r="D1960">
        <v>3</v>
      </c>
      <c r="E1960" s="7" t="s">
        <v>768</v>
      </c>
      <c r="F1960" s="2">
        <v>46161.337216203705</v>
      </c>
      <c r="G1960" s="3">
        <v>46161</v>
      </c>
      <c r="H1960" t="s">
        <v>28</v>
      </c>
      <c r="I1960">
        <v>8</v>
      </c>
    </row>
    <row r="1961" spans="1:9" x14ac:dyDescent="0.2">
      <c r="A1961" s="18" t="s">
        <v>2260</v>
      </c>
      <c r="B1961" s="18" t="s">
        <v>10</v>
      </c>
      <c r="C1961" s="2">
        <v>46161.651736828702</v>
      </c>
      <c r="D1961">
        <v>527</v>
      </c>
      <c r="F1961" s="2">
        <v>46161.360070162038</v>
      </c>
      <c r="G1961" s="3">
        <v>46161</v>
      </c>
      <c r="H1961" t="s">
        <v>28</v>
      </c>
      <c r="I1961">
        <v>8</v>
      </c>
    </row>
    <row r="1962" spans="1:9" x14ac:dyDescent="0.2">
      <c r="A1962" s="18" t="s">
        <v>2261</v>
      </c>
      <c r="B1962" s="18" t="s">
        <v>10</v>
      </c>
      <c r="C1962" s="2">
        <v>46161.669308564815</v>
      </c>
      <c r="D1962">
        <v>527</v>
      </c>
      <c r="E1962" s="7" t="s">
        <v>31</v>
      </c>
      <c r="F1962" s="2">
        <v>46161.377641898151</v>
      </c>
      <c r="G1962" s="3">
        <v>46161</v>
      </c>
      <c r="H1962" t="s">
        <v>28</v>
      </c>
      <c r="I1962">
        <v>9</v>
      </c>
    </row>
    <row r="1963" spans="1:9" x14ac:dyDescent="0.2">
      <c r="A1963" s="18" t="s">
        <v>2262</v>
      </c>
      <c r="B1963" s="18" t="s">
        <v>10</v>
      </c>
      <c r="C1963" s="2">
        <v>46161.825491469906</v>
      </c>
      <c r="D1963">
        <v>570</v>
      </c>
      <c r="E1963" s="7" t="s">
        <v>2258</v>
      </c>
      <c r="F1963" s="2">
        <v>46161.533824803242</v>
      </c>
      <c r="G1963" s="3">
        <v>46161</v>
      </c>
      <c r="H1963" t="s">
        <v>28</v>
      </c>
      <c r="I1963">
        <v>12</v>
      </c>
    </row>
    <row r="1964" spans="1:9" x14ac:dyDescent="0.2">
      <c r="A1964" s="18" t="s">
        <v>2263</v>
      </c>
      <c r="B1964" s="18" t="s">
        <v>10</v>
      </c>
      <c r="C1964" s="2">
        <v>46161.951870914352</v>
      </c>
      <c r="D1964">
        <v>3</v>
      </c>
      <c r="F1964" s="2">
        <v>46161.660204247688</v>
      </c>
      <c r="G1964" s="3">
        <v>46161</v>
      </c>
      <c r="H1964" t="s">
        <v>28</v>
      </c>
      <c r="I1964">
        <v>15</v>
      </c>
    </row>
    <row r="1965" spans="1:9" x14ac:dyDescent="0.2">
      <c r="A1965" s="18" t="s">
        <v>2264</v>
      </c>
      <c r="B1965" s="18" t="s">
        <v>10</v>
      </c>
      <c r="C1965" s="2">
        <v>46162.251094328705</v>
      </c>
      <c r="D1965">
        <v>527</v>
      </c>
      <c r="F1965" s="2">
        <v>46161.959427662034</v>
      </c>
      <c r="G1965" s="3">
        <v>46161</v>
      </c>
      <c r="H1965" t="s">
        <v>28</v>
      </c>
      <c r="I1965">
        <v>23</v>
      </c>
    </row>
    <row r="1966" spans="1:9" x14ac:dyDescent="0.2">
      <c r="A1966" s="18" t="s">
        <v>2265</v>
      </c>
      <c r="B1966" s="18" t="s">
        <v>10</v>
      </c>
      <c r="C1966" s="2">
        <v>46163.074312372686</v>
      </c>
      <c r="D1966">
        <v>570</v>
      </c>
      <c r="F1966" s="2">
        <v>46162.782645706022</v>
      </c>
      <c r="G1966" s="3">
        <v>46162</v>
      </c>
      <c r="H1966" t="s">
        <v>63</v>
      </c>
      <c r="I1966">
        <v>18</v>
      </c>
    </row>
    <row r="1967" spans="1:9" x14ac:dyDescent="0.2">
      <c r="A1967" s="18" t="s">
        <v>2266</v>
      </c>
      <c r="B1967" s="18" t="s">
        <v>10</v>
      </c>
      <c r="C1967" s="2">
        <v>46163.256706736109</v>
      </c>
      <c r="D1967">
        <v>527</v>
      </c>
      <c r="E1967" s="7" t="s">
        <v>768</v>
      </c>
      <c r="F1967" s="2">
        <v>46162.965040069445</v>
      </c>
      <c r="G1967" s="3">
        <v>46162</v>
      </c>
      <c r="H1967" t="s">
        <v>63</v>
      </c>
      <c r="I1967">
        <v>23</v>
      </c>
    </row>
    <row r="1968" spans="1:9" x14ac:dyDescent="0.2">
      <c r="A1968" s="18" t="s">
        <v>2267</v>
      </c>
      <c r="B1968" s="18" t="s">
        <v>10</v>
      </c>
      <c r="C1968" s="2">
        <v>46163.305934317126</v>
      </c>
      <c r="D1968">
        <v>527</v>
      </c>
      <c r="E1968" s="7" t="s">
        <v>31</v>
      </c>
      <c r="F1968" s="2">
        <v>46163.014267650462</v>
      </c>
      <c r="G1968" s="3">
        <v>46163</v>
      </c>
      <c r="H1968" t="s">
        <v>95</v>
      </c>
      <c r="I1968">
        <v>0</v>
      </c>
    </row>
    <row r="1969" spans="1:9" x14ac:dyDescent="0.2">
      <c r="A1969" s="18" t="s">
        <v>2268</v>
      </c>
      <c r="B1969" s="18" t="s">
        <v>10</v>
      </c>
      <c r="C1969" s="2">
        <v>46163.382314016206</v>
      </c>
      <c r="D1969">
        <v>570</v>
      </c>
      <c r="E1969" s="7" t="s">
        <v>582</v>
      </c>
      <c r="F1969" s="2">
        <v>46163.090647349534</v>
      </c>
      <c r="G1969" s="3">
        <v>46163</v>
      </c>
      <c r="H1969" t="s">
        <v>95</v>
      </c>
      <c r="I1969">
        <v>2</v>
      </c>
    </row>
    <row r="1970" spans="1:9" x14ac:dyDescent="0.2">
      <c r="A1970" s="18" t="s">
        <v>2269</v>
      </c>
      <c r="B1970" s="18" t="s">
        <v>10</v>
      </c>
      <c r="C1970" s="2">
        <v>46163.389562511577</v>
      </c>
      <c r="D1970">
        <v>527</v>
      </c>
      <c r="E1970" s="7" t="s">
        <v>31</v>
      </c>
      <c r="F1970" s="2">
        <v>46163.097895844905</v>
      </c>
      <c r="G1970" s="3">
        <v>46163</v>
      </c>
      <c r="H1970" t="s">
        <v>95</v>
      </c>
      <c r="I1970">
        <v>2</v>
      </c>
    </row>
    <row r="1971" spans="1:9" x14ac:dyDescent="0.2">
      <c r="A1971" s="18" t="s">
        <v>2270</v>
      </c>
      <c r="B1971" s="18" t="s">
        <v>10</v>
      </c>
      <c r="C1971" s="2">
        <v>46163.398714340277</v>
      </c>
      <c r="D1971">
        <v>527</v>
      </c>
      <c r="E1971" s="7" t="s">
        <v>768</v>
      </c>
      <c r="F1971" s="2">
        <v>46163.107047673613</v>
      </c>
      <c r="G1971" s="3">
        <v>46163</v>
      </c>
      <c r="H1971" t="s">
        <v>95</v>
      </c>
      <c r="I1971">
        <v>2</v>
      </c>
    </row>
    <row r="1972" spans="1:9" x14ac:dyDescent="0.2">
      <c r="A1972" s="18" t="s">
        <v>2271</v>
      </c>
      <c r="B1972" s="18" t="s">
        <v>10</v>
      </c>
      <c r="C1972" s="2">
        <v>46163.443287511574</v>
      </c>
      <c r="D1972">
        <v>527</v>
      </c>
      <c r="E1972" s="7" t="s">
        <v>2272</v>
      </c>
      <c r="F1972" s="2">
        <v>46163.15162084491</v>
      </c>
      <c r="G1972" s="3">
        <v>46163</v>
      </c>
      <c r="H1972" t="s">
        <v>95</v>
      </c>
      <c r="I1972">
        <v>3</v>
      </c>
    </row>
    <row r="1973" spans="1:9" x14ac:dyDescent="0.2">
      <c r="A1973" s="18" t="s">
        <v>2273</v>
      </c>
      <c r="B1973" s="18" t="s">
        <v>10</v>
      </c>
      <c r="C1973" s="2">
        <v>46163.466863263886</v>
      </c>
      <c r="D1973">
        <v>527</v>
      </c>
      <c r="E1973" s="7" t="s">
        <v>31</v>
      </c>
      <c r="F1973" s="2">
        <v>46163.175196597222</v>
      </c>
      <c r="G1973" s="3">
        <v>46163</v>
      </c>
      <c r="H1973" t="s">
        <v>95</v>
      </c>
      <c r="I1973">
        <v>4</v>
      </c>
    </row>
    <row r="1974" spans="1:9" x14ac:dyDescent="0.2">
      <c r="A1974" s="18" t="s">
        <v>2274</v>
      </c>
      <c r="B1974" s="18" t="s">
        <v>10</v>
      </c>
      <c r="C1974" s="2">
        <v>46163.487844895833</v>
      </c>
      <c r="D1974">
        <v>570</v>
      </c>
      <c r="F1974" s="2">
        <v>46163.196178229169</v>
      </c>
      <c r="G1974" s="3">
        <v>46163</v>
      </c>
      <c r="H1974" t="s">
        <v>95</v>
      </c>
      <c r="I1974">
        <v>4</v>
      </c>
    </row>
    <row r="1975" spans="1:9" x14ac:dyDescent="0.2">
      <c r="A1975" s="18" t="s">
        <v>2275</v>
      </c>
      <c r="B1975" s="18" t="s">
        <v>10</v>
      </c>
      <c r="C1975" s="2">
        <v>46163.506233958331</v>
      </c>
      <c r="D1975">
        <v>527</v>
      </c>
      <c r="E1975" s="7" t="s">
        <v>31</v>
      </c>
      <c r="F1975" s="2">
        <v>46163.214567291667</v>
      </c>
      <c r="G1975" s="3">
        <v>46163</v>
      </c>
      <c r="H1975" t="s">
        <v>95</v>
      </c>
      <c r="I1975">
        <v>5</v>
      </c>
    </row>
    <row r="1976" spans="1:9" x14ac:dyDescent="0.2">
      <c r="A1976" s="18" t="s">
        <v>2276</v>
      </c>
      <c r="B1976" s="18" t="s">
        <v>10</v>
      </c>
      <c r="C1976" s="2">
        <v>46163.583635312498</v>
      </c>
      <c r="D1976">
        <v>527</v>
      </c>
      <c r="E1976" s="7" t="s">
        <v>31</v>
      </c>
      <c r="F1976" s="2">
        <v>46163.291968645834</v>
      </c>
      <c r="G1976" s="3">
        <v>46163</v>
      </c>
      <c r="H1976" t="s">
        <v>95</v>
      </c>
      <c r="I1976">
        <v>7</v>
      </c>
    </row>
    <row r="1977" spans="1:9" x14ac:dyDescent="0.2">
      <c r="A1977" s="18" t="s">
        <v>2277</v>
      </c>
      <c r="B1977" s="18" t="s">
        <v>10</v>
      </c>
      <c r="C1977" s="2">
        <v>46163.590610590276</v>
      </c>
      <c r="D1977">
        <v>527</v>
      </c>
      <c r="E1977" s="7" t="s">
        <v>275</v>
      </c>
      <c r="F1977" s="2">
        <v>46163.298943923612</v>
      </c>
      <c r="G1977" s="3">
        <v>46163</v>
      </c>
      <c r="H1977" t="s">
        <v>95</v>
      </c>
      <c r="I1977">
        <v>7</v>
      </c>
    </row>
    <row r="1978" spans="1:9" x14ac:dyDescent="0.2">
      <c r="A1978" s="18" t="s">
        <v>2278</v>
      </c>
      <c r="B1978" s="18" t="s">
        <v>10</v>
      </c>
      <c r="C1978" s="2">
        <v>46163.611828043984</v>
      </c>
      <c r="D1978">
        <v>570</v>
      </c>
      <c r="F1978" s="2">
        <v>46163.320161377313</v>
      </c>
      <c r="G1978" s="3">
        <v>46163</v>
      </c>
      <c r="H1978" t="s">
        <v>95</v>
      </c>
      <c r="I1978">
        <v>7</v>
      </c>
    </row>
    <row r="1979" spans="1:9" x14ac:dyDescent="0.2">
      <c r="A1979" s="18" t="s">
        <v>2279</v>
      </c>
      <c r="B1979" s="18" t="s">
        <v>10</v>
      </c>
      <c r="C1979" s="2">
        <v>46163.633562384261</v>
      </c>
      <c r="D1979">
        <v>527</v>
      </c>
      <c r="E1979" s="7" t="s">
        <v>275</v>
      </c>
      <c r="F1979" s="2">
        <v>46163.341895717589</v>
      </c>
      <c r="G1979" s="3">
        <v>46163</v>
      </c>
      <c r="H1979" t="s">
        <v>95</v>
      </c>
      <c r="I1979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M3"/>
  <sheetViews>
    <sheetView topLeftCell="A10" workbookViewId="0">
      <selection activeCell="M14" sqref="M14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16.6640625" bestFit="1" customWidth="1"/>
    <col min="13" max="13" width="19.1640625" bestFit="1" customWidth="1"/>
  </cols>
  <sheetData>
    <row r="1" spans="1:13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  <c r="M1" s="8" t="s">
        <v>1429</v>
      </c>
    </row>
    <row r="2" spans="1:13" x14ac:dyDescent="0.2">
      <c r="A2" s="2">
        <v>46164.58357638889</v>
      </c>
      <c r="B2">
        <v>477</v>
      </c>
      <c r="C2">
        <v>491</v>
      </c>
      <c r="D2">
        <v>14</v>
      </c>
      <c r="E2" s="3">
        <v>46163</v>
      </c>
      <c r="F2" s="3">
        <v>46163</v>
      </c>
      <c r="G2">
        <v>3</v>
      </c>
      <c r="H2">
        <v>21.4</v>
      </c>
      <c r="I2">
        <v>0</v>
      </c>
      <c r="J2" t="s">
        <v>1191</v>
      </c>
      <c r="M2">
        <f>SUM(I:I)</f>
        <v>0</v>
      </c>
    </row>
    <row r="3" spans="1:13" x14ac:dyDescent="0.2">
      <c r="A3" s="2">
        <v>46164.375219907408</v>
      </c>
      <c r="B3">
        <v>0</v>
      </c>
      <c r="C3">
        <v>477</v>
      </c>
      <c r="D3">
        <v>477</v>
      </c>
      <c r="E3" s="3">
        <v>46133</v>
      </c>
      <c r="F3" s="3">
        <v>46162</v>
      </c>
      <c r="G3">
        <v>289</v>
      </c>
      <c r="H3">
        <v>60.6</v>
      </c>
      <c r="I3">
        <v>0</v>
      </c>
      <c r="J3" t="s">
        <v>1191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Reason Graph</vt:lpstr>
      <vt:lpstr>Late Night Analysis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2026-05-23T18:50:12Z</dcterms:modified>
</cp:coreProperties>
</file>