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49763B34-7430-B94F-BC72-6E9CAB6FB991}" xr6:coauthVersionLast="47" xr6:coauthVersionMax="47" xr10:uidLastSave="{00000000-0000-0000-0000-000000000000}"/>
  <bookViews>
    <workbookView xWindow="64660" yWindow="600" windowWidth="36980" windowHeight="26240" xr2:uid="{00000000-000D-0000-FFFF-FFFF00000000}"/>
  </bookViews>
  <sheets>
    <sheet name="Dashboard" sheetId="12" r:id="rId1"/>
    <sheet name="Reason Graph" sheetId="8" r:id="rId2"/>
    <sheet name="Late Night Analysis" sheetId="9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2" hidden="1">'Late Night Analysis'!$A$1:$D$25</definedName>
    <definedName name="_xlnm._FilterDatabase" localSheetId="3" hidden="1">'Searches by Hour'!$A$1:$B$25</definedName>
    <definedName name="ExternalData_1" localSheetId="6" hidden="1">flock_run_log!$A$1:$J$228</definedName>
    <definedName name="ExternalData_1" localSheetId="5" hidden="1">'Search Audit'!$A$1:$I$1894</definedName>
    <definedName name="NativeTimeline_Date__Pacific">#N/A</definedName>
  </definedNames>
  <calcPr calcId="191029" iterateDelta="1E-4"/>
  <pivotCaches>
    <pivotCache cacheId="15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 a="1"/>
  <c r="B11" i="12" s="1"/>
  <c r="B13" i="12" s="1"/>
  <c r="B5" i="12"/>
  <c r="M2" i="11"/>
  <c r="B17" i="12" s="1"/>
  <c r="B3" i="12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D25" i="9" s="1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7" i="12" l="1"/>
  <c r="S1" i="9"/>
  <c r="S3" i="9"/>
  <c r="D17" i="9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S7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B9" i="12" l="1"/>
  <c r="B15" i="12" a="1"/>
  <c r="B15" i="12" s="1"/>
  <c r="S5" i="9"/>
  <c r="E35" i="10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<sst xmlns="http://schemas.openxmlformats.org/spreadsheetml/2006/main" count="6980" uniqueCount="2322">
  <si>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</si>
  <si>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</si>
  <si>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</si>
  <si>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</si>
  <si>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</si>
  <si>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</si>
  <si>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</si>
  <si>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</si>
  <si>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</si>
  <si>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</si>
  <si>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</si>
  <si>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</si>
  <si>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</si>
  <si>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</si>
  <si>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</si>
  <si>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</si>
  <si>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</si>
  <si>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</si>
  <si>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</si>
  <si>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</si>
  <si>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</si>
  <si>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</si>
  <si>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</si>
  <si>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</si>
  <si>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</si>
  <si>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</si>
  <si>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</si>
  <si>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</si>
  <si>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</si>
  <si>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</si>
  <si>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</si>
  <si>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</si>
  <si>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</si>
  <si>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</si>
  <si>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</si>
  <si>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</si>
  <si>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</si>
  <si>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</si>
  <si>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</si>
  <si>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</si>
  <si>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</si>
  <si>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</si>
  <si>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</si>
  <si>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</si>
  <si>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</si>
  <si>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</si>
  <si>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</si>
  <si>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</si>
  <si>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</si>
  <si>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</si>
  <si>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</si>
  <si>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</si>
  <si>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</si>
  <si>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</si>
  <si>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</si>
  <si>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</si>
  <si>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</si>
  <si>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</si>
  <si>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</si>
  <si>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</si>
  <si>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</si>
  <si>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</si>
  <si>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</si>
  <si>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</si>
  <si>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</si>
  <si>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</si>
  <si>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</si>
  <si>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</si>
  <si>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</si>
  <si>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</si>
  <si>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</si>
  <si>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</si>
  <si>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</si>
  <si>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</si>
  <si>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</si>
  <si>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</si>
  <si>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</si>
  <si>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</si>
  <si>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</si>
  <si>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</si>
  <si>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</si>
  <si>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</si>
  <si>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</si>
  <si>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</si>
  <si>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</si>
  <si>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</si>
  <si>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</si>
  <si>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</si>
  <si>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</si>
  <si>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</si>
  <si>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</si>
  <si>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</si>
  <si>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</si>
  <si>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</si>
  <si>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</si>
  <si>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</si>
  <si>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</si>
  <si>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</si>
  <si>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</si>
  <si>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</si>
  <si>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</si>
  <si>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</si>
  <si>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</si>
  <si>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</si>
  <si>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</si>
  <si>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</si>
  <si>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</si>
  <si>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</si>
  <si>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</si>
  <si>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</si>
  <si>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</si>
  <si>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</si>
  <si>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</si>
  <si>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</si>
  <si>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</si>
  <si>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</si>
  <si>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</si>
  <si>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</si>
  <si>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</si>
  <si>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</si>
  <si>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</si>
  <si>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</si>
  <si>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</si>
  <si>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</si>
  <si>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</si>
  <si>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</si>
  <si>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</si>
  <si>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</si>
  <si>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</si>
  <si>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</si>
  <si>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</si>
  <si>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</si>
  <si>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</si>
  <si>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</si>
  <si>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</si>
  <si>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</si>
  <si>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</si>
  <si>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</si>
  <si>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</si>
  <si>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</si>
  <si>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</si>
  <si>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</si>
  <si>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</si>
  <si>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</si>
  <si>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</si>
  <si>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</si>
  <si>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</si>
  <si>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</si>
  <si>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</si>
  <si>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</si>
  <si>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</si>
  <si>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</si>
  <si>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</si>
  <si>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</si>
  <si>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</si>
  <si>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</si>
  <si>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</si>
  <si>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</si>
  <si>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</si>
  <si>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</si>
  <si>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</si>
  <si>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</si>
  <si>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</si>
  <si>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</si>
  <si>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</si>
  <si>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</si>
  <si>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</si>
  <si>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</si>
  <si>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</si>
  <si>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</si>
  <si>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</si>
  <si>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</si>
  <si>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</si>
  <si>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</si>
  <si>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</si>
  <si>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</si>
  <si>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</si>
  <si>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</si>
  <si>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</si>
  <si>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</si>
  <si>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</si>
  <si>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</si>
  <si>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</si>
  <si>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</si>
  <si>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</si>
  <si>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</si>
  <si>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</si>
  <si>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</si>
  <si>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</si>
  <si>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</si>
  <si>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</si>
  <si>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</si>
  <si>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</si>
  <si>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</si>
  <si>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</si>
  <si>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</si>
  <si>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</si>
  <si>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</si>
  <si>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</si>
  <si>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</si>
  <si>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</si>
  <si>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</si>
  <si>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</si>
  <si>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</si>
  <si>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</si>
  <si>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</si>
  <si>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</si>
  <si>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</si>
  <si>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</si>
  <si>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</si>
  <si>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</si>
  <si>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</si>
  <si>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</si>
  <si>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</si>
  <si>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</si>
  <si>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</si>
  <si>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</si>
  <si>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</si>
  <si>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</si>
  <si>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</si>
  <si>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</si>
  <si>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</si>
  <si>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</si>
  <si>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</si>
  <si>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</si>
  <si>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</si>
  <si>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</si>
  <si>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</si>
  <si>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</si>
  <si>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</si>
  <si>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</si>
  <si>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</si>
  <si>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</si>
  <si>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</si>
  <si>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</si>
  <si>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</si>
  <si>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</si>
  <si>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</si>
  <si>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</si>
  <si>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</si>
  <si>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</si>
  <si>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</si>
  <si>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</si>
  <si>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</si>
  <si>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</si>
  <si>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</si>
  <si>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</si>
  <si>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</si>
  <si>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</si>
  <si>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</si>
  <si>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</si>
  <si>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</si>
  <si>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</si>
  <si>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</si>
  <si>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</si>
  <si>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</si>
  <si>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</si>
  <si>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</si>
  <si>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</si>
  <si>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</si>
  <si>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</si>
  <si>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</si>
  <si>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</si>
  <si>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</si>
  <si>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</si>
  <si>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</si>
  <si>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</si>
  <si>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</si>
  <si>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</si>
  <si>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</si>
  <si>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</si>
  <si>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</si>
  <si>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</si>
  <si>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</si>
  <si>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</si>
  <si>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</si>
  <si>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</si>
  <si>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</si>
  <si>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</si>
  <si>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</si>
  <si>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</si>
  <si>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</si>
  <si>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</si>
  <si>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</si>
  <si>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</si>
  <si>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</si>
  <si>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</si>
  <si>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</si>
  <si>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</si>
  <si>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</si>
  <si>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</si>
  <si>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</si>
  <si>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</si>
  <si>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</si>
  <si>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</si>
  <si>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</si>
  <si>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</si>
  <si>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</si>
  <si>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</si>
  <si>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</si>
  <si>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</si>
  <si>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</si>
  <si>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</si>
  <si>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</si>
  <si>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</si>
  <si>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</si>
  <si>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</si>
  <si>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</si>
  <si>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</si>
  <si>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</si>
  <si>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</si>
  <si>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</si>
  <si>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</si>
  <si>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</si>
  <si>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</si>
  <si>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</si>
  <si>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</si>
  <si>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</si>
  <si>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</si>
  <si>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</si>
  <si>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</si>
  <si>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</si>
  <si>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</si>
  <si>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</si>
  <si>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</si>
  <si>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</si>
  <si>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</si>
  <si>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</si>
  <si>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</si>
  <si>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</si>
  <si>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</si>
  <si>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</si>
  <si>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</si>
  <si>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</si>
  <si>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</si>
  <si>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</si>
  <si>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</si>
  <si>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</si>
  <si>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</si>
  <si>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</si>
  <si>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</si>
  <si>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</si>
  <si>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</si>
  <si>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</si>
  <si>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</si>
  <si>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</si>
  <si>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</si>
  <si>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</si>
  <si>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</si>
  <si>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</si>
  <si>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</si>
  <si>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</si>
  <si>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</si>
  <si>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</si>
  <si>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</si>
  <si>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</si>
  <si>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</si>
  <si>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</si>
  <si>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</si>
  <si>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</si>
  <si>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</si>
  <si>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</si>
  <si>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</si>
  <si>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</si>
  <si>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</si>
  <si>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</si>
  <si>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</si>
  <si>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</si>
  <si>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</si>
  <si>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</si>
  <si>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</si>
  <si>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</si>
  <si>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</si>
  <si>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</si>
  <si>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</si>
  <si>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</si>
  <si>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</si>
  <si>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</si>
  <si>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</si>
  <si>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</si>
  <si>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</si>
  <si>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</si>
  <si>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</si>
  <si>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</si>
  <si>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</si>
  <si>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</si>
  <si>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</si>
  <si>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</si>
  <si>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</si>
  <si>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</si>
  <si>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</si>
  <si>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</si>
  <si>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</si>
  <si>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</si>
  <si>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</si>
  <si>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</si>
  <si>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</si>
  <si>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</si>
  <si>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</si>
  <si>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</si>
  <si>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</si>
  <si>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</si>
  <si>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</si>
  <si>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</si>
  <si>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</si>
  <si>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</si>
  <si>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</si>
  <si>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</si>
  <si>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</si>
  <si>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</si>
  <si>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</si>
  <si>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</si>
  <si>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</si>
  <si>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</si>
  <si>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</si>
  <si>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</si>
  <si>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</si>
  <si>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</si>
  <si>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</si>
  <si>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</si>
  <si>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</si>
  <si>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</si>
  <si>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</si>
  <si>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</si>
  <si>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</si>
  <si>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</si>
  <si>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</si>
  <si>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</si>
  <si>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</si>
  <si>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</si>
  <si>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</si>
  <si>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</si>
  <si>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</si>
  <si>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</si>
  <si>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</si>
  <si>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</si>
  <si>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</si>
  <si>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</si>
  <si>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</si>
  <si>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</si>
  <si>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</si>
  <si>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</si>
  <si>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</si>
  <si>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</si>
  <si>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</si>
  <si>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</si>
  <si>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</si>
  <si>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</si>
  <si>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</si>
  <si>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</si>
  <si>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</si>
  <si>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</si>
  <si>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</si>
  <si>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</si>
  <si>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</si>
  <si>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</si>
  <si>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</si>
  <si>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</si>
  <si>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</si>
  <si>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</si>
  <si>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</si>
  <si>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</si>
  <si>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</si>
  <si>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</si>
  <si>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</si>
  <si>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</si>
  <si>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</si>
  <si>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</si>
  <si>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</si>
  <si>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</si>
  <si>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</si>
  <si>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</si>
  <si>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</si>
  <si>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</si>
  <si>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</si>
  <si>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</si>
  <si>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</si>
  <si>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</si>
  <si>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</si>
  <si>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</si>
  <si>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</si>
  <si>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</si>
  <si>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</si>
  <si>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</si>
  <si>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</si>
  <si>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</si>
  <si>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</si>
  <si>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</si>
  <si>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</si>
  <si>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</si>
  <si>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</si>
  <si>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</si>
  <si>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</si>
  <si>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</si>
  <si>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</si>
  <si>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</si>
  <si>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</si>
  <si>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</si>
  <si>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</si>
  <si>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</si>
  <si>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</si>
  <si>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</si>
  <si>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</si>
  <si>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</si>
  <si>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</si>
  <si>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</si>
  <si>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</si>
  <si>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</si>
  <si>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</si>
  <si>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</si>
  <si>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</si>
  <si>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</si>
  <si>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</si>
  <si>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</si>
  <si>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</si>
  <si>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</si>
  <si>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</si>
  <si>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</si>
  <si>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</si>
  <si>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</si>
  <si>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</si>
  <si>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</si>
  <si>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</si>
  <si>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</si>
  <si>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</si>
  <si>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</si>
  <si>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</si>
  <si>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</si>
  <si>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</si>
  <si>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</si>
  <si>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</si>
  <si>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</si>
  <si>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</si>
  <si>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</si>
  <si>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</si>
  <si>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</si>
  <si>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</si>
  <si>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</si>
  <si>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</si>
  <si>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</si>
  <si>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</si>
  <si>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</si>
  <si>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</si>
  <si>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</si>
  <si>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</si>
  <si>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</si>
  <si>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</si>
  <si>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</si>
  <si>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</si>
  <si>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</si>
  <si>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</si>
  <si>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</si>
  <si>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</si>
  <si>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</si>
  <si>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</si>
  <si>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</si>
  <si>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</si>
  <si>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</si>
  <si>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</si>
  <si>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</si>
  <si>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</si>
  <si>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</si>
  <si>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</si>
  <si>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</si>
  <si>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</si>
  <si>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</si>
  <si>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</si>
  <si>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</si>
  <si>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</si>
  <si>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</si>
  <si>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</si>
  <si>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</si>
  <si>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</si>
  <si>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</si>
  <si>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</si>
  <si>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</si>
  <si>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</si>
  <si>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</si>
  <si>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</si>
  <si>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</si>
  <si>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</si>
  <si>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</si>
  <si>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</si>
  <si>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</si>
  <si>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</si>
  <si>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</si>
  <si>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</si>
  <si>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</si>
  <si>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</si>
  <si>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</si>
  <si>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</si>
  <si>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</si>
  <si>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</si>
  <si>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</si>
  <si>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</si>
  <si>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</si>
  <si>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</si>
  <si>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</si>
  <si>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</si>
  <si>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</si>
  <si>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</si>
  <si>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</si>
  <si>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</si>
  <si>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</si>
  <si>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</si>
  <si>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</si>
  <si>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</si>
  <si>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</si>
  <si>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</si>
  <si>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</si>
  <si>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</si>
  <si>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</si>
  <si>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</si>
  <si>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</si>
  <si>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</si>
  <si>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</si>
  <si>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</si>
  <si>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</si>
  <si>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</si>
  <si>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</si>
  <si>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</si>
  <si>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</si>
  <si>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</si>
  <si>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</si>
  <si>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</si>
  <si>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</si>
  <si>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</si>
  <si>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</si>
  <si>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</si>
  <si>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</si>
  <si>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</si>
  <si>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</si>
  <si>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</si>
  <si>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</si>
  <si>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</si>
  <si>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</si>
  <si>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</si>
  <si>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</si>
  <si>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</si>
  <si>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</si>
  <si>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</si>
  <si>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</si>
  <si>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</si>
  <si>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</si>
  <si>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</si>
  <si>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</si>
  <si>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</si>
  <si>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</si>
  <si>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</si>
  <si>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</si>
  <si>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</si>
  <si>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</si>
  <si>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</si>
  <si>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</si>
  <si>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</si>
  <si>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</si>
  <si>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</si>
  <si>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</si>
  <si>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</si>
  <si>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</si>
  <si>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</si>
  <si>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</si>
  <si>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</si>
  <si>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</si>
  <si>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</si>
  <si>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</si>
  <si>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</si>
  <si>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</si>
  <si>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</si>
  <si>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</si>
  <si>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</si>
  <si>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</si>
  <si>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</si>
  <si>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</si>
  <si>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</si>
  <si>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</si>
  <si>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</si>
  <si>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</si>
  <si>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</si>
  <si>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</si>
  <si>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</si>
  <si>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</si>
  <si>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</si>
  <si>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</si>
  <si>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</si>
  <si>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</si>
  <si>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</si>
  <si>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</si>
  <si>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</si>
  <si>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</si>
  <si>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</si>
  <si>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</si>
  <si>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</si>
  <si>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</si>
  <si>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</si>
  <si>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</si>
  <si>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</si>
  <si>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</si>
  <si>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</si>
  <si>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</si>
  <si>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</si>
  <si>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</si>
  <si>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</si>
  <si>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</si>
  <si>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</si>
  <si>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</si>
  <si>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</si>
  <si>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</si>
  <si>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</si>
  <si>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</si>
  <si>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</si>
  <si>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</si>
  <si>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</si>
  <si>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</si>
  <si>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</si>
  <si>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</si>
  <si>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</si>
  <si>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</si>
  <si>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</si>
  <si>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</si>
  <si>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</si>
  <si>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</si>
  <si>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</si>
  <si>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</si>
  <si>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</si>
  <si>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</si>
  <si>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</si>
  <si>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</si>
  <si>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</si>
  <si>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</si>
  <si>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</si>
  <si>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</si>
  <si>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</si>
  <si>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</si>
  <si>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</si>
  <si>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</si>
  <si>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</si>
  <si>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</si>
  <si>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</si>
  <si>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</si>
  <si>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</si>
  <si>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</si>
  <si>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</si>
  <si>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</si>
  <si>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</si>
  <si>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</si>
  <si>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</si>
  <si>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</si>
  <si>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</si>
  <si>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</si>
  <si>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</si>
  <si>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</si>
  <si>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</si>
  <si>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</si>
  <si>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</si>
  <si>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</si>
  <si>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</si>
  <si>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</si>
  <si>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</si>
  <si>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</si>
  <si>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</si>
  <si>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</si>
  <si>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</si>
  <si>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</si>
  <si>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</si>
  <si>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</si>
  <si>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</si>
  <si>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</si>
  <si>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</si>
  <si>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</si>
  <si>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</si>
  <si>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</si>
  <si>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</si>
  <si>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</si>
  <si>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</si>
  <si>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</si>
  <si>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</si>
  <si>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</si>
  <si>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</si>
  <si>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</si>
  <si>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</si>
  <si>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</si>
  <si>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</si>
  <si>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</si>
  <si>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</si>
  <si>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</si>
  <si>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</si>
  <si>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</si>
  <si>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</si>
  <si>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</si>
  <si>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</si>
  <si>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</si>
  <si>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</si>
  <si>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</si>
  <si>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</si>
  <si>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</si>
  <si>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</si>
  <si>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</si>
  <si>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</si>
  <si>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</si>
  <si>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</si>
  <si>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</si>
  <si>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</si>
  <si>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</si>
  <si>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</si>
  <si>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</si>
  <si>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</si>
  <si>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</si>
  <si>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</si>
  <si>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</si>
  <si>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</si>
  <si>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</si>
  <si>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</si>
  <si>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</si>
  <si>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</si>
  <si>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</si>
  <si>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</si>
  <si>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</si>
  <si>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</si>
  <si>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</si>
  <si>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</si>
  <si>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</si>
  <si>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</si>
  <si>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</si>
  <si>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</si>
  <si>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</si>
  <si>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</si>
  <si>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</si>
  <si>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</si>
  <si>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</si>
  <si>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</si>
  <si>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</si>
  <si>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</si>
  <si>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</si>
  <si>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</si>
  <si>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</si>
  <si>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</si>
  <si>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</si>
  <si>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</si>
  <si>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</si>
  <si>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</si>
  <si>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</si>
  <si>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</si>
  <si>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</si>
  <si>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</si>
  <si>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</si>
  <si>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</si>
  <si>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</si>
  <si>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</si>
  <si>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</si>
  <si>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</si>
  <si>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</si>
  <si>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</si>
  <si>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</si>
  <si>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</si>
  <si>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</si>
  <si>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</si>
  <si>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</si>
  <si>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</si>
  <si>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</si>
  <si>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</si>
  <si>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</si>
  <si>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</si>
  <si>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</si>
  <si>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</si>
  <si>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</si>
  <si>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</si>
  <si>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</si>
  <si>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</si>
  <si>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</si>
  <si>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</si>
  <si>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</si>
  <si>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</si>
  <si>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</si>
  <si>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</si>
  <si>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</si>
  <si>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</si>
  <si>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</si>
  <si>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</si>
  <si>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</si>
  <si>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</si>
  <si>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</si>
  <si>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</si>
  <si>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</si>
  <si>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</si>
  <si>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</si>
  <si>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</si>
  <si>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</si>
  <si>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</si>
  <si>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</si>
  <si>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</si>
  <si>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</si>
  <si>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</si>
  <si>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</si>
  <si>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</si>
  <si>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</si>
  <si>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</si>
  <si>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</si>
  <si>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</si>
  <si>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</si>
  <si>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</si>
  <si>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</si>
  <si>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</si>
  <si>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</si>
  <si>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</si>
  <si>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</si>
  <si>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</si>
  <si>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</si>
  <si>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</si>
  <si>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</si>
  <si>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</si>
  <si>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</si>
  <si>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</si>
  <si>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</si>
  <si>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</si>
  <si>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</si>
  <si>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</si>
  <si>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</si>
  <si>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</si>
  <si>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</si>
  <si>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</si>
  <si>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</si>
  <si>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</si>
  <si>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</si>
  <si>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</si>
  <si>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</si>
  <si>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</si>
  <si>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</si>
  <si>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</si>
  <si>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</si>
  <si>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</si>
  <si>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</si>
  <si>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</si>
  <si>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</si>
  <si>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</si>
  <si>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</si>
  <si>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</si>
  <si>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</si>
  <si>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</si>
  <si>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</si>
  <si>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</si>
  <si>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</si>
  <si>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</si>
  <si>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</si>
  <si>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</si>
  <si>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</si>
  <si>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</si>
  <si>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</si>
  <si>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</si>
  <si>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</si>
  <si>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</si>
  <si>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</si>
  <si>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</si>
  <si>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</si>
  <si>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</si>
  <si>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</si>
  <si>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</si>
  <si>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</si>
  <si>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</si>
  <si>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</si>
  <si>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</si>
  <si>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</si>
  <si>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</si>
  <si>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</si>
  <si>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</si>
  <si>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</si>
  <si>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</si>
  <si>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</si>
  <si>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</si>
  <si>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</si>
  <si>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</si>
  <si>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</si>
  <si>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</si>
  <si>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</si>
  <si>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</si>
  <si>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</si>
  <si>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</si>
  <si>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</si>
  <si>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</si>
  <si>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</si>
  <si>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</si>
  <si>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</si>
  <si>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</si>
  <si>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</si>
  <si>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</si>
  <si>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</si>
  <si>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</si>
  <si>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</si>
  <si>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</si>
  <si>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</si>
  <si>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</si>
  <si>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</si>
  <si>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</si>
  <si>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</si>
  <si>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</si>
  <si>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</si>
  <si>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</si>
  <si>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</si>
  <si>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</si>
  <si>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</si>
  <si>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</si>
  <si>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</si>
  <si>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</si>
  <si>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</si>
  <si>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</si>
  <si>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</si>
  <si>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</si>
  <si>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</si>
  <si>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</si>
  <si>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</si>
  <si>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</si>
  <si>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</si>
  <si>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</si>
  <si>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</si>
  <si>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</si>
  <si>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</si>
  <si>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</si>
  <si>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</si>
  <si>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</si>
  <si>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</si>
  <si>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</si>
  <si>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</si>
  <si>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</si>
  <si>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</si>
  <si>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</si>
  <si>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</si>
  <si>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</si>
  <si>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</si>
  <si>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</si>
  <si>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</si>
  <si>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</si>
  <si>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</si>
  <si>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</si>
  <si>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</si>
  <si>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</si>
  <si>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</si>
  <si>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</si>
  <si>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</si>
  <si>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</si>
  <si>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</si>
  <si>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</si>
  <si>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</si>
  <si>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</si>
  <si>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</si>
  <si>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</si>
  <si>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</si>
  <si>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</si>
  <si>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</si>
  <si>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</si>
  <si>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</si>
  <si>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</si>
  <si>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</si>
  <si>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</si>
  <si>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</si>
  <si>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</si>
  <si>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</si>
  <si>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</si>
  <si>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</si>
  <si>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</si>
  <si>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</si>
  <si>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</si>
  <si>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</si>
  <si>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</si>
  <si>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</si>
  <si>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</si>
  <si>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</si>
  <si>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</si>
  <si>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</si>
  <si>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</si>
  <si>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</si>
  <si>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</si>
  <si>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</si>
  <si>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</si>
  <si>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</si>
  <si>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</si>
  <si>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</si>
  <si>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</si>
  <si>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</si>
  <si>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</si>
  <si>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</si>
  <si>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</si>
  <si>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</si>
  <si>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</si>
  <si>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</si>
  <si>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</si>
  <si>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</si>
  <si>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</si>
  <si>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</si>
  <si>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</si>
  <si>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</si>
  <si>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</si>
  <si>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</si>
  <si>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</si>
  <si>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</si>
  <si>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</si>
  <si>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</si>
  <si>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</si>
  <si>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</si>
  <si>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</si>
  <si>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</si>
  <si>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</si>
  <si>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</si>
  <si>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</si>
  <si>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</si>
  <si>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</si>
  <si>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</si>
  <si>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</si>
  <si>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</si>
  <si>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</si>
  <si>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</si>
  <si>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</si>
  <si>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</si>
  <si>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</si>
  <si>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</si>
  <si>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</si>
  <si>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</si>
  <si>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</si>
  <si>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</si>
  <si>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</si>
  <si>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</si>
  <si>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</si>
  <si>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</si>
  <si>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</si>
  <si>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</si>
  <si>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</si>
  <si>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</si>
  <si>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</si>
  <si>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</si>
  <si>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</si>
  <si>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</si>
  <si>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</si>
  <si>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</si>
  <si>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</si>
  <si>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</si>
  <si>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</si>
  <si>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</si>
  <si>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</si>
  <si>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</si>
  <si>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</si>
  <si>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</si>
  <si>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</si>
  <si>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</si>
  <si>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</si>
  <si>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</si>
  <si>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</si>
  <si>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</si>
  <si>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</si>
  <si>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</si>
  <si>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</si>
  <si>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</si>
  <si>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</si>
  <si>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</si>
  <si>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</si>
  <si>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</si>
  <si>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</si>
  <si>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</si>
  <si>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</si>
  <si>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</si>
  <si>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</si>
  <si>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</si>
  <si>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</si>
  <si>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</si>
  <si>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</si>
  <si>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</si>
  <si>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</si>
  <si>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</si>
  <si>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</si>
  <si>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</si>
  <si>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</si>
  <si>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</si>
  <si>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</si>
  <si>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</si>
  <si>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</si>
  <si>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</si>
  <si>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</si>
  <si>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</si>
  <si>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</si>
  <si>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</si>
  <si>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</si>
  <si>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</si>
  <si>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</si>
  <si>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</si>
  <si>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</si>
  <si>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</si>
  <si>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</si>
  <si>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</si>
  <si>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</si>
  <si>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</si>
  <si>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</si>
  <si>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</si>
  <si>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</si>
  <si>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</si>
  <si>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</si>
  <si>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</si>
  <si>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</si>
  <si>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</si>
  <si>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</si>
  <si>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</si>
  <si>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</si>
  <si>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</si>
  <si>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</si>
  <si>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</si>
  <si>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</si>
  <si>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</si>
  <si>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</si>
  <si>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</si>
  <si>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</si>
  <si>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</si>
  <si>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</si>
  <si>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</si>
  <si>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</si>
  <si>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</si>
  <si>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</si>
  <si>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</si>
  <si>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</si>
  <si>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</si>
  <si>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</si>
  <si>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</si>
  <si>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</si>
  <si>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</si>
  <si>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</si>
  <si>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</si>
  <si>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</si>
  <si>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</si>
  <si>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</si>
  <si>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</si>
  <si>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</si>
  <si>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</si>
  <si>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</si>
  <si>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</si>
  <si>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</si>
  <si>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</si>
  <si>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</si>
  <si>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</si>
  <si>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</si>
  <si>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</si>
  <si>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</si>
  <si>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</si>
  <si>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</si>
  <si>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</si>
  <si>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</si>
  <si>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</si>
  <si>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</si>
  <si>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</si>
  <si>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</si>
  <si>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</si>
  <si>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</si>
  <si>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</si>
  <si>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</si>
  <si>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</si>
  <si>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</si>
  <si>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</si>
  <si>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</si>
  <si>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</si>
  <si>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</si>
  <si>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</si>
  <si>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</si>
  <si>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</si>
  <si>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</si>
  <si>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</si>
  <si>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</si>
  <si>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</si>
  <si>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</si>
  <si>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</si>
  <si>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</si>
  <si>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</si>
  <si>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</si>
  <si>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</si>
  <si>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</si>
  <si>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</si>
  <si>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</si>
  <si>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</si>
  <si>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</si>
  <si>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</si>
  <si>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</si>
  <si>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</si>
  <si>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</si>
  <si>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</si>
  <si>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</si>
  <si>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</si>
  <si>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</si>
  <si>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</si>
  <si>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</si>
  <si>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</si>
  <si>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</si>
  <si>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</si>
  <si>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</si>
  <si>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</si>
  <si>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</si>
  <si>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</si>
  <si>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</si>
  <si>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</si>
  <si>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</si>
  <si>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</si>
  <si>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</si>
  <si>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</si>
  <si>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</si>
  <si>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</si>
  <si>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</si>
  <si>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</si>
  <si>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</si>
  <si>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</si>
  <si>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</si>
  <si>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</si>
  <si>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</si>
  <si>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</si>
  <si>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</si>
  <si>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</si>
  <si>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</si>
  <si>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</si>
  <si>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</si>
  <si>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</si>
  <si>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</si>
  <si>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</si>
  <si>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</si>
  <si>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</si>
  <si>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</si>
  <si>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</si>
  <si>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</si>
  <si>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</si>
  <si>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</si>
  <si>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</si>
  <si>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</si>
  <si>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</si>
  <si>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</si>
  <si>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</si>
  <si>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</si>
  <si>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</si>
  <si>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</si>
  <si>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</si>
  <si>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</si>
  <si>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</si>
  <si>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</si>
  <si>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</si>
  <si>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</si>
  <si>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</si>
  <si>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</si>
  <si>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</si>
  <si>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</si>
  <si>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</si>
  <si>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</si>
  <si>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</si>
  <si>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</si>
  <si>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</si>
  <si>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</si>
  <si>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</si>
  <si>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</si>
  <si>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</si>
  <si>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</si>
  <si>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</si>
  <si>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</si>
  <si>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</si>
  <si>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</si>
  <si>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</si>
  <si>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</si>
  <si>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</si>
  <si>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</si>
  <si>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</si>
  <si>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</si>
  <si>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</si>
  <si>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</si>
  <si>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</si>
  <si>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</si>
  <si>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</si>
  <si>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</si>
  <si>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</si>
  <si>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</si>
  <si>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</si>
  <si>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</si>
  <si>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</si>
  <si>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</si>
  <si>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</si>
  <si>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</si>
  <si>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</si>
  <si>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</si>
  <si>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</si>
  <si>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</si>
  <si>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</si>
  <si>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</si>
  <si>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</si>
  <si>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</si>
  <si>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</si>
  <si>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</si>
  <si>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</si>
  <si>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</si>
  <si>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</si>
  <si>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</si>
  <si>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</si>
  <si>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</si>
  <si>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</si>
  <si>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</si>
  <si>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</si>
  <si>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</si>
  <si>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</si>
  <si>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</si>
  <si>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</si>
  <si>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</si>
  <si>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</si>
  <si>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</si>
  <si>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</si>
  <si>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</si>
  <si>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</si>
  <si>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</si>
  <si>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</si>
  <si>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</si>
  <si>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</si>
  <si>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</si>
  <si>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</si>
  <si>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</si>
  <si>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</si>
  <si>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</si>
  <si>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</si>
  <si>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</si>
  <si>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</si>
  <si>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</si>
  <si>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</si>
  <si>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</si>
  <si>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</si>
  <si>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</si>
  <si>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</si>
  <si>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</si>
  <si>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</si>
  <si>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</si>
  <si>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</si>
  <si>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</si>
  <si>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</si>
  <si>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</si>
  <si>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</si>
  <si>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</si>
  <si>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</si>
  <si>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</si>
  <si>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</si>
  <si>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</si>
  <si>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</si>
  <si>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</si>
  <si>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</si>
  <si>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</si>
  <si>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</si>
  <si>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</si>
  <si>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</si>
  <si>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</si>
  <si>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</si>
  <si>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</si>
  <si>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</si>
  <si>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</si>
  <si>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</si>
  <si>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</si>
  <si>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</si>
  <si>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</si>
  <si>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</si>
  <si>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</si>
  <si>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</si>
  <si>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</si>
  <si>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</si>
  <si>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</si>
  <si>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</si>
  <si>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</si>
  <si>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</si>
  <si>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</si>
  <si>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</si>
  <si>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</si>
  <si>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</si>
  <si>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</si>
  <si>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</si>
  <si>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</si>
  <si>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</si>
  <si>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</si>
  <si>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</si>
  <si>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</si>
  <si>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</si>
  <si>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</si>
  <si>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</si>
  <si>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</si>
  <si>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</si>
  <si>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</si>
  <si>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</si>
  <si>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</si>
  <si>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</si>
  <si>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</si>
  <si>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</si>
  <si>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</si>
  <si>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</si>
  <si>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</si>
  <si>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</si>
  <si>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</si>
  <si>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</si>
  <si>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</si>
  <si>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</si>
  <si>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</si>
  <si>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</si>
  <si>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</si>
  <si>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</si>
  <si>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</si>
  <si>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</si>
  <si>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</si>
  <si>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</si>
  <si>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</si>
  <si>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</si>
  <si>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</si>
  <si>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</si>
  <si>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</si>
  <si>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</si>
  <si>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</si>
  <si>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</si>
  <si>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</si>
  <si>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</si>
  <si>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</si>
  <si>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</si>
  <si>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</si>
  <si>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</si>
  <si>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</si>
  <si>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</si>
  <si>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</si>
  <si>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</si>
  <si>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</si>
  <si>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</si>
  <si>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</si>
  <si>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</si>
  <si>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</si>
  <si>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</si>
  <si>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</si>
  <si>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</si>
  <si>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</si>
  <si>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</si>
  <si>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</si>
  <si>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</si>
  <si>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</si>
  <si>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</si>
  <si>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</si>
  <si>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</si>
  <si>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</si>
  <si>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</si>
  <si>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</si>
  <si>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</si>
  <si>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</si>
  <si>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</si>
  <si>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</si>
  <si>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</si>
  <si>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</si>
  <si>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</si>
  <si>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</si>
  <si>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</si>
  <si>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</si>
  <si>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</si>
  <si>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</si>
  <si>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</si>
  <si>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</si>
  <si>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</si>
  <si>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</si>
  <si>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</si>
  <si>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</si>
  <si>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</si>
  <si>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</si>
  <si>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</si>
  <si>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</si>
  <si>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</si>
  <si>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</si>
  <si>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</si>
  <si>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</si>
  <si>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</si>
  <si>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</si>
  <si>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</si>
  <si>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</si>
  <si>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</si>
  <si>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2026-03-17 16:34  [suspect veh]</t>
  </si>
  <si>
    <t>2026-03-31 00:56  [Drug Investigation]</t>
  </si>
  <si>
    <t>2026-04-01 18:51  [no reason logged]</t>
  </si>
  <si>
    <t>2026-04-02 01:52  [273.6pc suspect]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</si>
  <si>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</si>
  <si>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</si>
  <si>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</si>
  <si>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</si>
  <si>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</si>
  <si>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</si>
  <si>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</si>
  <si>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</si>
  <si>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</si>
  <si>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</si>
  <si>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</si>
  <si>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</si>
  <si>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</si>
  <si>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</si>
  <si>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</si>
  <si>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</si>
  <si>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</si>
  <si>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</si>
  <si>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</si>
  <si>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</si>
  <si>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</si>
  <si>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</si>
  <si>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</si>
  <si>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</si>
  <si>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</si>
  <si>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</si>
  <si>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</si>
  <si>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</si>
  <si>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</si>
  <si>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</si>
  <si>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</si>
  <si>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</si>
  <si>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</si>
  <si>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</si>
  <si>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</si>
  <si>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</si>
  <si>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</si>
  <si>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</si>
  <si>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</si>
  <si>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</si>
  <si>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</si>
  <si>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</si>
  <si>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</si>
  <si>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</si>
  <si>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</si>
  <si>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</si>
  <si>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</si>
  <si>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</si>
  <si>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</si>
  <si>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</si>
  <si>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</si>
  <si>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</si>
  <si>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</si>
  <si>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</si>
  <si>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</si>
  <si>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</si>
  <si>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</si>
  <si>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</si>
  <si>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</si>
  <si>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</si>
  <si>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</si>
  <si>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</si>
  <si>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</si>
  <si>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</si>
  <si>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</si>
  <si>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</si>
  <si>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</si>
  <si>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</si>
  <si>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</si>
  <si>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</si>
  <si>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</si>
  <si>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</si>
  <si>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</si>
  <si>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</si>
  <si>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</si>
  <si>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</si>
  <si>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</si>
  <si>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</si>
  <si>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</si>
  <si>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</si>
  <si>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</si>
  <si>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</si>
  <si>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</si>
  <si>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</si>
  <si>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</si>
  <si>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</si>
  <si>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</si>
  <si>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</si>
  <si>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</si>
  <si>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</si>
  <si>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</si>
  <si>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</si>
  <si>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</si>
  <si>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</si>
  <si>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</si>
  <si>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</si>
  <si>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</si>
  <si>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</si>
  <si>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</si>
  <si>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</si>
  <si>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</si>
  <si>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</si>
  <si>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</si>
  <si>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</si>
  <si>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</si>
  <si>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</si>
  <si>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</si>
  <si>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</si>
  <si>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</si>
  <si>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</si>
  <si>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</si>
  <si>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</si>
  <si>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</si>
  <si>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</si>
  <si>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</si>
  <si>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</si>
  <si>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</si>
  <si>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</si>
  <si>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</si>
  <si>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</si>
  <si>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</si>
  <si>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</si>
  <si>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</si>
  <si>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</si>
  <si>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</si>
  <si>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</si>
  <si>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</si>
  <si>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</si>
  <si>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</si>
  <si>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</si>
  <si>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</si>
  <si>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</si>
  <si>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</si>
  <si>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</si>
  <si>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</si>
  <si>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</si>
  <si>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</si>
  <si>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</si>
  <si>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</si>
  <si>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</si>
  <si>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</si>
  <si>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</si>
  <si>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</si>
  <si>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</si>
  <si>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</si>
  <si>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</si>
  <si>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</si>
  <si>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</si>
  <si>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</si>
  <si>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</si>
  <si>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</si>
  <si>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</si>
  <si>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</si>
  <si>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</si>
  <si>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</si>
  <si>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</si>
  <si>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</si>
  <si>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</si>
  <si>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</si>
  <si>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</si>
  <si>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</si>
  <si>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</si>
  <si>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</si>
  <si>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</si>
  <si>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</si>
  <si>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</si>
  <si>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</si>
  <si>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</si>
  <si>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</si>
  <si>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</si>
  <si>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</si>
  <si>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</si>
  <si>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</si>
  <si>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</si>
  <si>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</si>
  <si>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</si>
  <si>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</si>
  <si>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</si>
  <si>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</si>
  <si>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</si>
  <si>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</si>
  <si>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</si>
  <si>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</si>
  <si>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</si>
  <si>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</si>
  <si>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</si>
  <si>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</si>
  <si>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</si>
  <si>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</si>
  <si>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</si>
  <si>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</si>
  <si>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</si>
  <si>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</si>
  <si>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</si>
  <si>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</si>
  <si>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</si>
  <si>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</si>
  <si>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</si>
  <si>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</si>
  <si>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</si>
  <si>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</si>
  <si>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</si>
  <si>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</si>
  <si>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</si>
  <si>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</si>
  <si>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</si>
  <si>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</si>
  <si>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</si>
  <si>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</si>
  <si>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</si>
  <si>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</si>
  <si>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</si>
  <si>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</si>
  <si>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</si>
  <si>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</si>
  <si>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</si>
  <si>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</si>
  <si>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</si>
  <si>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</si>
  <si>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</si>
  <si>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</si>
  <si>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</si>
  <si>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</si>
  <si>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</si>
  <si>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</si>
  <si>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</si>
  <si>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</si>
  <si>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</si>
  <si>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</si>
  <si>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</si>
  <si>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</si>
  <si>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</si>
  <si>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</si>
  <si>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</si>
  <si>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</si>
  <si>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</si>
  <si>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</si>
  <si>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</si>
  <si>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</si>
  <si>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</si>
  <si>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</si>
  <si>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</si>
  <si>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</si>
  <si>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</si>
  <si>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</si>
  <si>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</si>
  <si>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</si>
  <si>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</si>
  <si>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</si>
  <si>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</si>
  <si>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</si>
  <si>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</si>
  <si>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</si>
  <si>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</si>
  <si>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</si>
  <si>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</si>
  <si>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</si>
  <si>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</si>
  <si>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</si>
  <si>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</si>
  <si>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</si>
  <si>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</si>
  <si>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</si>
  <si>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</si>
  <si>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</si>
  <si>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</si>
  <si>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</si>
  <si>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</si>
  <si>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</si>
  <si>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</si>
  <si>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</si>
  <si>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</si>
  <si>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</si>
  <si>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</si>
  <si>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</si>
  <si>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</si>
  <si>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</si>
  <si>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</si>
  <si>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</si>
  <si>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</si>
  <si>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</si>
  <si>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</si>
  <si>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</si>
  <si>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</si>
  <si>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</si>
  <si>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</si>
  <si>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</si>
  <si>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</si>
  <si>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</si>
  <si>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</si>
  <si>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</si>
  <si>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</si>
  <si>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</si>
  <si>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</si>
  <si>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</si>
  <si>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</si>
  <si>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</si>
  <si>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</si>
  <si>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</si>
  <si>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</si>
  <si>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</si>
  <si>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</si>
  <si>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</si>
  <si>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</si>
  <si>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</si>
  <si>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</si>
  <si>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</si>
  <si>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</si>
  <si>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</si>
  <si>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</si>
  <si>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</si>
  <si>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</si>
  <si>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</si>
  <si>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</si>
  <si>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</si>
  <si>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</si>
  <si>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</si>
  <si>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</si>
  <si>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</si>
  <si>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</si>
  <si>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</si>
  <si>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</si>
  <si>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</si>
  <si>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</si>
  <si>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</si>
  <si>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</si>
  <si>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</si>
  <si>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</si>
  <si>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</si>
  <si>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</si>
  <si>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</si>
  <si>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</si>
  <si>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</si>
  <si>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</si>
  <si>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</si>
  <si>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</si>
  <si>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</si>
  <si>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</si>
  <si>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</si>
  <si>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</si>
  <si>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</si>
  <si>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</si>
  <si>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</si>
  <si>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</si>
  <si>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</si>
  <si>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</si>
  <si>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</si>
  <si>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</si>
  <si>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</si>
  <si>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</si>
  <si>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</si>
  <si>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</si>
  <si>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</si>
  <si>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</si>
  <si>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</si>
  <si>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</si>
  <si>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</si>
  <si>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</si>
  <si>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</si>
  <si>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</si>
  <si>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</si>
  <si>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</si>
  <si>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</si>
  <si>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</si>
  <si>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</si>
  <si>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</si>
  <si>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</si>
  <si>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</si>
  <si>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</si>
  <si>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</si>
  <si>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</si>
  <si>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</si>
  <si>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</si>
  <si>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</si>
  <si>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</si>
  <si>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</si>
  <si>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</si>
  <si>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</si>
  <si>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</si>
  <si>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</si>
  <si>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</si>
  <si>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</si>
  <si>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</si>
  <si>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</si>
  <si>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</si>
  <si>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</si>
  <si>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</si>
  <si>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</si>
  <si>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</si>
  <si>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</si>
  <si>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</si>
  <si>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</si>
  <si>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</si>
  <si>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</si>
  <si>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</si>
  <si>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</si>
  <si>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</si>
  <si>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</si>
  <si>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</si>
  <si>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</si>
  <si>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</si>
  <si>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</si>
  <si>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</si>
  <si>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</si>
  <si>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</si>
  <si>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</si>
  <si>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</si>
  <si>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</si>
  <si>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</si>
  <si>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</si>
  <si>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</si>
  <si>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</si>
  <si>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</si>
  <si>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</si>
  <si>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</si>
  <si>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</si>
  <si>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</si>
  <si>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</si>
  <si>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</si>
  <si>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</si>
  <si>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</si>
  <si>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</si>
  <si>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</si>
  <si>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</si>
  <si>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</si>
  <si>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</si>
  <si>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</si>
  <si>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</si>
  <si>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</si>
  <si>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</si>
  <si>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</si>
  <si>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</si>
  <si>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</si>
  <si>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</si>
  <si>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</si>
  <si>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</si>
  <si>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</si>
  <si>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</si>
  <si>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</si>
  <si>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</si>
  <si>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</si>
  <si>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</si>
  <si>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</si>
  <si>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</si>
  <si>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</si>
  <si>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</si>
  <si>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</si>
  <si>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</si>
  <si>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</si>
  <si>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</si>
  <si>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</si>
  <si>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</si>
  <si>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</si>
  <si>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</si>
  <si>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</si>
  <si>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</si>
  <si>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</si>
  <si>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</si>
  <si>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</si>
  <si>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</si>
  <si>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</si>
  <si>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</si>
  <si>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</si>
  <si>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</si>
  <si>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</si>
  <si>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</si>
  <si>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</si>
  <si>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</si>
  <si>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</si>
  <si>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</si>
  <si>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</si>
  <si>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</si>
  <si>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</si>
  <si>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</si>
  <si>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</si>
  <si>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</si>
  <si>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</si>
  <si>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</si>
  <si>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</si>
  <si>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</si>
  <si>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</si>
  <si>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</si>
  <si>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</si>
  <si>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</si>
  <si>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</si>
  <si>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</si>
  <si>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</si>
  <si>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</si>
  <si>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</si>
  <si>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</si>
  <si>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</si>
  <si>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</si>
  <si>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</si>
  <si>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</si>
  <si>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</si>
  <si>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</si>
  <si>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</si>
  <si>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</si>
  <si>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</si>
  <si>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</si>
  <si>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</si>
  <si>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</si>
  <si>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</si>
  <si>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</si>
  <si>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</si>
  <si>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</si>
  <si>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</si>
  <si>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</si>
  <si>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</si>
  <si>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</si>
  <si>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</si>
  <si>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</si>
  <si>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</si>
  <si>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</si>
  <si>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</si>
  <si>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</si>
  <si>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</si>
  <si>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</si>
  <si>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</si>
  <si>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</si>
  <si>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</si>
  <si>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</si>
  <si>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</si>
  <si>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</si>
  <si>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</si>
  <si>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</si>
  <si>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</si>
  <si>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</si>
  <si>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</si>
  <si>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</si>
  <si>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</si>
  <si>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</si>
  <si>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</si>
  <si>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</si>
  <si>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</si>
  <si>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</si>
  <si>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</si>
  <si>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</si>
  <si>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</si>
  <si>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</si>
  <si>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</si>
  <si>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</si>
  <si>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</si>
  <si>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</si>
  <si>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</si>
  <si>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</si>
  <si>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</si>
  <si>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</si>
  <si>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</si>
  <si>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</si>
  <si>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</si>
  <si>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</si>
  <si>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</si>
  <si>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</si>
  <si>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</si>
  <si>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</si>
  <si>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</si>
  <si>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</si>
  <si>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</si>
  <si>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</si>
  <si>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</si>
  <si>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</si>
  <si>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</si>
  <si>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</si>
  <si>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</si>
  <si>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</si>
  <si>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</si>
  <si>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</si>
  <si>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</si>
  <si>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</si>
  <si>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</si>
  <si>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</si>
  <si>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</si>
  <si>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</si>
  <si>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</si>
  <si>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</si>
  <si>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</si>
  <si>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</si>
  <si>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</si>
  <si>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</si>
  <si>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</si>
  <si>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</si>
  <si>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</si>
  <si>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</si>
  <si>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</si>
  <si>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</si>
  <si>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</si>
  <si>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</si>
  <si>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</si>
  <si>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</si>
  <si>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</si>
  <si>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</si>
  <si>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</si>
  <si>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</si>
  <si>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</si>
  <si>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</si>
  <si>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</si>
  <si>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</si>
  <si>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</si>
  <si>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</si>
  <si>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Headline KPIs</t>
  </si>
  <si>
    <t>Searches with Reason</t>
  </si>
  <si>
    <t>Blank Reason Count</t>
  </si>
  <si>
    <t>19e2cdd3-ee61-4080-886b-ed3654ea1173</t>
  </si>
  <si>
    <t>17d5d56c-2e36-4577-9177-9429004af967</t>
  </si>
  <si>
    <t>003ba2ec-0d15-4b52-aee6-a407afa2a8a4</t>
  </si>
  <si>
    <t>4fea391d-d2af-41db-a7f1-0094d9101580</t>
  </si>
  <si>
    <t>c371e252-e8f8-4565-91ac-9ef5afc2644d</t>
  </si>
  <si>
    <t>a8bd1bbf-fb50-40ba-9aa4-1492bb37a3a9</t>
  </si>
  <si>
    <t>356de267-f063-4ed6-93fc-6a9e587945eb</t>
  </si>
  <si>
    <t>41d7ed8b-4c67-4e99-b5c3-616b22739916</t>
  </si>
  <si>
    <t>ef532c3d-1785-4cb9-9593-b18ab1ee5bff</t>
  </si>
  <si>
    <t>273a(b)PC</t>
  </si>
  <si>
    <t>a5c4159f-86e9-4040-bc46-e66dc7e8354d</t>
  </si>
  <si>
    <t>4e548e3c-0bed-45d7-a640-d399fe0c3050</t>
  </si>
  <si>
    <t>1bcb5b03-0b87-478c-baf9-076654d761bd</t>
  </si>
  <si>
    <t>domestic violence susp</t>
  </si>
  <si>
    <t>b98a1185-4af1-4bb5-9d6e-4356e7723138</t>
  </si>
  <si>
    <t>905abd92-b433-443d-945c-3fe7d7fe6dd9</t>
  </si>
  <si>
    <t>a55c9a86-f4e6-4151-bc67-4242932f0d41</t>
  </si>
  <si>
    <t>e2c23722-081d-4f4b-abe4-f17c2e360fc9</t>
  </si>
  <si>
    <t>ba5e57bc-32d8-448f-9964-c57f95c33f68</t>
  </si>
  <si>
    <t>a3b3439e-dd6e-4f77-81fa-8200c8d9ff21</t>
  </si>
  <si>
    <t>b0eb6d53-7997-45b4-b1f2-0982c000124d</t>
  </si>
  <si>
    <t>61fc7184-2c58-4bcf-888d-d21d11ff04be</t>
  </si>
  <si>
    <t>a93de6b7-69e0-4b23-928f-a8847a623900</t>
  </si>
  <si>
    <t>f30ba2b6-e846-4ace-bcc2-b7d84c0aae36</t>
  </si>
  <si>
    <t>2bdeec4d-aa47-4bfd-a90a-20e165585ab3</t>
  </si>
  <si>
    <t>836b58fa-3c3c-4450-9a81-c7aaf5530ef7</t>
  </si>
  <si>
    <t>07c49b23-3299-4eca-86a1-fd9eea8daa3d</t>
  </si>
  <si>
    <t>74542c05-d906-4447-91cf-4a0d448af607</t>
  </si>
  <si>
    <t>62a16dca-1f6f-49b9-b8b1-744e5952fd8e</t>
  </si>
  <si>
    <t>8e28abe7-f0ec-4f90-bfed-c3485e226f91</t>
  </si>
  <si>
    <t>b7912ab8-d15e-4451-b990-a0c54e90b342</t>
  </si>
  <si>
    <t>86433db1-c9d6-4876-983e-00c50a4f38c6</t>
  </si>
  <si>
    <t>RECKLESS</t>
  </si>
  <si>
    <t>03be638f-4921-4a64-90f9-1b7655e339e2</t>
  </si>
  <si>
    <t>64af5e9c-a57c-4837-b885-6b2057a6c8a7</t>
  </si>
  <si>
    <t>dead0904-2c4d-4ef0-85db-3b75864a89c2</t>
  </si>
  <si>
    <t>8d06d023-f41c-4cf6-863e-10795bf04c1c</t>
  </si>
  <si>
    <t>865ff351-0922-4907-b46e-addbedab3dae</t>
  </si>
  <si>
    <t>1e43a5ab-e571-4e20-b1c8-a75e1d64ca17</t>
  </si>
  <si>
    <t>7vnh893</t>
  </si>
  <si>
    <t>e3f98439-bf00-4039-94a2-ff99cf7bc0e0</t>
  </si>
  <si>
    <t>273.5 pc suspect</t>
  </si>
  <si>
    <t>5395d1f9-f6e4-402e-a232-07f6030a978d</t>
  </si>
  <si>
    <t>ac75668f-e2ba-44f0-9b85-85674f5873fc</t>
  </si>
  <si>
    <t>68c3c80e-fb37-48b9-88d6-02b2d27482ad</t>
  </si>
  <si>
    <t>b66b2d09-6c4d-4178-bdba-e0c44e906a54</t>
  </si>
  <si>
    <t>c3f2b1a0-a160-4533-afb9-9e0d8537aaf4</t>
  </si>
  <si>
    <t>Druginvestigation</t>
  </si>
  <si>
    <t>e92b7619-0590-489e-bdff-472ddad78219</t>
  </si>
  <si>
    <t>SUTTER CO SUSPECT IN AREA</t>
  </si>
  <si>
    <t>d0530bc2-b024-45e9-96b5-ed08d4fe1a23</t>
  </si>
  <si>
    <t>c887f4e4-f60f-4132-8731-bf80a8cd3906</t>
  </si>
  <si>
    <t>11947232-0781-4b88-89d4-0669a98cd2a9</t>
  </si>
  <si>
    <t>SUTTER CO RAMEY WARRANT IN AREA</t>
  </si>
  <si>
    <t>0c5b8904-fe10-4998-b479-33e3b863f0e3</t>
  </si>
  <si>
    <t>3d635db9-e42e-43c4-8103-ef1598678aa5</t>
  </si>
  <si>
    <t>2a0723a9-65b8-4425-9640-29747664b7f4</t>
  </si>
  <si>
    <t>Warrant service</t>
  </si>
  <si>
    <t>f8345135-9554-4597-9ac9-42b88076bce6</t>
  </si>
  <si>
    <t>28c75e2c-53b1-4de0-ae65-279b533a8c0d</t>
  </si>
  <si>
    <t>594PC</t>
  </si>
  <si>
    <t>73ad0d44-d0d7-4ae8-976a-6c5e97d652a1</t>
  </si>
  <si>
    <t>594 SUSPECT</t>
  </si>
  <si>
    <t>765363ae-a855-49db-9d33-62419dc05d8d</t>
  </si>
  <si>
    <t>4530d32c-1d6d-4b20-b9a4-a293c8e1f3fc</t>
  </si>
  <si>
    <t>263e85d7-9309-4917-a1b7-a7aa3ab63193</t>
  </si>
  <si>
    <t>9593be95-879d-4bf5-afbe-fe6bc8ecb8bd</t>
  </si>
  <si>
    <t>5b207aef-b4ce-4675-9903-3a4b3ce00df8</t>
  </si>
  <si>
    <t>e60023d9-8a3b-44f3-9ed2-cc3b3a1fe829</t>
  </si>
  <si>
    <t>d248c7fd-513b-481b-85aa-c1fdd6fb5e27</t>
  </si>
  <si>
    <t>e1c5bfc8-bdc3-48d2-bf1f-d8358a8b68a0</t>
  </si>
  <si>
    <t>4abfae8a-6740-42c3-86a3-b6b93448419b</t>
  </si>
  <si>
    <t>0a658f26-bbd4-4ed9-a9f7-5af4f4590957</t>
  </si>
  <si>
    <t>d9da8e6b-601c-47cb-9af2-c49bdba35363</t>
  </si>
  <si>
    <t>d1ac4ae8-de94-4a37-a908-50e87a9375df</t>
  </si>
  <si>
    <t>BURG SUSPECT</t>
  </si>
  <si>
    <t>1c4d6303-d76e-4257-9d04-776788f79e57</t>
  </si>
  <si>
    <t>794c0a5f-e8dc-47d4-8715-beeb840e24fc</t>
  </si>
  <si>
    <t>f861e09b-1c5b-46a6-bc9f-72c879e8da61</t>
  </si>
  <si>
    <t>8f22bcae-a5f1-4e62-af86-c7db1ea14aa2</t>
  </si>
  <si>
    <t>0b904600-c49d-4a92-a014-8cea426d9dc2</t>
  </si>
  <si>
    <t>af8eec3f-95f2-4d8e-89df-9446b256f774</t>
  </si>
  <si>
    <t>67f7dcf6-3fda-45d5-90d8-02ecb19766b7</t>
  </si>
  <si>
    <t>ff77baa9-4b66-4e02-a633-5e824482bc85</t>
  </si>
  <si>
    <t>5fdc53e2-c108-4690-ae0b-b2ac02abeba9</t>
  </si>
  <si>
    <t>1e5d8573-36ba-4ec4-bf86-132ec01d861f</t>
  </si>
  <si>
    <t>7f3cfd6f-ea60-4511-8ab0-790791fb644d</t>
  </si>
  <si>
    <t>5222167e-8ff0-4b3d-b3ce-bd74122f43b0</t>
  </si>
  <si>
    <t>b0454fe2-23eb-4481-9a0d-11405ccf5c5d</t>
  </si>
  <si>
    <t>unknown reason</t>
  </si>
  <si>
    <t>181dd89e-46b6-49d0-a585-3276e65be37e</t>
  </si>
  <si>
    <t>6c823e48-f3d0-42de-ae69-4f49576dd6f5</t>
  </si>
  <si>
    <t>ad8cdbcf-0d41-468c-8c69-b7d360b371dd</t>
  </si>
  <si>
    <t>0d3cb786-05bd-4781-989f-e18175ea465c</t>
  </si>
  <si>
    <t>64a984b3-17be-4c2f-9acd-632e354d1842</t>
  </si>
  <si>
    <t>41bdbe4d-9142-4d6f-bcd1-478ac48e8084</t>
  </si>
  <si>
    <t>8f25665e-0729-4c81-b4cc-874c7b3e0ac4</t>
  </si>
  <si>
    <t>725112d0-9128-4a7d-96de-8569292e7ace</t>
  </si>
  <si>
    <t>6d7c7216-fd62-4987-a40a-097fe051cb52</t>
  </si>
  <si>
    <t>9fdc949b-897b-4e55-ba0e-5fdab6f81206</t>
  </si>
  <si>
    <t>80230dc5-e88f-4889-8170-03e9878c09ef</t>
  </si>
  <si>
    <t>fba8bb62-ede5-4a23-ad8b-bc80c49abec1</t>
  </si>
  <si>
    <t>c48db57d-2f9c-443d-9f16-dde47cbde301</t>
  </si>
  <si>
    <t>d21ec3d2-c5a0-423d-be4d-cfaddaaf2b9c</t>
  </si>
  <si>
    <t>1384c3c8-7aea-414d-b677-518bfd44acc3</t>
  </si>
  <si>
    <t>323a7e84-8b1d-4715-b938-702dad56fa29</t>
  </si>
  <si>
    <t>c03e21c5-2088-40d9-b5f5-d3780e705d9e</t>
  </si>
  <si>
    <t>susp vehicle</t>
  </si>
  <si>
    <t>50ee9e10-5384-4f02-8b9b-ba9a6eadd5e3</t>
  </si>
  <si>
    <t>2543017b-2cda-4aa7-a925-ffa214cb9f62</t>
  </si>
  <si>
    <t>warrant-associated vehicle drive all time</t>
  </si>
  <si>
    <t>9ff9818a-a2d1-4ce3-93ad-42b1e2db8a61</t>
  </si>
  <si>
    <t>de043f04-077b-45c8-9b9f-253e64c6e0fc</t>
  </si>
  <si>
    <t>166(a)(4)PC suspect</t>
  </si>
  <si>
    <t>f407607c-3d19-45b8-9dc7-ee9117d0ec54</t>
  </si>
  <si>
    <t>6f0cd025-2cf8-429f-9407-bd23d67395f6</t>
  </si>
  <si>
    <t>11973c7c-84bd-4eca-a318-cefbdfe615fd</t>
  </si>
  <si>
    <t>0116dd6f-6eef-4ee9-8f7f-6dbb67d7f85d</t>
  </si>
  <si>
    <t>f25538f0-28c5-44cb-bfdf-9870bfeb3d7b</t>
  </si>
  <si>
    <t>6ee93118-c39a-445f-95d5-299c4e7876af</t>
  </si>
  <si>
    <t>7d08c80d-4ddd-448a-b5c9-d6f591de2249</t>
  </si>
  <si>
    <t>e52ed9d6-41e8-4268-9f03-33470263f31d</t>
  </si>
  <si>
    <t>6084edc8-8fbd-4266-9dd4-65ab06653426</t>
  </si>
  <si>
    <t>warrant suspect daily use veh</t>
  </si>
  <si>
    <t>f4bd99c5-4c56-415b-a3c9-eba4c4539bea</t>
  </si>
  <si>
    <t>6eb42081-eff4-4a80-8b94-a9addbd6cdef</t>
  </si>
  <si>
    <t>426b2c87-157e-49b2-a2a7-9d81de15e6c3</t>
  </si>
  <si>
    <t>cd760a5e-0338-436c-a3c5-e172d1af70f3</t>
  </si>
  <si>
    <t>veh associated to res for warrant suspect-rocole</t>
  </si>
  <si>
    <t>f55c3eb9-4fe9-4b4c-8998-d60d335431d1</t>
  </si>
  <si>
    <t>Has Reason Total</t>
  </si>
  <si>
    <t>Blank Reason Total</t>
  </si>
  <si>
    <t>Avg % Blank Reason</t>
  </si>
  <si>
    <t>Searches by Hour Chart</t>
  </si>
  <si>
    <t>Reason Pie Chart</t>
  </si>
  <si>
    <t>Late Night Searches (10pm-5am)</t>
  </si>
  <si>
    <t>Late Night % of Total</t>
  </si>
  <si>
    <t>Late Night Blank %</t>
  </si>
  <si>
    <t>Blank Reason % by Hour</t>
  </si>
  <si>
    <t>8712bbe5-4c45-4b38-9f21-de01eb855fc6</t>
  </si>
  <si>
    <t>109a2b21-f9a3-4687-81f0-56e91f666740</t>
  </si>
  <si>
    <t>5275d740-4e6c-4fed-bb67-2f7304ad78c3</t>
  </si>
  <si>
    <t>c8e8cf27-a826-4699-9c8b-0f3e4a593955</t>
  </si>
  <si>
    <t>1c399ccd-bbe8-41f6-b759-e575e10f3319</t>
  </si>
  <si>
    <t>73db1b34-f811-4309-972b-919528b50bcd</t>
  </si>
  <si>
    <t>c8d2457d-8cf7-46d6-ae17-350a7449205a</t>
  </si>
  <si>
    <t>871d27e3-2bcf-4d79-a095-5bb86fe53544</t>
  </si>
  <si>
    <t>7f9c6833-91f3-4af2-9d6b-b61814f078ad</t>
  </si>
  <si>
    <t>0251d794-6e32-43c9-ad4f-83d2f7b0b9ba</t>
  </si>
  <si>
    <t>6d7438fa-1d52-4e68-92af-4450478b1279</t>
  </si>
  <si>
    <t>10a6f8da-ab14-40d5-b5c7-aacea0d605ef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</si>
</sst>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8" fillId="0" borderId="0" xfId="0" applyFont="1" applyAlignment="1">
      <alignment horizontal="center"/>
    </xf>
    <xf numFmtId="0" fontId="0" fillId="0" borderId="0" xfId="0" applyNumberFormat="1"/>
    <xf numFmtId="9" fontId="5" fillId="0" borderId="0" xfId="1" applyFont="1"/>
  </cellXfs>
  <cellStyles count="2">
    <cellStyle name="Normal" xfId="0" builtinId="0"/>
    <cellStyle name="Percent" xfId="1" builtinId="5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71</c:v>
                </c:pt>
                <c:pt idx="1">
                  <c:v>104</c:v>
                </c:pt>
                <c:pt idx="2">
                  <c:v>123</c:v>
                </c:pt>
                <c:pt idx="3">
                  <c:v>150</c:v>
                </c:pt>
                <c:pt idx="4">
                  <c:v>151</c:v>
                </c:pt>
                <c:pt idx="5">
                  <c:v>115</c:v>
                </c:pt>
                <c:pt idx="6">
                  <c:v>116</c:v>
                </c:pt>
                <c:pt idx="7">
                  <c:v>139</c:v>
                </c:pt>
                <c:pt idx="8">
                  <c:v>129</c:v>
                </c:pt>
                <c:pt idx="9">
                  <c:v>106</c:v>
                </c:pt>
                <c:pt idx="10">
                  <c:v>112</c:v>
                </c:pt>
                <c:pt idx="11">
                  <c:v>68</c:v>
                </c:pt>
                <c:pt idx="12">
                  <c:v>76</c:v>
                </c:pt>
                <c:pt idx="13">
                  <c:v>75</c:v>
                </c:pt>
                <c:pt idx="14">
                  <c:v>79</c:v>
                </c:pt>
                <c:pt idx="15">
                  <c:v>66</c:v>
                </c:pt>
                <c:pt idx="16">
                  <c:v>35</c:v>
                </c:pt>
                <c:pt idx="17">
                  <c:v>34</c:v>
                </c:pt>
                <c:pt idx="18">
                  <c:v>28</c:v>
                </c:pt>
                <c:pt idx="19">
                  <c:v>24</c:v>
                </c:pt>
                <c:pt idx="20">
                  <c:v>20</c:v>
                </c:pt>
                <c:pt idx="21">
                  <c:v>17</c:v>
                </c:pt>
                <c:pt idx="22">
                  <c:v>22</c:v>
                </c:pt>
                <c:pt idx="2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8-2C44-B48F-624CC8253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Total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72859775506785"/>
          <c:y val="6.7043954688431565E-2"/>
          <c:w val="0.56120567375886521"/>
          <c:h val="0.72312010443864227"/>
        </c:manualLayout>
      </c:layout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468-CA41-96C8-1E5171216F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468-CA41-96C8-1E5171216F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468-CA41-96C8-1E5171216F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468-CA41-96C8-1E5171216F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468-CA41-96C8-1E5171216FC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468-CA41-96C8-1E5171216FC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468-CA41-96C8-1E5171216FC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468-CA41-96C8-1E5171216FC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468-CA41-96C8-1E5171216FC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468-CA41-96C8-1E5171216FC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468-CA41-96C8-1E5171216FC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468-CA41-96C8-1E5171216FC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468-CA41-96C8-1E5171216FCA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468-CA41-96C8-1E5171216FCA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468-CA41-96C8-1E5171216FCA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468-CA41-96C8-1E5171216FCA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468-CA41-96C8-1E5171216FCA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468-CA41-96C8-1E5171216FCA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468-CA41-96C8-1E5171216FCA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468-CA41-96C8-1E5171216FCA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468-CA41-96C8-1E5171216FCA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468-CA41-96C8-1E5171216FCA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468-CA41-96C8-1E5171216FCA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468-CA41-96C8-1E5171216FCA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468-CA41-96C8-1E5171216FCA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468-CA41-96C8-1E5171216FCA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468-CA41-96C8-1E5171216FCA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468-CA41-96C8-1E5171216FCA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468-CA41-96C8-1E5171216FCA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468-CA41-96C8-1E5171216FCA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468-CA41-96C8-1E5171216FCA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468-CA41-96C8-1E5171216FCA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468-CA41-96C8-1E5171216FCA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468-CA41-96C8-1E5171216FCA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468-CA41-96C8-1E5171216FCA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468-CA41-96C8-1E5171216FCA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468-CA41-96C8-1E5171216FCA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468-CA41-96C8-1E5171216FCA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468-CA41-96C8-1E5171216FCA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468-CA41-96C8-1E5171216FCA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468-CA41-96C8-1E5171216FCA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468-CA41-96C8-1E5171216FCA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468-CA41-96C8-1E5171216FCA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468-CA41-96C8-1E5171216FCA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468-CA41-96C8-1E5171216FCA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468-CA41-96C8-1E5171216FCA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468-CA41-96C8-1E5171216FCA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468-CA41-96C8-1E5171216FCA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468-CA41-96C8-1E5171216FCA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468-CA41-96C8-1E5171216FCA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468-CA41-96C8-1E5171216FCA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468-CA41-96C8-1E5171216FCA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468-CA41-96C8-1E5171216FCA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468-CA41-96C8-1E5171216FCA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0468-CA41-96C8-1E5171216FCA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0468-CA41-96C8-1E5171216FCA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0468-CA41-96C8-1E5171216FCA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0468-CA41-96C8-1E5171216FCA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0468-CA41-96C8-1E5171216FCA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0468-CA41-96C8-1E5171216FCA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0468-CA41-96C8-1E5171216FCA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0468-CA41-96C8-1E5171216FCA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0468-CA41-96C8-1E5171216FCA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0468-CA41-96C8-1E5171216FCA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0468-CA41-96C8-1E5171216FCA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0468-CA41-96C8-1E5171216FCA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0468-CA41-96C8-1E5171216FCA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0468-CA41-96C8-1E5171216FCA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0468-CA41-96C8-1E5171216FCA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0468-CA41-96C8-1E5171216FCA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0468-CA41-96C8-1E5171216FCA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0468-CA41-96C8-1E5171216FCA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0468-CA41-96C8-1E5171216FCA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0468-CA41-96C8-1E5171216FCA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0468-CA41-96C8-1E5171216FCA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0468-CA41-96C8-1E5171216FCA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0468-CA41-96C8-1E5171216FCA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0468-CA41-96C8-1E5171216FCA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0468-CA41-96C8-1E5171216FCA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0468-CA41-96C8-1E5171216FCA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0468-CA41-96C8-1E5171216FCA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0468-CA41-96C8-1E5171216FCA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0468-CA41-96C8-1E5171216FCA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0468-CA41-96C8-1E5171216FCA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0468-CA41-96C8-1E5171216FCA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0468-CA41-96C8-1E5171216FCA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0468-CA41-96C8-1E5171216FCA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0468-CA41-96C8-1E5171216FCA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0468-CA41-96C8-1E5171216FCA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0468-CA41-96C8-1E5171216FCA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0468-CA41-96C8-1E5171216FCA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0468-CA41-96C8-1E5171216FCA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0468-CA41-96C8-1E5171216FCA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0468-CA41-96C8-1E5171216FCA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0468-CA41-96C8-1E5171216FCA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0468-CA41-96C8-1E5171216FCA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0468-CA41-96C8-1E5171216FCA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0468-CA41-96C8-1E5171216FCA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0468-CA41-96C8-1E5171216FCA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0468-CA41-96C8-1E5171216FCA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0468-CA41-96C8-1E5171216FCA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0468-CA41-96C8-1E5171216FCA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0468-CA41-96C8-1E5171216FCA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0468-CA41-96C8-1E5171216FCA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0468-CA41-96C8-1E5171216FCA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0468-CA41-96C8-1E5171216FCA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0468-CA41-96C8-1E5171216FCA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0468-CA41-96C8-1E5171216FCA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0468-CA41-96C8-1E5171216FCA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0468-CA41-96C8-1E5171216FCA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0468-CA41-96C8-1E5171216FCA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0468-CA41-96C8-1E5171216FCA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0468-CA41-96C8-1E5171216FCA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0468-CA41-96C8-1E5171216FCA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0468-CA41-96C8-1E5171216FCA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0468-CA41-96C8-1E5171216FCA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0468-CA41-96C8-1E5171216FCA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0468-CA41-96C8-1E5171216FCA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0468-CA41-96C8-1E5171216FCA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0468-CA41-96C8-1E5171216FCA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0468-CA41-96C8-1E5171216FCA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0468-CA41-96C8-1E5171216FCA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0468-CA41-96C8-1E5171216FCA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0468-CA41-96C8-1E5171216FCA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0468-CA41-96C8-1E5171216FCA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0468-CA41-96C8-1E5171216FCA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0468-CA41-96C8-1E5171216FCA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0468-CA41-96C8-1E5171216FCA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0468-CA41-96C8-1E5171216FCA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0468-CA41-96C8-1E5171216FCA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0468-CA41-96C8-1E5171216FCA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0468-CA41-96C8-1E5171216FCA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0468-CA41-96C8-1E5171216FCA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0468-CA41-96C8-1E5171216FCA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0468-CA41-96C8-1E5171216FCA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0468-CA41-96C8-1E5171216FCA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0468-CA41-96C8-1E5171216FCA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0468-CA41-96C8-1E5171216FCA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0468-CA41-96C8-1E5171216FC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0468-CA41-96C8-1E5171216FC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0468-CA41-96C8-1E5171216FC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0468-CA41-96C8-1E5171216FC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0468-CA41-96C8-1E5171216FC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0468-CA41-96C8-1E5171216FC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0468-CA41-96C8-1E5171216FC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0468-CA41-96C8-1E5171216FC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0468-CA41-96C8-1E5171216FC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0468-CA41-96C8-1E5171216FC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0468-CA41-96C8-1E5171216FC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0468-CA41-96C8-1E5171216FC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0468-CA41-96C8-1E5171216FC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0468-CA41-96C8-1E5171216FC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0468-CA41-96C8-1E5171216FC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0468-CA41-96C8-1E5171216FC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0468-CA41-96C8-1E5171216FC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0468-CA41-96C8-1E5171216FC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0468-CA41-96C8-1E5171216FC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0468-CA41-96C8-1E5171216FC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0468-CA41-96C8-1E5171216FC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0468-CA41-96C8-1E5171216FC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0468-CA41-96C8-1E5171216FC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0468-CA41-96C8-1E5171216FC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0468-CA41-96C8-1E5171216FC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0468-CA41-96C8-1E5171216FC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0468-CA41-96C8-1E5171216FC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0468-CA41-96C8-1E5171216FC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0468-CA41-96C8-1E5171216FC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0468-CA41-96C8-1E5171216FC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0468-CA41-96C8-1E5171216FC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0468-CA41-96C8-1E5171216FC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0468-CA41-96C8-1E5171216FC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0468-CA41-96C8-1E5171216FCA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0468-CA41-96C8-1E5171216FCA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0468-CA41-96C8-1E5171216FCA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0468-CA41-96C8-1E5171216FCA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0468-CA41-96C8-1E5171216FCA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0468-CA41-96C8-1E5171216FCA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0468-CA41-96C8-1E5171216FCA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0468-CA41-96C8-1E5171216FCA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0468-CA41-96C8-1E5171216FCA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0468-CA41-96C8-1E5171216FCA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0468-CA41-96C8-1E5171216FCA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0468-CA41-96C8-1E5171216FCA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0468-CA41-96C8-1E5171216FCA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0468-CA41-96C8-1E5171216FCA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0468-CA41-96C8-1E5171216FCA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0468-CA41-96C8-1E5171216FCA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0468-CA41-96C8-1E5171216FCA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0468-CA41-96C8-1E5171216FCA}"/>
              </c:ext>
            </c:extLst>
          </c:dPt>
          <c:cat>
            <c:strRef>
              <c:f>'Reason Graph'!$A$4:$A$192</c:f>
              <c:strCache>
                <c:ptCount val="189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</c:strCache>
            </c:strRef>
          </c:cat>
          <c:val>
            <c:numRef>
              <c:f>'Reason Graph'!$B$4:$B$192</c:f>
              <c:numCache>
                <c:formatCode>General</c:formatCode>
                <c:ptCount val="189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15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103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7</c:v>
                </c:pt>
                <c:pt idx="57">
                  <c:v>1</c:v>
                </c:pt>
                <c:pt idx="58">
                  <c:v>1</c:v>
                </c:pt>
                <c:pt idx="59">
                  <c:v>18</c:v>
                </c:pt>
                <c:pt idx="60">
                  <c:v>1</c:v>
                </c:pt>
                <c:pt idx="61">
                  <c:v>3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62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67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42</c:v>
                </c:pt>
                <c:pt idx="87">
                  <c:v>1087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7A-0468-CA41-96C8-1E517121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45</c:v>
                </c:pt>
                <c:pt idx="1">
                  <c:v>35</c:v>
                </c:pt>
                <c:pt idx="2">
                  <c:v>52</c:v>
                </c:pt>
                <c:pt idx="3">
                  <c:v>10</c:v>
                </c:pt>
                <c:pt idx="4">
                  <c:v>32</c:v>
                </c:pt>
                <c:pt idx="5">
                  <c:v>5</c:v>
                </c:pt>
                <c:pt idx="6">
                  <c:v>23</c:v>
                </c:pt>
                <c:pt idx="7">
                  <c:v>27</c:v>
                </c:pt>
                <c:pt idx="8">
                  <c:v>56</c:v>
                </c:pt>
                <c:pt idx="9">
                  <c:v>42</c:v>
                </c:pt>
                <c:pt idx="10">
                  <c:v>65</c:v>
                </c:pt>
                <c:pt idx="11">
                  <c:v>33</c:v>
                </c:pt>
                <c:pt idx="12">
                  <c:v>61</c:v>
                </c:pt>
                <c:pt idx="13">
                  <c:v>16</c:v>
                </c:pt>
                <c:pt idx="14">
                  <c:v>40</c:v>
                </c:pt>
                <c:pt idx="15">
                  <c:v>17</c:v>
                </c:pt>
                <c:pt idx="16">
                  <c:v>46</c:v>
                </c:pt>
                <c:pt idx="17">
                  <c:v>12</c:v>
                </c:pt>
                <c:pt idx="18">
                  <c:v>63</c:v>
                </c:pt>
                <c:pt idx="19">
                  <c:v>9</c:v>
                </c:pt>
                <c:pt idx="20">
                  <c:v>57</c:v>
                </c:pt>
                <c:pt idx="21">
                  <c:v>5</c:v>
                </c:pt>
                <c:pt idx="22">
                  <c:v>50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95-8647-B875-EF5C78D75DA1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59</c:v>
                </c:pt>
                <c:pt idx="1">
                  <c:v>40</c:v>
                </c:pt>
                <c:pt idx="2">
                  <c:v>60</c:v>
                </c:pt>
                <c:pt idx="3">
                  <c:v>12</c:v>
                </c:pt>
                <c:pt idx="4">
                  <c:v>36</c:v>
                </c:pt>
                <c:pt idx="5">
                  <c:v>28</c:v>
                </c:pt>
                <c:pt idx="6">
                  <c:v>48</c:v>
                </c:pt>
                <c:pt idx="7">
                  <c:v>49</c:v>
                </c:pt>
                <c:pt idx="8">
                  <c:v>67</c:v>
                </c:pt>
                <c:pt idx="9">
                  <c:v>37</c:v>
                </c:pt>
                <c:pt idx="10">
                  <c:v>85</c:v>
                </c:pt>
                <c:pt idx="11">
                  <c:v>33</c:v>
                </c:pt>
                <c:pt idx="12">
                  <c:v>90</c:v>
                </c:pt>
                <c:pt idx="13">
                  <c:v>19</c:v>
                </c:pt>
                <c:pt idx="14">
                  <c:v>75</c:v>
                </c:pt>
                <c:pt idx="15">
                  <c:v>17</c:v>
                </c:pt>
                <c:pt idx="16">
                  <c:v>70</c:v>
                </c:pt>
                <c:pt idx="17">
                  <c:v>16</c:v>
                </c:pt>
                <c:pt idx="18">
                  <c:v>76</c:v>
                </c:pt>
                <c:pt idx="19">
                  <c:v>15</c:v>
                </c:pt>
                <c:pt idx="20">
                  <c:v>72</c:v>
                </c:pt>
                <c:pt idx="21">
                  <c:v>15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95-8647-B875-EF5C78D75DA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4A1-6F4C-9FD4-0F57188A1DE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4A1-6F4C-9FD4-0F57188A1DE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4A1-6F4C-9FD4-0F57188A1DE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4A1-6F4C-9FD4-0F57188A1DE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4A1-6F4C-9FD4-0F57188A1DEA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F-3719-F444-A61C-BD983C8AAE6A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1-3719-F444-A61C-BD983C8AAE6A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3-3719-F444-A61C-BD983C8AAE6A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5-3719-F444-A61C-BD983C8AAE6A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7-3719-F444-A61C-BD983C8AAE6A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9-3719-F444-A61C-BD983C8AAE6A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B-3719-F444-A61C-BD983C8AAE6A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D-3719-F444-A61C-BD983C8AAE6A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2F-3719-F444-A61C-BD983C8AAE6A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1-3719-F444-A61C-BD983C8AAE6A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3-3719-F444-A61C-BD983C8AAE6A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5-3719-F444-A61C-BD983C8AAE6A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7-3719-F444-A61C-BD983C8AAE6A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9-3719-F444-A61C-BD983C8AAE6A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B-3719-F444-A61C-BD983C8AAE6A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D-3719-F444-A61C-BD983C8AAE6A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3F-3719-F444-A61C-BD983C8AAE6A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1-3719-F444-A61C-BD983C8AAE6A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3-3719-F444-A61C-BD983C8AAE6A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5-3719-F444-A61C-BD983C8AAE6A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7-3719-F444-A61C-BD983C8AAE6A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9-3719-F444-A61C-BD983C8AAE6A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B-3719-F444-A61C-BD983C8AAE6A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D-3719-F444-A61C-BD983C8AAE6A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4F-3719-F444-A61C-BD983C8AAE6A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1-3719-F444-A61C-BD983C8AAE6A}"/>
              </c:ext>
            </c:extLst>
          </c:dPt>
          <c:dPt>
            <c:idx val="169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3-3719-F444-A61C-BD983C8AAE6A}"/>
              </c:ext>
            </c:extLst>
          </c:dPt>
          <c:dPt>
            <c:idx val="17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5-3719-F444-A61C-BD983C8AAE6A}"/>
              </c:ext>
            </c:extLst>
          </c:dPt>
          <c:dPt>
            <c:idx val="171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7-2012-8742-A829-CA12BC42CE0D}"/>
              </c:ext>
            </c:extLst>
          </c:dPt>
          <c:dPt>
            <c:idx val="172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9-2012-8742-A829-CA12BC42CE0D}"/>
              </c:ext>
            </c:extLst>
          </c:dPt>
          <c:dPt>
            <c:idx val="17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B-2012-8742-A829-CA12BC42CE0D}"/>
              </c:ext>
            </c:extLst>
          </c:dPt>
          <c:dPt>
            <c:idx val="174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D-2012-8742-A829-CA12BC42CE0D}"/>
              </c:ext>
            </c:extLst>
          </c:dPt>
          <c:dPt>
            <c:idx val="175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5F-2012-8742-A829-CA12BC42CE0D}"/>
              </c:ext>
            </c:extLst>
          </c:dPt>
          <c:dPt>
            <c:idx val="176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1-2012-8742-A829-CA12BC42CE0D}"/>
              </c:ext>
            </c:extLst>
          </c:dPt>
          <c:dPt>
            <c:idx val="17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3-2012-8742-A829-CA12BC42CE0D}"/>
              </c:ext>
            </c:extLst>
          </c:dPt>
          <c:dPt>
            <c:idx val="178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5-2012-8742-A829-CA12BC42CE0D}"/>
              </c:ext>
            </c:extLst>
          </c:dPt>
          <c:dPt>
            <c:idx val="179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7-2012-8742-A829-CA12BC42CE0D}"/>
              </c:ext>
            </c:extLst>
          </c:dPt>
          <c:dPt>
            <c:idx val="180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9-2012-8742-A829-CA12BC42CE0D}"/>
              </c:ext>
            </c:extLst>
          </c:dPt>
          <c:dPt>
            <c:idx val="181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B-2012-8742-A829-CA12BC42CE0D}"/>
              </c:ext>
            </c:extLst>
          </c:dPt>
          <c:dPt>
            <c:idx val="182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D-2012-8742-A829-CA12BC42CE0D}"/>
              </c:ext>
            </c:extLst>
          </c:dPt>
          <c:dPt>
            <c:idx val="183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6F-2012-8742-A829-CA12BC42CE0D}"/>
              </c:ext>
            </c:extLst>
          </c:dPt>
          <c:dPt>
            <c:idx val="184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1-2012-8742-A829-CA12BC42CE0D}"/>
              </c:ext>
            </c:extLst>
          </c:dPt>
          <c:dPt>
            <c:idx val="185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3-2012-8742-A829-CA12BC42CE0D}"/>
              </c:ext>
            </c:extLst>
          </c:dPt>
          <c:dPt>
            <c:idx val="186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5-2012-8742-A829-CA12BC42CE0D}"/>
              </c:ext>
            </c:extLst>
          </c:dPt>
          <c:dPt>
            <c:idx val="187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7-2012-8742-A829-CA12BC42CE0D}"/>
              </c:ext>
            </c:extLst>
          </c:dPt>
          <c:dPt>
            <c:idx val="188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79-2012-8742-A829-CA12BC42CE0D}"/>
              </c:ext>
            </c:extLst>
          </c:dPt>
          <c:cat>
            <c:strRef>
              <c:f>'Reason Graph'!$A$4:$A$192</c:f>
              <c:strCache>
                <c:ptCount val="189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166 pc</c:v>
                </c:pt>
                <c:pt idx="12">
                  <c:v>207 sus</c:v>
                </c:pt>
                <c:pt idx="13">
                  <c:v>21 suspect</c:v>
                </c:pt>
                <c:pt idx="14">
                  <c:v>211 SUSPECT</c:v>
                </c:pt>
                <c:pt idx="15">
                  <c:v>211 vehicle</c:v>
                </c:pt>
                <c:pt idx="16">
                  <c:v>243d suspect</c:v>
                </c:pt>
                <c:pt idx="17">
                  <c:v>246 pc</c:v>
                </c:pt>
                <c:pt idx="18">
                  <c:v>288 pc</c:v>
                </c:pt>
                <c:pt idx="19">
                  <c:v>288 SUSP</c:v>
                </c:pt>
                <c:pt idx="20">
                  <c:v>288PC</c:v>
                </c:pt>
                <c:pt idx="21">
                  <c:v>314 suspect</c:v>
                </c:pt>
                <c:pt idx="22">
                  <c:v>417PC</c:v>
                </c:pt>
                <c:pt idx="23">
                  <c:v>422 pc</c:v>
                </c:pt>
                <c:pt idx="24">
                  <c:v>422PC 245PC 29800PC RAMEY WARRANT RED BLUFF PD</c:v>
                </c:pt>
                <c:pt idx="25">
                  <c:v>459 veh</c:v>
                </c:pt>
                <c:pt idx="26">
                  <c:v>459.5pc</c:v>
                </c:pt>
                <c:pt idx="27">
                  <c:v>487 pc suspect</c:v>
                </c:pt>
                <c:pt idx="28">
                  <c:v>488pc</c:v>
                </c:pt>
                <c:pt idx="29">
                  <c:v>BOLO</c:v>
                </c:pt>
                <c:pt idx="30">
                  <c:v>BOMB THREAT</c:v>
                </c:pt>
                <c:pt idx="31">
                  <c:v>Drug</c:v>
                </c:pt>
                <c:pt idx="32">
                  <c:v>Drug intel</c:v>
                </c:pt>
                <c:pt idx="33">
                  <c:v>Drug Inv</c:v>
                </c:pt>
                <c:pt idx="34">
                  <c:v>Drug Inves</c:v>
                </c:pt>
                <c:pt idx="35">
                  <c:v>Drug Investigation</c:v>
                </c:pt>
                <c:pt idx="36">
                  <c:v>Drug investigations</c:v>
                </c:pt>
                <c:pt idx="37">
                  <c:v>Geand theft</c:v>
                </c:pt>
                <c:pt idx="38">
                  <c:v>Grand theft</c:v>
                </c:pt>
                <c:pt idx="39">
                  <c:v>id passenger and vehicle associated</c:v>
                </c:pt>
                <c:pt idx="40">
                  <c:v>id susp vhicle dv</c:v>
                </c:pt>
                <c:pt idx="41">
                  <c:v>locate</c:v>
                </c:pt>
                <c:pt idx="42">
                  <c:v>marijuana suspec</c:v>
                </c:pt>
                <c:pt idx="43">
                  <c:v>marijuana suspect</c:v>
                </c:pt>
                <c:pt idx="44">
                  <c:v>Out of compliance 290</c:v>
                </c:pt>
                <c:pt idx="45">
                  <c:v>Parole</c:v>
                </c:pt>
                <c:pt idx="46">
                  <c:v>Pattern of travel</c:v>
                </c:pt>
                <c:pt idx="47">
                  <c:v>POSSIBLE SUSPECT</c:v>
                </c:pt>
                <c:pt idx="48">
                  <c:v>public masurbater</c:v>
                </c:pt>
                <c:pt idx="49">
                  <c:v>R7-25-0027</c:v>
                </c:pt>
                <c:pt idx="50">
                  <c:v>Ramey Warrant</c:v>
                </c:pt>
                <c:pt idx="51">
                  <c:v>ROBBERY</c:v>
                </c:pt>
                <c:pt idx="52">
                  <c:v>search for suspect leads</c:v>
                </c:pt>
                <c:pt idx="53">
                  <c:v>Search warrant</c:v>
                </c:pt>
                <c:pt idx="54">
                  <c:v>shooting suspect / stolen vehicle</c:v>
                </c:pt>
                <c:pt idx="55">
                  <c:v>stolen veh</c:v>
                </c:pt>
                <c:pt idx="56">
                  <c:v>STOLEN VEHICLE</c:v>
                </c:pt>
                <c:pt idx="57">
                  <c:v>SURVEILLANCE</c:v>
                </c:pt>
                <c:pt idx="58">
                  <c:v>sus</c:v>
                </c:pt>
                <c:pt idx="59">
                  <c:v>sus id</c:v>
                </c:pt>
                <c:pt idx="60">
                  <c:v>sus loc</c:v>
                </c:pt>
                <c:pt idx="61">
                  <c:v>susp</c:v>
                </c:pt>
                <c:pt idx="62">
                  <c:v>susp veh</c:v>
                </c:pt>
                <c:pt idx="63">
                  <c:v>susp. veh</c:v>
                </c:pt>
                <c:pt idx="64">
                  <c:v>SUSPEC ID</c:v>
                </c:pt>
                <c:pt idx="65">
                  <c:v>Suspect</c:v>
                </c:pt>
                <c:pt idx="66">
                  <c:v>suspect ID</c:v>
                </c:pt>
                <c:pt idx="67">
                  <c:v>Suspect in 288</c:v>
                </c:pt>
                <c:pt idx="68">
                  <c:v>Suspect location</c:v>
                </c:pt>
                <c:pt idx="69">
                  <c:v>suspect veh</c:v>
                </c:pt>
                <c:pt idx="70">
                  <c:v>suspect veh 459pc</c:v>
                </c:pt>
                <c:pt idx="71">
                  <c:v>suspect veh.</c:v>
                </c:pt>
                <c:pt idx="72">
                  <c:v>suspect vehicle</c:v>
                </c:pt>
                <c:pt idx="73">
                  <c:v>Suspevt</c:v>
                </c:pt>
                <c:pt idx="74">
                  <c:v>Theft suspect</c:v>
                </c:pt>
                <c:pt idx="75">
                  <c:v>THREATS OF SELF HARM</c:v>
                </c:pt>
                <c:pt idx="76">
                  <c:v>Ul93101</c:v>
                </c:pt>
                <c:pt idx="77">
                  <c:v>veh left behind/check if RO aware for san jose pd</c:v>
                </c:pt>
                <c:pt idx="78">
                  <c:v>VEH USED IN 211PC</c:v>
                </c:pt>
                <c:pt idx="79">
                  <c:v>Want</c:v>
                </c:pt>
                <c:pt idx="80">
                  <c:v>wanted</c:v>
                </c:pt>
                <c:pt idx="81">
                  <c:v>wanted  person</c:v>
                </c:pt>
                <c:pt idx="82">
                  <c:v>wanted person</c:v>
                </c:pt>
                <c:pt idx="83">
                  <c:v>wanted subject</c:v>
                </c:pt>
                <c:pt idx="84">
                  <c:v>Warr</c:v>
                </c:pt>
                <c:pt idx="85">
                  <c:v>warrant</c:v>
                </c:pt>
                <c:pt idx="86">
                  <c:v>ycso suspect</c:v>
                </c:pt>
                <c:pt idx="87">
                  <c:v>(blank)</c:v>
                </c:pt>
                <c:pt idx="88">
                  <c:v>DV SUSPECT VEHICLE</c:v>
                </c:pt>
                <c:pt idx="89">
                  <c:v>207</c:v>
                </c:pt>
                <c:pt idx="90">
                  <c:v>1036</c:v>
                </c:pt>
                <c:pt idx="91">
                  <c:v>suspet</c:v>
                </c:pt>
                <c:pt idx="92">
                  <c:v>2800.2 cvc</c:v>
                </c:pt>
                <c:pt idx="93">
                  <c:v>Felony Warrants</c:v>
                </c:pt>
                <c:pt idx="94">
                  <c:v>felony warrant</c:v>
                </c:pt>
                <c:pt idx="95">
                  <c:v>MP</c:v>
                </c:pt>
                <c:pt idx="96">
                  <c:v>shooting suspect</c:v>
                </c:pt>
                <c:pt idx="97">
                  <c:v>DRUGS</c:v>
                </c:pt>
                <c:pt idx="98">
                  <c:v>Suspect Identification</c:v>
                </c:pt>
                <c:pt idx="99">
                  <c:v>10851</c:v>
                </c:pt>
                <c:pt idx="100">
                  <c:v>susid</c:v>
                </c:pt>
                <c:pt idx="101">
                  <c:v>42 suspect</c:v>
                </c:pt>
                <c:pt idx="102">
                  <c:v>422</c:v>
                </c:pt>
                <c:pt idx="103">
                  <c:v>shootin</c:v>
                </c:pt>
                <c:pt idx="104">
                  <c:v>187 sus</c:v>
                </c:pt>
                <c:pt idx="105">
                  <c:v>187SUS</c:v>
                </c:pt>
                <c:pt idx="106">
                  <c:v>187 SS</c:v>
                </c:pt>
                <c:pt idx="107">
                  <c:v>187</c:v>
                </c:pt>
                <c:pt idx="108">
                  <c:v>CRIMINAL INVEST 187PC</c:v>
                </c:pt>
                <c:pt idx="109">
                  <c:v>187 PC</c:v>
                </c:pt>
                <c:pt idx="110">
                  <c:v>187 suspect</c:v>
                </c:pt>
                <c:pt idx="111">
                  <c:v>theft</c:v>
                </c:pt>
                <c:pt idx="112">
                  <c:v>dv</c:v>
                </c:pt>
                <c:pt idx="113">
                  <c:v>105</c:v>
                </c:pt>
                <c:pt idx="114">
                  <c:v>victim's vehicle</c:v>
                </c:pt>
                <c:pt idx="115">
                  <c:v>ATL suspect vehicle</c:v>
                </c:pt>
                <c:pt idx="116">
                  <c:v>10851 VC</c:v>
                </c:pt>
                <c:pt idx="117">
                  <c:v>459.5 pc</c:v>
                </c:pt>
                <c:pt idx="118">
                  <c:v>273apc, 273.5pc</c:v>
                </c:pt>
                <c:pt idx="119">
                  <c:v>wreckless</c:v>
                </c:pt>
                <c:pt idx="120">
                  <c:v>RECKLESS POSS DUI</c:v>
                </c:pt>
                <c:pt idx="121">
                  <c:v>missing</c:v>
                </c:pt>
                <c:pt idx="122">
                  <c:v>Suspect vehicle.</c:v>
                </c:pt>
                <c:pt idx="123">
                  <c:v>20851</c:v>
                </c:pt>
                <c:pt idx="124">
                  <c:v>CRIMINAL INVEST</c:v>
                </c:pt>
                <c:pt idx="125">
                  <c:v>273.6pc suspect</c:v>
                </c:pt>
                <c:pt idx="126">
                  <c:v>FIRING AIRSOFT GUN AT SUBJS</c:v>
                </c:pt>
                <c:pt idx="127">
                  <c:v>SHOTS FIRED</c:v>
                </c:pt>
                <c:pt idx="128">
                  <c:v>17 suspet</c:v>
                </c:pt>
                <c:pt idx="129">
                  <c:v>DVP</c:v>
                </c:pt>
                <c:pt idx="130">
                  <c:v>487 pc</c:v>
                </c:pt>
                <c:pt idx="131">
                  <c:v>dui</c:v>
                </c:pt>
                <c:pt idx="132">
                  <c:v>mi</c:v>
                </c:pt>
                <c:pt idx="133">
                  <c:v>missing person</c:v>
                </c:pt>
                <c:pt idx="134">
                  <c:v>susp id</c:v>
                </c:pt>
                <c:pt idx="135">
                  <c:v>245 PC</c:v>
                </c:pt>
                <c:pt idx="136">
                  <c:v>108</c:v>
                </c:pt>
                <c:pt idx="137">
                  <c:v>108511</c:v>
                </c:pt>
                <c:pt idx="138">
                  <c:v>BRANDISH THREATS</c:v>
                </c:pt>
                <c:pt idx="139">
                  <c:v>245</c:v>
                </c:pt>
                <c:pt idx="140">
                  <c:v>422 417</c:v>
                </c:pt>
                <c:pt idx="141">
                  <c:v>location</c:v>
                </c:pt>
                <c:pt idx="142">
                  <c:v>5150 atl</c:v>
                </c:pt>
                <c:pt idx="143">
                  <c:v>known veh prior association - lopez, jessica</c:v>
                </c:pt>
                <c:pt idx="144">
                  <c:v>Wanted suspect</c:v>
                </c:pt>
                <c:pt idx="145">
                  <c:v>192 pc</c:v>
                </c:pt>
                <c:pt idx="146">
                  <c:v>487 suspect veh</c:v>
                </c:pt>
                <c:pt idx="147">
                  <c:v>Pursuit</c:v>
                </c:pt>
                <c:pt idx="148">
                  <c:v>484 PC</c:v>
                </c:pt>
                <c:pt idx="149">
                  <c:v>petty theft</c:v>
                </c:pt>
                <c:pt idx="150">
                  <c:v>487 suspect vehicle from teichert</c:v>
                </c:pt>
                <c:pt idx="151">
                  <c:v>left scene damaging prop-pc section</c:v>
                </c:pt>
                <c:pt idx="152">
                  <c:v>273a pc</c:v>
                </c:pt>
                <c:pt idx="153">
                  <c:v>id suspect</c:v>
                </c:pt>
                <c:pt idx="154">
                  <c:v>HIT AND RUN</c:v>
                </c:pt>
                <c:pt idx="155">
                  <c:v>SUSPICIOUS VEHICLE</c:v>
                </c:pt>
                <c:pt idx="156">
                  <c:v>245pc suspect veh</c:v>
                </c:pt>
                <c:pt idx="157">
                  <c:v>sus search</c:v>
                </c:pt>
                <c:pt idx="158">
                  <c:v>WANTED SUBJ</c:v>
                </c:pt>
                <c:pt idx="159">
                  <c:v>SHOOTING</c:v>
                </c:pt>
                <c:pt idx="160">
                  <c:v>suspect girlfriend</c:v>
                </c:pt>
                <c:pt idx="161">
                  <c:v>Suspect gf</c:v>
                </c:pt>
                <c:pt idx="162">
                  <c:v>245 SUSPECT</c:v>
                </c:pt>
                <c:pt idx="163">
                  <c:v>273.5 suspect</c:v>
                </c:pt>
                <c:pt idx="164">
                  <c:v>wanted warrant</c:v>
                </c:pt>
                <c:pt idx="165">
                  <c:v>Wire</c:v>
                </c:pt>
                <c:pt idx="166">
                  <c:v>prcs</c:v>
                </c:pt>
                <c:pt idx="167">
                  <c:v>wanted subject-26-1571</c:v>
                </c:pt>
                <c:pt idx="168">
                  <c:v>Locate Missing Person</c:v>
                </c:pt>
                <c:pt idx="169">
                  <c:v>ASSAULT</c:v>
                </c:pt>
                <c:pt idx="170">
                  <c:v>warrant ramey-245 bat</c:v>
                </c:pt>
                <c:pt idx="171">
                  <c:v>273a(b)PC</c:v>
                </c:pt>
                <c:pt idx="172">
                  <c:v>domestic violence susp</c:v>
                </c:pt>
                <c:pt idx="173">
                  <c:v>RECKLESS</c:v>
                </c:pt>
                <c:pt idx="174">
                  <c:v>7vnh893</c:v>
                </c:pt>
                <c:pt idx="175">
                  <c:v>273.5 pc suspect</c:v>
                </c:pt>
                <c:pt idx="176">
                  <c:v>Druginvestigation</c:v>
                </c:pt>
                <c:pt idx="177">
                  <c:v>SUTTER CO SUSPECT IN AREA</c:v>
                </c:pt>
                <c:pt idx="178">
                  <c:v>SUTTER CO RAMEY WARRANT IN AREA</c:v>
                </c:pt>
                <c:pt idx="179">
                  <c:v>Warrant service</c:v>
                </c:pt>
                <c:pt idx="180">
                  <c:v>594PC</c:v>
                </c:pt>
                <c:pt idx="181">
                  <c:v>594 SUSPECT</c:v>
                </c:pt>
                <c:pt idx="182">
                  <c:v>BURG SUSPECT</c:v>
                </c:pt>
                <c:pt idx="183">
                  <c:v>unknown reason</c:v>
                </c:pt>
                <c:pt idx="184">
                  <c:v>susp vehicle</c:v>
                </c:pt>
                <c:pt idx="185">
                  <c:v>warrant-associated vehicle drive all time</c:v>
                </c:pt>
                <c:pt idx="186">
                  <c:v>166(a)(4)PC suspect</c:v>
                </c:pt>
                <c:pt idx="187">
                  <c:v>warrant suspect daily use veh</c:v>
                </c:pt>
                <c:pt idx="188">
                  <c:v>veh associated to res for warrant suspect-rocole</c:v>
                </c:pt>
              </c:strCache>
            </c:strRef>
          </c:cat>
          <c:val>
            <c:numRef>
              <c:f>'Reason Graph'!$B$4:$B$192</c:f>
              <c:numCache>
                <c:formatCode>General</c:formatCode>
                <c:ptCount val="189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1</c:v>
                </c:pt>
                <c:pt idx="14">
                  <c:v>8</c:v>
                </c:pt>
                <c:pt idx="15">
                  <c:v>1</c:v>
                </c:pt>
                <c:pt idx="16">
                  <c:v>4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2</c:v>
                </c:pt>
                <c:pt idx="22">
                  <c:v>1</c:v>
                </c:pt>
                <c:pt idx="23">
                  <c:v>2</c:v>
                </c:pt>
                <c:pt idx="24">
                  <c:v>1</c:v>
                </c:pt>
                <c:pt idx="25">
                  <c:v>1</c:v>
                </c:pt>
                <c:pt idx="26">
                  <c:v>2</c:v>
                </c:pt>
                <c:pt idx="27">
                  <c:v>4</c:v>
                </c:pt>
                <c:pt idx="28">
                  <c:v>1</c:v>
                </c:pt>
                <c:pt idx="29">
                  <c:v>15</c:v>
                </c:pt>
                <c:pt idx="30">
                  <c:v>2</c:v>
                </c:pt>
                <c:pt idx="31">
                  <c:v>2</c:v>
                </c:pt>
                <c:pt idx="32">
                  <c:v>6</c:v>
                </c:pt>
                <c:pt idx="33">
                  <c:v>6</c:v>
                </c:pt>
                <c:pt idx="34">
                  <c:v>5</c:v>
                </c:pt>
                <c:pt idx="35">
                  <c:v>103</c:v>
                </c:pt>
                <c:pt idx="36">
                  <c:v>2</c:v>
                </c:pt>
                <c:pt idx="37">
                  <c:v>1</c:v>
                </c:pt>
                <c:pt idx="38">
                  <c:v>8</c:v>
                </c:pt>
                <c:pt idx="39">
                  <c:v>2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6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7</c:v>
                </c:pt>
                <c:pt idx="57">
                  <c:v>1</c:v>
                </c:pt>
                <c:pt idx="58">
                  <c:v>1</c:v>
                </c:pt>
                <c:pt idx="59">
                  <c:v>18</c:v>
                </c:pt>
                <c:pt idx="60">
                  <c:v>1</c:v>
                </c:pt>
                <c:pt idx="61">
                  <c:v>3</c:v>
                </c:pt>
                <c:pt idx="62">
                  <c:v>8</c:v>
                </c:pt>
                <c:pt idx="63">
                  <c:v>1</c:v>
                </c:pt>
                <c:pt idx="64">
                  <c:v>3</c:v>
                </c:pt>
                <c:pt idx="65">
                  <c:v>62</c:v>
                </c:pt>
                <c:pt idx="66">
                  <c:v>108</c:v>
                </c:pt>
                <c:pt idx="67">
                  <c:v>2</c:v>
                </c:pt>
                <c:pt idx="68">
                  <c:v>4</c:v>
                </c:pt>
                <c:pt idx="69">
                  <c:v>6</c:v>
                </c:pt>
                <c:pt idx="70">
                  <c:v>1</c:v>
                </c:pt>
                <c:pt idx="71">
                  <c:v>1</c:v>
                </c:pt>
                <c:pt idx="72">
                  <c:v>67</c:v>
                </c:pt>
                <c:pt idx="73">
                  <c:v>1</c:v>
                </c:pt>
                <c:pt idx="74">
                  <c:v>3</c:v>
                </c:pt>
                <c:pt idx="75">
                  <c:v>6</c:v>
                </c:pt>
                <c:pt idx="76">
                  <c:v>1</c:v>
                </c:pt>
                <c:pt idx="77">
                  <c:v>1</c:v>
                </c:pt>
                <c:pt idx="78">
                  <c:v>2</c:v>
                </c:pt>
                <c:pt idx="79">
                  <c:v>1</c:v>
                </c:pt>
                <c:pt idx="80">
                  <c:v>13</c:v>
                </c:pt>
                <c:pt idx="81">
                  <c:v>1</c:v>
                </c:pt>
                <c:pt idx="82">
                  <c:v>12</c:v>
                </c:pt>
                <c:pt idx="83">
                  <c:v>1</c:v>
                </c:pt>
                <c:pt idx="84">
                  <c:v>11</c:v>
                </c:pt>
                <c:pt idx="85">
                  <c:v>4</c:v>
                </c:pt>
                <c:pt idx="86">
                  <c:v>42</c:v>
                </c:pt>
                <c:pt idx="87">
                  <c:v>1087</c:v>
                </c:pt>
                <c:pt idx="88">
                  <c:v>1</c:v>
                </c:pt>
                <c:pt idx="89">
                  <c:v>3</c:v>
                </c:pt>
                <c:pt idx="90">
                  <c:v>6</c:v>
                </c:pt>
                <c:pt idx="91">
                  <c:v>3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3</c:v>
                </c:pt>
                <c:pt idx="96">
                  <c:v>1</c:v>
                </c:pt>
                <c:pt idx="97">
                  <c:v>1</c:v>
                </c:pt>
                <c:pt idx="98">
                  <c:v>2</c:v>
                </c:pt>
                <c:pt idx="99">
                  <c:v>2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1</c:v>
                </c:pt>
                <c:pt idx="106">
                  <c:v>2</c:v>
                </c:pt>
                <c:pt idx="107">
                  <c:v>2</c:v>
                </c:pt>
                <c:pt idx="108">
                  <c:v>1</c:v>
                </c:pt>
                <c:pt idx="109">
                  <c:v>10</c:v>
                </c:pt>
                <c:pt idx="110">
                  <c:v>1</c:v>
                </c:pt>
                <c:pt idx="111">
                  <c:v>5</c:v>
                </c:pt>
                <c:pt idx="112">
                  <c:v>2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2</c:v>
                </c:pt>
                <c:pt idx="118">
                  <c:v>1</c:v>
                </c:pt>
                <c:pt idx="119">
                  <c:v>1</c:v>
                </c:pt>
                <c:pt idx="120">
                  <c:v>1</c:v>
                </c:pt>
                <c:pt idx="121">
                  <c:v>2</c:v>
                </c:pt>
                <c:pt idx="122">
                  <c:v>2</c:v>
                </c:pt>
                <c:pt idx="123">
                  <c:v>1</c:v>
                </c:pt>
                <c:pt idx="124">
                  <c:v>2</c:v>
                </c:pt>
                <c:pt idx="125">
                  <c:v>3</c:v>
                </c:pt>
                <c:pt idx="126">
                  <c:v>1</c:v>
                </c:pt>
                <c:pt idx="127">
                  <c:v>1</c:v>
                </c:pt>
                <c:pt idx="128">
                  <c:v>3</c:v>
                </c:pt>
                <c:pt idx="129">
                  <c:v>3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1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4</c:v>
                </c:pt>
                <c:pt idx="142">
                  <c:v>1</c:v>
                </c:pt>
                <c:pt idx="143">
                  <c:v>3</c:v>
                </c:pt>
                <c:pt idx="144">
                  <c:v>2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2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2</c:v>
                </c:pt>
                <c:pt idx="154">
                  <c:v>2</c:v>
                </c:pt>
                <c:pt idx="155">
                  <c:v>1</c:v>
                </c:pt>
                <c:pt idx="156">
                  <c:v>1</c:v>
                </c:pt>
                <c:pt idx="157">
                  <c:v>2</c:v>
                </c:pt>
                <c:pt idx="158">
                  <c:v>2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3</c:v>
                </c:pt>
                <c:pt idx="163">
                  <c:v>1</c:v>
                </c:pt>
                <c:pt idx="164">
                  <c:v>3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8">
                  <c:v>2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2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3</c:v>
                </c:pt>
                <c:pt idx="182">
                  <c:v>1</c:v>
                </c:pt>
                <c:pt idx="183">
                  <c:v>1</c:v>
                </c:pt>
                <c:pt idx="184">
                  <c:v>2</c:v>
                </c:pt>
                <c:pt idx="185">
                  <c:v>1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45</c:v>
                </c:pt>
                <c:pt idx="1">
                  <c:v>35</c:v>
                </c:pt>
                <c:pt idx="2">
                  <c:v>52</c:v>
                </c:pt>
                <c:pt idx="3">
                  <c:v>10</c:v>
                </c:pt>
                <c:pt idx="4">
                  <c:v>32</c:v>
                </c:pt>
                <c:pt idx="5">
                  <c:v>5</c:v>
                </c:pt>
                <c:pt idx="6">
                  <c:v>23</c:v>
                </c:pt>
                <c:pt idx="7">
                  <c:v>27</c:v>
                </c:pt>
                <c:pt idx="8">
                  <c:v>56</c:v>
                </c:pt>
                <c:pt idx="9">
                  <c:v>42</c:v>
                </c:pt>
                <c:pt idx="10">
                  <c:v>65</c:v>
                </c:pt>
                <c:pt idx="11">
                  <c:v>33</c:v>
                </c:pt>
                <c:pt idx="12">
                  <c:v>61</c:v>
                </c:pt>
                <c:pt idx="13">
                  <c:v>16</c:v>
                </c:pt>
                <c:pt idx="14">
                  <c:v>40</c:v>
                </c:pt>
                <c:pt idx="15">
                  <c:v>17</c:v>
                </c:pt>
                <c:pt idx="16">
                  <c:v>46</c:v>
                </c:pt>
                <c:pt idx="17">
                  <c:v>12</c:v>
                </c:pt>
                <c:pt idx="18">
                  <c:v>63</c:v>
                </c:pt>
                <c:pt idx="19">
                  <c:v>9</c:v>
                </c:pt>
                <c:pt idx="20">
                  <c:v>57</c:v>
                </c:pt>
                <c:pt idx="21">
                  <c:v>5</c:v>
                </c:pt>
                <c:pt idx="22">
                  <c:v>50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59</c:v>
                </c:pt>
                <c:pt idx="1">
                  <c:v>40</c:v>
                </c:pt>
                <c:pt idx="2">
                  <c:v>60</c:v>
                </c:pt>
                <c:pt idx="3">
                  <c:v>12</c:v>
                </c:pt>
                <c:pt idx="4">
                  <c:v>36</c:v>
                </c:pt>
                <c:pt idx="5">
                  <c:v>28</c:v>
                </c:pt>
                <c:pt idx="6">
                  <c:v>48</c:v>
                </c:pt>
                <c:pt idx="7">
                  <c:v>49</c:v>
                </c:pt>
                <c:pt idx="8">
                  <c:v>67</c:v>
                </c:pt>
                <c:pt idx="9">
                  <c:v>37</c:v>
                </c:pt>
                <c:pt idx="10">
                  <c:v>85</c:v>
                </c:pt>
                <c:pt idx="11">
                  <c:v>33</c:v>
                </c:pt>
                <c:pt idx="12">
                  <c:v>90</c:v>
                </c:pt>
                <c:pt idx="13">
                  <c:v>19</c:v>
                </c:pt>
                <c:pt idx="14">
                  <c:v>75</c:v>
                </c:pt>
                <c:pt idx="15">
                  <c:v>17</c:v>
                </c:pt>
                <c:pt idx="16">
                  <c:v>70</c:v>
                </c:pt>
                <c:pt idx="17">
                  <c:v>16</c:v>
                </c:pt>
                <c:pt idx="18">
                  <c:v>76</c:v>
                </c:pt>
                <c:pt idx="19">
                  <c:v>15</c:v>
                </c:pt>
                <c:pt idx="20">
                  <c:v>72</c:v>
                </c:pt>
                <c:pt idx="21">
                  <c:v>15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75283647"/>
        <c:axId val="150600159"/>
      </c:line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71</c:v>
                </c:pt>
                <c:pt idx="1">
                  <c:v>104</c:v>
                </c:pt>
                <c:pt idx="2">
                  <c:v>123</c:v>
                </c:pt>
                <c:pt idx="3">
                  <c:v>150</c:v>
                </c:pt>
                <c:pt idx="4">
                  <c:v>151</c:v>
                </c:pt>
                <c:pt idx="5">
                  <c:v>115</c:v>
                </c:pt>
                <c:pt idx="6">
                  <c:v>116</c:v>
                </c:pt>
                <c:pt idx="7">
                  <c:v>139</c:v>
                </c:pt>
                <c:pt idx="8">
                  <c:v>129</c:v>
                </c:pt>
                <c:pt idx="9">
                  <c:v>106</c:v>
                </c:pt>
                <c:pt idx="10">
                  <c:v>112</c:v>
                </c:pt>
                <c:pt idx="11">
                  <c:v>68</c:v>
                </c:pt>
                <c:pt idx="12">
                  <c:v>76</c:v>
                </c:pt>
                <c:pt idx="13">
                  <c:v>75</c:v>
                </c:pt>
                <c:pt idx="14">
                  <c:v>79</c:v>
                </c:pt>
                <c:pt idx="15">
                  <c:v>66</c:v>
                </c:pt>
                <c:pt idx="16">
                  <c:v>35</c:v>
                </c:pt>
                <c:pt idx="17">
                  <c:v>34</c:v>
                </c:pt>
                <c:pt idx="18">
                  <c:v>28</c:v>
                </c:pt>
                <c:pt idx="19">
                  <c:v>24</c:v>
                </c:pt>
                <c:pt idx="20">
                  <c:v>20</c:v>
                </c:pt>
                <c:pt idx="21">
                  <c:v>17</c:v>
                </c:pt>
                <c:pt idx="22">
                  <c:v>22</c:v>
                </c:pt>
                <c:pt idx="2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226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32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249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45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0.52421052631578946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0.58441558441558439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203200</xdr:colOff>
      <xdr:row>19</xdr:row>
      <xdr:rowOff>76200</xdr:rowOff>
    </xdr:from>
    <xdr:to>
      <xdr:col>7</xdr:col>
      <xdr:colOff>774700</xdr:colOff>
      <xdr:row>41</xdr:row>
      <xdr:rowOff>139700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1D999312-C756-9543-ADB4-456F5CFC3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63500</xdr:colOff>
      <xdr:row>1</xdr:row>
      <xdr:rowOff>25400</xdr:rowOff>
    </xdr:from>
    <xdr:to>
      <xdr:col>25</xdr:col>
      <xdr:colOff>215900</xdr:colOff>
      <xdr:row>52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04F201-B207-B54D-B3E6-9B2136E348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46</xdr:row>
      <xdr:rowOff>0</xdr:rowOff>
    </xdr:from>
    <xdr:to>
      <xdr:col>9</xdr:col>
      <xdr:colOff>520700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5932EA-EDDC-234C-B746-6DD0FA387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56.793598263888" createdVersion="8" refreshedVersion="8" minRefreshableVersion="3" recordCount="1894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5-13T12:03:00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89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  <s v="273.5 suspect"/>
        <s v="wanted warrant"/>
        <s v="Wire"/>
        <s v="prcs"/>
        <s v="wanted subject-26-1571"/>
        <s v="Locate Missing Person"/>
        <s v="ASSAULT"/>
        <s v="warrant ramey-245 bat"/>
        <s v="273a(b)PC"/>
        <s v="domestic violence susp"/>
        <s v="RECKLESS"/>
        <s v="7vnh893"/>
        <s v="273.5 pc suspect"/>
        <s v="Druginvestigation"/>
        <s v="SUTTER CO SUSPECT IN AREA"/>
        <s v="SUTTER CO RAMEY WARRANT IN AREA"/>
        <s v="Warrant service"/>
        <s v="594PC"/>
        <s v="594 SUSPECT"/>
        <s v="BURG SUSPECT"/>
        <s v="unknown reason"/>
        <s v="susp vehicle"/>
        <s v="warrant-associated vehicle drive all time"/>
        <s v="166(a)(4)PC suspect"/>
        <s v="warrant suspect daily use veh"/>
        <s v="veh associated to res for warrant suspect-rocole"/>
      </sharedItems>
    </cacheField>
    <cacheField name="Search Date (Pacific)" numFmtId="0">
      <sharedItems containsNonDate="0" containsDate="1" containsString="0" containsBlank="1" minDate="2026-02-02T09:12:14" maxDate="2026-05-13T05:03:00"/>
    </cacheField>
    <cacheField name="Date (Pacific)" numFmtId="0">
      <sharedItems containsNonDate="0" containsDate="1" containsString="0" containsBlank="1" minDate="2026-02-02T00:00:00" maxDate="2026-05-14T00:00:00" count="102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4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6566ea4d-b3f9-4da0-ab75-933265920120"/>
    <s v="***"/>
    <d v="2026-03-17T08:04:56"/>
    <n v="1"/>
    <x v="95"/>
    <d v="2026-03-17T01:04:56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fce3f858-bcef-466b-99c4-3c8802291e67"/>
    <s v="***"/>
    <d v="2026-03-17T13:37:57"/>
    <n v="531"/>
    <x v="1"/>
    <d v="2026-03-17T06:37:57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e9d1354f-9db8-4b4d-9ed8-1e56390eb5cb"/>
    <s v="***"/>
    <d v="2026-03-18T10:59:36"/>
    <n v="36"/>
    <x v="1"/>
    <d v="2026-03-18T03:59:36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f2e07a37-bf25-49b1-8e0d-2ff433ef4e49"/>
    <s v="***"/>
    <d v="2026-03-19T14:29:22"/>
    <n v="575"/>
    <x v="71"/>
    <d v="2026-03-19T07:29:22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eaaebb8a-0d57-4eae-9906-10875da2ba30"/>
    <s v="***"/>
    <d v="2026-03-21T00:47:05"/>
    <n v="36"/>
    <x v="1"/>
    <d v="2026-03-20T17:47:05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7aebd4b5-38a7-41b2-87be-c54e42ad4a7b"/>
    <s v="***"/>
    <d v="2026-03-24T13:24:15"/>
    <n v="575"/>
    <x v="17"/>
    <d v="2026-03-24T06:24:15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a42092e6-8b4c-4600-a71a-18849b899f37"/>
    <s v="***"/>
    <d v="2026-03-25T17:13:14"/>
    <n v="1"/>
    <x v="109"/>
    <d v="2026-03-25T10:13:14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87955bef-e233-47c9-8f7d-a9f19ec15568"/>
    <s v="***"/>
    <d v="2026-04-09T17:16:18"/>
    <n v="575"/>
    <x v="73"/>
    <d v="2026-04-09T10:16:1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cf3b2510-f6ef-4797-85a7-9cfaa7f7e3d8"/>
    <s v="***"/>
    <d v="2026-04-10T15:39:03"/>
    <n v="530"/>
    <x v="1"/>
    <d v="2026-04-10T08:39:03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s v="46d2007f-3318-48c6-ab62-a4a53e92cd7a"/>
    <s v="***"/>
    <d v="2026-04-10T17:17:20"/>
    <n v="530"/>
    <x v="1"/>
    <d v="2026-04-10T10:17:20"/>
    <x v="67"/>
    <s v="Friday"/>
    <n v="10"/>
  </r>
  <r>
    <s v="6cdef459-27ce-4853-8e85-00eb0f99d1b3"/>
    <s v="***"/>
    <d v="2026-04-10T17:18:50"/>
    <n v="530"/>
    <x v="141"/>
    <d v="2026-04-10T10:18:50"/>
    <x v="67"/>
    <s v="Friday"/>
    <n v="10"/>
  </r>
  <r>
    <s v="4be506f9-7d2b-4750-bf37-eae2c18b6aea"/>
    <s v="***"/>
    <d v="2026-04-10T17:51:30"/>
    <n v="530"/>
    <x v="1"/>
    <d v="2026-04-10T10:51:30"/>
    <x v="67"/>
    <s v="Friday"/>
    <n v="10"/>
  </r>
  <r>
    <s v="af090fff-1a18-4fdb-953e-e9ccd352f2bd"/>
    <s v="***"/>
    <d v="2026-04-10T18:04:49"/>
    <n v="530"/>
    <x v="1"/>
    <d v="2026-04-10T11:04:49"/>
    <x v="67"/>
    <s v="Friday"/>
    <n v="11"/>
  </r>
  <r>
    <s v="2d0f4401-2537-4b42-876f-001570a14931"/>
    <s v="***"/>
    <d v="2026-04-10T19:17:43"/>
    <n v="530"/>
    <x v="1"/>
    <d v="2026-04-10T12:17:43"/>
    <x v="67"/>
    <s v="Friday"/>
    <n v="12"/>
  </r>
  <r>
    <s v="281d9027-51f3-40ae-aadf-664759d90abc"/>
    <s v="***"/>
    <d v="2026-04-10T22:07:42"/>
    <n v="3"/>
    <x v="1"/>
    <d v="2026-04-10T15:07:42"/>
    <x v="67"/>
    <s v="Friday"/>
    <n v="15"/>
  </r>
  <r>
    <s v="b7550221-895c-4385-a20c-7bfe8f69ae59"/>
    <s v="***"/>
    <d v="2026-04-11T06:26:26"/>
    <n v="530"/>
    <x v="1"/>
    <d v="2026-04-10T23:26:26"/>
    <x v="67"/>
    <s v="Friday"/>
    <n v="23"/>
  </r>
  <r>
    <s v="69ba5e17-44ce-4d84-b3cc-82b025d9a80b"/>
    <s v="***"/>
    <d v="2026-04-11T07:56:10"/>
    <n v="530"/>
    <x v="1"/>
    <d v="2026-04-11T00:56:10"/>
    <x v="68"/>
    <s v="Saturday"/>
    <n v="0"/>
  </r>
  <r>
    <s v="db1499bc-6fa6-4d4d-a676-8abaecb041bf"/>
    <s v="***"/>
    <d v="2026-04-11T11:33:12"/>
    <n v="530"/>
    <x v="1"/>
    <d v="2026-04-11T04:33:12"/>
    <x v="68"/>
    <s v="Saturday"/>
    <n v="4"/>
  </r>
  <r>
    <s v="de9eb9b0-bef9-4df5-b468-b0f661fb9f86"/>
    <s v="***"/>
    <d v="2026-04-11T11:38:47"/>
    <n v="3"/>
    <x v="1"/>
    <d v="2026-04-11T04:38:47"/>
    <x v="68"/>
    <s v="Saturday"/>
    <n v="4"/>
  </r>
  <r>
    <s v="6b479c9d-6fdf-4a7d-88de-5d08605c545b"/>
    <s v="***"/>
    <d v="2026-04-11T12:28:13"/>
    <n v="575"/>
    <x v="1"/>
    <d v="2026-04-11T05:28:13"/>
    <x v="68"/>
    <s v="Saturday"/>
    <n v="5"/>
  </r>
  <r>
    <s v="36726895-c39a-45d9-8e21-6e2d421267ca"/>
    <s v="***"/>
    <d v="2026-04-11T12:29:28"/>
    <n v="530"/>
    <x v="1"/>
    <d v="2026-04-11T05:29:28"/>
    <x v="68"/>
    <s v="Saturday"/>
    <n v="5"/>
  </r>
  <r>
    <s v="0f2dd19b-34d6-4b0b-96ac-5e2472109de0"/>
    <s v="***"/>
    <d v="2026-04-11T13:32:31"/>
    <n v="575"/>
    <x v="1"/>
    <d v="2026-04-11T06:32:31"/>
    <x v="68"/>
    <s v="Saturday"/>
    <n v="6"/>
  </r>
  <r>
    <s v="82e00e11-b887-4308-937d-bfa84ae9389d"/>
    <s v="***"/>
    <d v="2026-04-11T13:35:46"/>
    <n v="575"/>
    <x v="1"/>
    <d v="2026-04-11T06:35:46"/>
    <x v="68"/>
    <s v="Saturday"/>
    <n v="6"/>
  </r>
  <r>
    <s v="f04b9799-16b9-4a0f-9e46-a4d626c61379"/>
    <s v="***"/>
    <d v="2026-04-11T14:07:18"/>
    <n v="575"/>
    <x v="1"/>
    <d v="2026-04-11T07:07:18"/>
    <x v="68"/>
    <s v="Saturday"/>
    <n v="7"/>
  </r>
  <r>
    <s v="6c5cf196-9d85-4d95-bbf0-71b98cd3004f"/>
    <s v="***"/>
    <d v="2026-04-11T14:15:44"/>
    <n v="530"/>
    <x v="6"/>
    <d v="2026-04-11T07:15:44"/>
    <x v="68"/>
    <s v="Saturday"/>
    <n v="7"/>
  </r>
  <r>
    <s v="4752afe4-17f7-45c6-b667-5c20786b5df9"/>
    <s v="***"/>
    <d v="2026-04-11T15:34:39"/>
    <n v="575"/>
    <x v="1"/>
    <d v="2026-04-11T08:34:39"/>
    <x v="68"/>
    <s v="Saturday"/>
    <n v="8"/>
  </r>
  <r>
    <s v="5adeecd4-8974-4084-aa8f-5029dfde63e7"/>
    <s v="***"/>
    <d v="2026-04-11T15:39:51"/>
    <n v="530"/>
    <x v="5"/>
    <d v="2026-04-11T08:39:51"/>
    <x v="68"/>
    <s v="Saturday"/>
    <n v="8"/>
  </r>
  <r>
    <s v="01dbc60e-4f63-41c7-9d67-ae89236131ca"/>
    <s v="***"/>
    <d v="2026-04-11T16:14:46"/>
    <n v="575"/>
    <x v="1"/>
    <d v="2026-04-11T09:14:46"/>
    <x v="68"/>
    <s v="Saturday"/>
    <n v="9"/>
  </r>
  <r>
    <s v="3ae24b3e-e97b-467a-b13b-8d4bf77a98d1"/>
    <s v="***"/>
    <d v="2026-04-11T17:02:51"/>
    <n v="3"/>
    <x v="1"/>
    <d v="2026-04-11T10:02:51"/>
    <x v="68"/>
    <s v="Saturday"/>
    <n v="10"/>
  </r>
  <r>
    <s v="6740d2ce-b63d-415c-9604-5fb576f60736"/>
    <s v="***"/>
    <d v="2026-04-11T17:02:56"/>
    <n v="3"/>
    <x v="1"/>
    <d v="2026-04-11T10:02:56"/>
    <x v="68"/>
    <s v="Saturday"/>
    <n v="10"/>
  </r>
  <r>
    <s v="83086c41-4241-4166-98f9-08de738e4d46"/>
    <s v="***"/>
    <d v="2026-04-11T17:12:19"/>
    <n v="575"/>
    <x v="1"/>
    <d v="2026-04-11T10:12:19"/>
    <x v="68"/>
    <s v="Saturday"/>
    <n v="10"/>
  </r>
  <r>
    <s v="89185e34-c350-456d-ba00-5f595b4298fa"/>
    <s v="***"/>
    <d v="2026-04-11T18:27:00"/>
    <n v="530"/>
    <x v="1"/>
    <d v="2026-04-11T11:27:00"/>
    <x v="68"/>
    <s v="Saturday"/>
    <n v="11"/>
  </r>
  <r>
    <s v="9f7512e7-b394-46f1-965c-12110a8d6766"/>
    <s v="***"/>
    <d v="2026-04-11T19:25:41"/>
    <n v="530"/>
    <x v="6"/>
    <d v="2026-04-11T12:25:41"/>
    <x v="68"/>
    <s v="Saturday"/>
    <n v="12"/>
  </r>
  <r>
    <s v="e5200ee0-f79b-44ca-9f69-f39233df25bf"/>
    <s v="***"/>
    <d v="2026-04-11T19:32:06"/>
    <n v="530"/>
    <x v="1"/>
    <d v="2026-04-11T12:32:06"/>
    <x v="68"/>
    <s v="Saturday"/>
    <n v="12"/>
  </r>
  <r>
    <s v="22414747-b29b-42ca-9715-6e9b9e57ab88"/>
    <s v="***"/>
    <d v="2026-04-11T20:23:05"/>
    <n v="530"/>
    <x v="1"/>
    <d v="2026-04-11T13:23:05"/>
    <x v="68"/>
    <s v="Saturday"/>
    <n v="13"/>
  </r>
  <r>
    <s v="1762505a-dfa8-40c2-bad4-8e61b44c45c9"/>
    <s v="***"/>
    <d v="2026-04-11T21:59:24"/>
    <n v="530"/>
    <x v="1"/>
    <d v="2026-04-11T14:59:24"/>
    <x v="68"/>
    <s v="Saturday"/>
    <n v="14"/>
  </r>
  <r>
    <s v="d01149d1-287c-47cb-8e32-3dbffb226bd4"/>
    <s v="***"/>
    <d v="2026-04-12T01:06:01"/>
    <n v="3"/>
    <x v="1"/>
    <d v="2026-04-11T18:06:01"/>
    <x v="68"/>
    <s v="Saturday"/>
    <n v="18"/>
  </r>
  <r>
    <s v="75bb5d5d-2c8c-474c-b2c3-13ff0e55ddc2"/>
    <s v="***"/>
    <d v="2026-04-12T09:51:25"/>
    <n v="530"/>
    <x v="1"/>
    <d v="2026-04-12T02:51:25"/>
    <x v="69"/>
    <s v="Sunday"/>
    <n v="2"/>
  </r>
  <r>
    <s v="51235426-dad3-4e98-b44e-3870deca2c52"/>
    <s v="***"/>
    <d v="2026-04-12T10:26:12"/>
    <n v="3"/>
    <x v="143"/>
    <d v="2026-04-12T03:26:12"/>
    <x v="69"/>
    <s v="Sunday"/>
    <n v="3"/>
  </r>
  <r>
    <s v="227cb521-c6fd-4136-8aac-6e1f308a7440"/>
    <s v="***"/>
    <d v="2026-04-12T11:13:39"/>
    <n v="3"/>
    <x v="143"/>
    <d v="2026-04-12T04:13:39"/>
    <x v="69"/>
    <s v="Sunday"/>
    <n v="4"/>
  </r>
  <r>
    <s v="0603201e-1be9-4ed0-904d-c981a8b18b04"/>
    <s v="***"/>
    <d v="2026-04-12T14:33:03"/>
    <n v="3"/>
    <x v="143"/>
    <d v="2026-04-12T07:33:03"/>
    <x v="69"/>
    <s v="Sunday"/>
    <n v="7"/>
  </r>
  <r>
    <s v="545708e8-5a1e-4213-9fcd-e5aed520e417"/>
    <s v="***"/>
    <d v="2026-04-12T15:36:32"/>
    <n v="530"/>
    <x v="1"/>
    <d v="2026-04-12T08:36:32"/>
    <x v="69"/>
    <s v="Sunday"/>
    <n v="8"/>
  </r>
  <r>
    <s v="e60d7ba3-6811-4489-996d-5acc37f0e52f"/>
    <s v="***"/>
    <d v="2026-04-12T20:31:19"/>
    <n v="530"/>
    <x v="1"/>
    <d v="2026-04-12T13:31:19"/>
    <x v="69"/>
    <s v="Sunday"/>
    <n v="13"/>
  </r>
  <r>
    <s v="6bdf8f0e-7d40-4fe7-b272-6be6aece21dd"/>
    <s v="***"/>
    <d v="2026-04-12T21:17:47"/>
    <n v="530"/>
    <x v="6"/>
    <d v="2026-04-12T14:17:47"/>
    <x v="69"/>
    <s v="Sunday"/>
    <n v="14"/>
  </r>
  <r>
    <s v="659bc228-006a-47ad-a3e3-fd459d6c4529"/>
    <s v="***"/>
    <d v="2026-04-12T21:41:57"/>
    <n v="3"/>
    <x v="1"/>
    <d v="2026-04-12T14:41:57"/>
    <x v="69"/>
    <s v="Sunday"/>
    <n v="14"/>
  </r>
  <r>
    <s v="c0ce816c-84be-4cd3-b042-46537bbb9bcc"/>
    <s v="***"/>
    <d v="2026-04-12T22:04:18"/>
    <n v="575"/>
    <x v="44"/>
    <d v="2026-04-12T15:04:18"/>
    <x v="69"/>
    <s v="Sunday"/>
    <n v="15"/>
  </r>
  <r>
    <s v="ca3afe0b-db77-456d-944c-f0dd9f365563"/>
    <s v="***"/>
    <d v="2026-04-12T22:05:49"/>
    <n v="575"/>
    <x v="17"/>
    <d v="2026-04-12T15:05:49"/>
    <x v="69"/>
    <s v="Sunday"/>
    <n v="15"/>
  </r>
  <r>
    <s v="0465f8e4-0521-44a8-a06e-852f11ce8de0"/>
    <s v="***"/>
    <d v="2026-04-13T05:24:42"/>
    <n v="530"/>
    <x v="6"/>
    <d v="2026-04-12T22:24:42"/>
    <x v="69"/>
    <s v="Sunday"/>
    <n v="22"/>
  </r>
  <r>
    <s v="4894f0f6-7abc-4cb3-bf97-86d2d45d6ba8"/>
    <s v="***"/>
    <d v="2026-04-13T07:02:47"/>
    <n v="530"/>
    <x v="6"/>
    <d v="2026-04-13T00:02:47"/>
    <x v="70"/>
    <s v="Monday"/>
    <n v="0"/>
  </r>
  <r>
    <s v="c8a1e731-54d8-48e2-9e46-9c0dcfb752f4"/>
    <s v="***"/>
    <d v="2026-04-13T13:40:34"/>
    <n v="36"/>
    <x v="1"/>
    <d v="2026-04-13T06:40:34"/>
    <x v="70"/>
    <s v="Monday"/>
    <n v="6"/>
  </r>
  <r>
    <s v="4b82805c-dd9f-49ad-a8b1-95e54090e073"/>
    <s v="***"/>
    <d v="2026-04-13T16:23:58"/>
    <n v="1"/>
    <x v="1"/>
    <d v="2026-04-13T09:23:58"/>
    <x v="70"/>
    <s v="Monday"/>
    <n v="9"/>
  </r>
  <r>
    <s v="bcd49c0a-de82-43fd-a220-c178fedaa689"/>
    <s v="***"/>
    <d v="2026-04-13T16:55:01"/>
    <n v="3"/>
    <x v="1"/>
    <d v="2026-04-13T09:55:01"/>
    <x v="70"/>
    <s v="Monday"/>
    <n v="9"/>
  </r>
  <r>
    <s v="41c982ca-3534-41fa-b848-0745b4228433"/>
    <s v="***"/>
    <d v="2026-04-13T16:59:00"/>
    <n v="575"/>
    <x v="144"/>
    <d v="2026-04-13T09:59:00"/>
    <x v="70"/>
    <s v="Monday"/>
    <n v="9"/>
  </r>
  <r>
    <s v="982862e7-cd58-4685-8b95-e7556de4d6c7"/>
    <s v="***"/>
    <d v="2026-04-13T16:59:28"/>
    <n v="3"/>
    <x v="90"/>
    <d v="2026-04-13T09:59:28"/>
    <x v="70"/>
    <s v="Monday"/>
    <n v="9"/>
  </r>
  <r>
    <s v="36096b88-0237-49fe-b8ed-a09f259be86f"/>
    <s v="***"/>
    <d v="2026-04-13T16:59:31"/>
    <n v="2"/>
    <x v="1"/>
    <d v="2026-04-13T09:59:31"/>
    <x v="70"/>
    <s v="Monday"/>
    <n v="9"/>
  </r>
  <r>
    <s v="beee3c0b-445f-4134-bb7d-d8a2d6dbf70e"/>
    <s v="***"/>
    <d v="2026-04-13T17:02:23"/>
    <n v="5"/>
    <x v="90"/>
    <d v="2026-04-13T10:02:23"/>
    <x v="70"/>
    <s v="Monday"/>
    <n v="10"/>
  </r>
  <r>
    <s v="d7a732cf-f001-4373-818d-27b2bdcbb30f"/>
    <s v="***"/>
    <d v="2026-04-13T17:03:51"/>
    <n v="575"/>
    <x v="144"/>
    <d v="2026-04-13T10:03:51"/>
    <x v="70"/>
    <s v="Monday"/>
    <n v="10"/>
  </r>
  <r>
    <s v="f1e16e13-d466-47bc-9cac-1fbe8cf202d9"/>
    <s v="***"/>
    <d v="2026-04-13T17:40:11"/>
    <n v="35"/>
    <x v="1"/>
    <d v="2026-04-13T10:40:11"/>
    <x v="70"/>
    <s v="Monday"/>
    <n v="10"/>
  </r>
  <r>
    <s v="3edde94a-ff98-4231-953b-da4c24c5b73a"/>
    <s v="***"/>
    <d v="2026-04-13T19:02:43"/>
    <n v="35"/>
    <x v="1"/>
    <d v="2026-04-13T12:02:43"/>
    <x v="70"/>
    <s v="Monday"/>
    <n v="12"/>
  </r>
  <r>
    <s v="77669985-c9f6-4e8f-8078-0cf9297054a7"/>
    <s v="***"/>
    <d v="2026-04-13T21:00:43"/>
    <n v="530"/>
    <x v="6"/>
    <d v="2026-04-13T14:00:43"/>
    <x v="70"/>
    <s v="Monday"/>
    <n v="14"/>
  </r>
  <r>
    <s v="1739e164-16eb-4c21-8863-736529525835"/>
    <s v="***"/>
    <d v="2026-04-14T03:51:39"/>
    <n v="3"/>
    <x v="1"/>
    <d v="2026-04-13T20:51:39"/>
    <x v="70"/>
    <s v="Monday"/>
    <n v="20"/>
  </r>
  <r>
    <s v="9459894f-c4de-4293-a7f1-d151ebbd35ef"/>
    <s v="***"/>
    <d v="2026-04-14T04:35:26"/>
    <n v="3"/>
    <x v="1"/>
    <d v="2026-04-13T21:35:26"/>
    <x v="70"/>
    <s v="Monday"/>
    <n v="21"/>
  </r>
  <r>
    <s v="25832154-6326-416d-bd28-e2ea7aa336f5"/>
    <s v="***"/>
    <d v="2026-04-14T10:22:45"/>
    <n v="35"/>
    <x v="1"/>
    <d v="2026-04-14T03:22:45"/>
    <x v="71"/>
    <s v="Tuesday"/>
    <n v="3"/>
  </r>
  <r>
    <s v="43059949-15b2-469c-ace1-c27800ecc62b"/>
    <s v="***"/>
    <d v="2026-04-14T11:29:26"/>
    <n v="3"/>
    <x v="50"/>
    <d v="2026-04-14T04:29:26"/>
    <x v="71"/>
    <s v="Tuesday"/>
    <n v="4"/>
  </r>
  <r>
    <s v="693c5415-c558-485b-9eb3-01c2c0fcbd25"/>
    <s v="***"/>
    <d v="2026-04-14T11:44:20"/>
    <n v="530"/>
    <x v="1"/>
    <d v="2026-04-14T04:44:20"/>
    <x v="71"/>
    <s v="Tuesday"/>
    <n v="4"/>
  </r>
  <r>
    <s v="54ad46b2-6f8a-4087-ae50-37c3510d0899"/>
    <s v="***"/>
    <d v="2026-04-14T12:22:45"/>
    <n v="3"/>
    <x v="50"/>
    <d v="2026-04-14T05:22:45"/>
    <x v="71"/>
    <s v="Tuesday"/>
    <n v="5"/>
  </r>
  <r>
    <s v="76bb55ad-859b-4ef5-a38a-014918264425"/>
    <s v="***"/>
    <d v="2026-04-14T13:03:36"/>
    <n v="575"/>
    <x v="71"/>
    <d v="2026-04-14T06:03:36"/>
    <x v="71"/>
    <s v="Tuesday"/>
    <n v="6"/>
  </r>
  <r>
    <s v="4eeb4c1f-6434-474a-af40-f418b7adb835"/>
    <s v="***"/>
    <d v="2026-04-14T13:50:25"/>
    <n v="3"/>
    <x v="1"/>
    <d v="2026-04-14T06:50:25"/>
    <x v="71"/>
    <s v="Tuesday"/>
    <n v="6"/>
  </r>
  <r>
    <s v="cb677b58-bf85-451e-a296-764b69d514dc"/>
    <s v="***"/>
    <d v="2026-04-14T13:51:54"/>
    <n v="3"/>
    <x v="1"/>
    <d v="2026-04-14T06:51:54"/>
    <x v="71"/>
    <s v="Tuesday"/>
    <n v="6"/>
  </r>
  <r>
    <s v="98426817-93f6-4b1d-a8f8-1e31e0fb67c5"/>
    <s v="***"/>
    <d v="2026-04-14T13:54:53"/>
    <n v="2"/>
    <x v="1"/>
    <d v="2026-04-14T06:54:53"/>
    <x v="71"/>
    <s v="Tuesday"/>
    <n v="6"/>
  </r>
  <r>
    <s v="e30d5ffe-8233-4dec-9509-3a863e7543f9"/>
    <s v="***"/>
    <d v="2026-04-14T13:58:13"/>
    <n v="3"/>
    <x v="10"/>
    <d v="2026-04-14T06:58:13"/>
    <x v="71"/>
    <s v="Tuesday"/>
    <n v="6"/>
  </r>
  <r>
    <s v="630f9f7d-78a5-4007-9340-50ed3c833855"/>
    <s v="***"/>
    <d v="2026-04-14T14:00:04"/>
    <n v="3"/>
    <x v="10"/>
    <d v="2026-04-14T07:00:04"/>
    <x v="71"/>
    <s v="Tuesday"/>
    <n v="7"/>
  </r>
  <r>
    <s v="528296f3-2014-4241-ba80-00a39c7f7059"/>
    <s v="***"/>
    <d v="2026-04-14T14:00:08"/>
    <n v="530"/>
    <x v="1"/>
    <d v="2026-04-14T07:00:08"/>
    <x v="71"/>
    <s v="Tuesday"/>
    <n v="7"/>
  </r>
  <r>
    <s v="c66318b0-7b4a-4f86-8825-74bebc29736a"/>
    <s v="***"/>
    <d v="2026-04-14T14:45:18"/>
    <n v="35"/>
    <x v="145"/>
    <d v="2026-04-14T07:45:18"/>
    <x v="71"/>
    <s v="Tuesday"/>
    <n v="7"/>
  </r>
  <r>
    <s v="4430fb57-7870-4396-8f25-9ec91680a845"/>
    <s v="***"/>
    <d v="2026-04-14T15:01:19"/>
    <n v="3"/>
    <x v="50"/>
    <d v="2026-04-14T08:01:19"/>
    <x v="71"/>
    <s v="Tuesday"/>
    <n v="8"/>
  </r>
  <r>
    <s v="ffe42678-ed62-4bdf-9429-befdf3f7fcea"/>
    <s v="***"/>
    <d v="2026-04-14T15:13:07"/>
    <n v="3"/>
    <x v="1"/>
    <d v="2026-04-14T08:13:07"/>
    <x v="71"/>
    <s v="Tuesday"/>
    <n v="8"/>
  </r>
  <r>
    <s v="56449316-8fbb-467a-be13-e5de40e31914"/>
    <s v="***"/>
    <d v="2026-04-14T17:41:30"/>
    <n v="575"/>
    <x v="1"/>
    <d v="2026-04-14T10:41:30"/>
    <x v="71"/>
    <s v="Tuesday"/>
    <n v="10"/>
  </r>
  <r>
    <s v="3af5fc1a-37ba-4be7-949c-b2bf2c4583bf"/>
    <s v="***"/>
    <d v="2026-04-14T18:10:51"/>
    <n v="35"/>
    <x v="1"/>
    <d v="2026-04-14T11:10:51"/>
    <x v="71"/>
    <s v="Tuesday"/>
    <n v="11"/>
  </r>
  <r>
    <s v="eb0ed6d3-f585-4554-9023-2174db817a45"/>
    <s v="***"/>
    <d v="2026-04-14T19:18:01"/>
    <n v="3"/>
    <x v="1"/>
    <d v="2026-04-14T12:18:01"/>
    <x v="71"/>
    <s v="Tuesday"/>
    <n v="12"/>
  </r>
  <r>
    <s v="5563a754-d74a-434c-b8f4-ec695780a20e"/>
    <s v="***"/>
    <d v="2026-04-14T19:21:19"/>
    <n v="3"/>
    <x v="1"/>
    <d v="2026-04-14T12:21:19"/>
    <x v="71"/>
    <s v="Tuesday"/>
    <n v="12"/>
  </r>
  <r>
    <s v="d8feb758-38ee-4172-9c76-51340fa44dba"/>
    <s v="***"/>
    <d v="2026-04-14T19:23:33"/>
    <n v="3"/>
    <x v="1"/>
    <d v="2026-04-14T12:23:33"/>
    <x v="71"/>
    <s v="Tuesday"/>
    <n v="12"/>
  </r>
  <r>
    <s v="2f080344-bd89-4333-9e92-152553bcf4a6"/>
    <s v="***"/>
    <d v="2026-04-14T19:25:04"/>
    <n v="573"/>
    <x v="121"/>
    <d v="2026-04-14T12:25:04"/>
    <x v="71"/>
    <s v="Tuesday"/>
    <n v="12"/>
  </r>
  <r>
    <s v="63748cf2-00e7-4de8-a08b-76238a3242ff"/>
    <s v="***"/>
    <d v="2026-04-14T19:49:15"/>
    <n v="528"/>
    <x v="1"/>
    <d v="2026-04-14T12:49:15"/>
    <x v="71"/>
    <s v="Tuesday"/>
    <n v="12"/>
  </r>
  <r>
    <s v="1ee7a30a-1e6d-4530-bdf7-f861b67811ea"/>
    <s v="***"/>
    <d v="2026-04-14T21:08:44"/>
    <n v="528"/>
    <x v="6"/>
    <d v="2026-04-14T14:08:44"/>
    <x v="71"/>
    <s v="Tuesday"/>
    <n v="14"/>
  </r>
  <r>
    <s v="4920fb57-fffc-4ac7-a371-671eea7fd857"/>
    <s v="***"/>
    <d v="2026-04-15T04:15:33"/>
    <n v="3"/>
    <x v="1"/>
    <d v="2026-04-14T21:15:33"/>
    <x v="71"/>
    <s v="Tuesday"/>
    <n v="21"/>
  </r>
  <r>
    <s v="51c69458-21f9-4a14-bf5a-8436fc1107d2"/>
    <s v="***"/>
    <d v="2026-04-15T11:46:51"/>
    <n v="3"/>
    <x v="45"/>
    <d v="2026-04-15T04:46:51"/>
    <x v="72"/>
    <s v="Wednesday"/>
    <n v="4"/>
  </r>
  <r>
    <s v="73a18945-610d-42e2-997b-06d13dc88377"/>
    <s v="***"/>
    <d v="2026-04-15T12:52:51"/>
    <n v="528"/>
    <x v="1"/>
    <d v="2026-04-15T05:52:51"/>
    <x v="72"/>
    <s v="Wednesday"/>
    <n v="5"/>
  </r>
  <r>
    <s v="f2779f79-a16d-4cde-99ef-de4fafc4a76b"/>
    <s v="***"/>
    <d v="2026-04-15T13:01:57"/>
    <n v="528"/>
    <x v="1"/>
    <d v="2026-04-15T06:01:57"/>
    <x v="72"/>
    <s v="Wednesday"/>
    <n v="6"/>
  </r>
  <r>
    <s v="a5b365a8-73df-4b05-af21-6eadd9f82177"/>
    <s v="***"/>
    <d v="2026-04-15T14:04:01"/>
    <n v="3"/>
    <x v="1"/>
    <d v="2026-04-15T07:04:01"/>
    <x v="72"/>
    <s v="Wednesday"/>
    <n v="7"/>
  </r>
  <r>
    <s v="a3b1be3b-bb26-4364-afcd-9691ffdfab41"/>
    <s v="***"/>
    <d v="2026-04-15T14:24:30"/>
    <n v="573"/>
    <x v="1"/>
    <d v="2026-04-15T07:24:30"/>
    <x v="72"/>
    <s v="Wednesday"/>
    <n v="7"/>
  </r>
  <r>
    <s v="016f7462-b870-4df0-9a03-90b0cb31463e"/>
    <s v="***"/>
    <d v="2026-04-15T14:33:32"/>
    <n v="528"/>
    <x v="1"/>
    <d v="2026-04-15T07:33:32"/>
    <x v="72"/>
    <s v="Wednesday"/>
    <n v="7"/>
  </r>
  <r>
    <s v="306c3a1c-1fb0-41a9-aa48-d02c1045def2"/>
    <s v="***"/>
    <d v="2026-04-15T18:32:45"/>
    <n v="528"/>
    <x v="1"/>
    <d v="2026-04-15T11:32:45"/>
    <x v="72"/>
    <s v="Wednesday"/>
    <n v="11"/>
  </r>
  <r>
    <s v="30d631ac-0810-4529-951b-a0de0645ddbf"/>
    <s v="***"/>
    <d v="2026-04-15T19:50:08"/>
    <n v="528"/>
    <x v="1"/>
    <d v="2026-04-15T12:50:08"/>
    <x v="72"/>
    <s v="Wednesday"/>
    <n v="12"/>
  </r>
  <r>
    <s v="d60ae27d-b7df-4561-bc66-d4540bcec9c4"/>
    <s v="***"/>
    <d v="2026-04-15T20:27:58"/>
    <n v="3"/>
    <x v="1"/>
    <d v="2026-04-15T13:27:58"/>
    <x v="72"/>
    <s v="Wednesday"/>
    <n v="13"/>
  </r>
  <r>
    <s v="ea666f83-7084-410f-bd25-bfadf591a801"/>
    <s v="***"/>
    <d v="2026-04-15T21:12:25"/>
    <n v="2"/>
    <x v="146"/>
    <d v="2026-04-15T14:12:25"/>
    <x v="72"/>
    <s v="Wednesday"/>
    <n v="14"/>
  </r>
  <r>
    <s v="03eddb71-72f0-40bc-bec7-19407279dde7"/>
    <s v="***"/>
    <d v="2026-04-15T22:12:43"/>
    <n v="573"/>
    <x v="1"/>
    <d v="2026-04-15T15:12:43"/>
    <x v="72"/>
    <s v="Wednesday"/>
    <n v="15"/>
  </r>
  <r>
    <s v="99314a0b-7120-43a6-b3d7-37fdb9611291"/>
    <s v="***"/>
    <d v="2026-04-16T09:47:13"/>
    <n v="528"/>
    <x v="1"/>
    <d v="2026-04-16T02:47:13"/>
    <x v="73"/>
    <s v="Thursday"/>
    <n v="2"/>
  </r>
  <r>
    <s v="91111b1a-5b99-4e5c-8040-f0b0d2e64e25"/>
    <s v="***"/>
    <d v="2026-04-16T12:12:43"/>
    <n v="528"/>
    <x v="1"/>
    <d v="2026-04-16T05:12:43"/>
    <x v="73"/>
    <s v="Thursday"/>
    <n v="5"/>
  </r>
  <r>
    <s v="07299c2f-2400-41ad-8b55-d7ae26261fc1"/>
    <s v="***"/>
    <d v="2026-04-16T14:29:35"/>
    <n v="528"/>
    <x v="1"/>
    <d v="2026-04-16T07:29:35"/>
    <x v="73"/>
    <s v="Thursday"/>
    <n v="7"/>
  </r>
  <r>
    <s v="9912f110-e8e2-4a4e-88c4-8c0977279bb8"/>
    <s v="***"/>
    <d v="2026-04-16T15:35:06"/>
    <n v="3"/>
    <x v="1"/>
    <d v="2026-04-16T08:35:06"/>
    <x v="73"/>
    <s v="Thursday"/>
    <n v="8"/>
  </r>
  <r>
    <s v="25421780-1133-4339-85b3-0ead11ab5e4d"/>
    <s v="***"/>
    <d v="2026-04-16T15:37:00"/>
    <n v="528"/>
    <x v="1"/>
    <d v="2026-04-16T08:37:00"/>
    <x v="73"/>
    <s v="Thursday"/>
    <n v="8"/>
  </r>
  <r>
    <s v="b62e751b-70ce-47ad-8922-8bca06b81a4c"/>
    <s v="***"/>
    <d v="2026-04-16T15:48:04"/>
    <n v="35"/>
    <x v="1"/>
    <d v="2026-04-16T08:48:04"/>
    <x v="73"/>
    <s v="Thursday"/>
    <n v="8"/>
  </r>
  <r>
    <s v="74436a42-a3d8-4b73-a744-d9aa8a4ef4ad"/>
    <s v="***"/>
    <d v="2026-04-16T16:36:05"/>
    <n v="528"/>
    <x v="1"/>
    <d v="2026-04-16T09:36:05"/>
    <x v="73"/>
    <s v="Thursday"/>
    <n v="9"/>
  </r>
  <r>
    <s v="1d47df56-ef89-4255-95de-527b776d6ef0"/>
    <s v="***"/>
    <d v="2026-04-16T18:36:57"/>
    <n v="3"/>
    <x v="1"/>
    <d v="2026-04-16T11:36:57"/>
    <x v="73"/>
    <s v="Thursday"/>
    <n v="11"/>
  </r>
  <r>
    <s v="e39e6e7a-c3b4-4601-beea-f763f227ef82"/>
    <s v="***"/>
    <d v="2026-04-16T19:01:06"/>
    <n v="528"/>
    <x v="1"/>
    <d v="2026-04-16T12:01:06"/>
    <x v="73"/>
    <s v="Thursday"/>
    <n v="12"/>
  </r>
  <r>
    <s v="f2d6129f-f21f-4315-8b1d-aba13c217268"/>
    <s v="***"/>
    <d v="2026-04-17T07:28:23"/>
    <n v="3"/>
    <x v="1"/>
    <d v="2026-04-17T00:28:23"/>
    <x v="74"/>
    <s v="Friday"/>
    <n v="0"/>
  </r>
  <r>
    <s v="bcfb783b-e8fd-439c-a3ef-38988d14db0f"/>
    <s v="***"/>
    <d v="2026-04-17T07:47:22"/>
    <n v="3"/>
    <x v="1"/>
    <d v="2026-04-17T00:47:22"/>
    <x v="74"/>
    <s v="Friday"/>
    <n v="0"/>
  </r>
  <r>
    <s v="ec30a41a-4be6-48af-8819-a0a54c1c0dc2"/>
    <s v="***"/>
    <d v="2026-04-17T07:49:11"/>
    <n v="3"/>
    <x v="1"/>
    <d v="2026-04-17T00:49:11"/>
    <x v="74"/>
    <s v="Friday"/>
    <n v="0"/>
  </r>
  <r>
    <s v="2481bfde-07ca-47ed-94c5-bf002dc12129"/>
    <s v="***"/>
    <d v="2026-04-17T08:37:45"/>
    <n v="3"/>
    <x v="133"/>
    <d v="2026-04-17T01:37:45"/>
    <x v="74"/>
    <s v="Friday"/>
    <n v="1"/>
  </r>
  <r>
    <s v="3fa97494-c57e-43e4-a541-a16c1a4d7422"/>
    <s v="***"/>
    <d v="2026-04-17T08:54:43"/>
    <n v="573"/>
    <x v="71"/>
    <d v="2026-04-17T01:54:43"/>
    <x v="74"/>
    <s v="Friday"/>
    <n v="1"/>
  </r>
  <r>
    <s v="eb839403-06c5-4f92-a6aa-9742f13648d0"/>
    <s v="***"/>
    <d v="2026-04-17T10:10:51"/>
    <n v="3"/>
    <x v="1"/>
    <d v="2026-04-17T03:10:51"/>
    <x v="74"/>
    <s v="Friday"/>
    <n v="3"/>
  </r>
  <r>
    <s v="84811b44-6581-490d-882b-349fc728c164"/>
    <s v="***"/>
    <d v="2026-04-17T10:53:02"/>
    <n v="3"/>
    <x v="1"/>
    <d v="2026-04-17T03:53:02"/>
    <x v="74"/>
    <s v="Friday"/>
    <n v="3"/>
  </r>
  <r>
    <s v="8ac35e96-0420-4312-b0ad-8aab179b05d8"/>
    <s v="***"/>
    <d v="2026-04-17T11:52:01"/>
    <n v="3"/>
    <x v="129"/>
    <d v="2026-04-17T04:52:01"/>
    <x v="74"/>
    <s v="Friday"/>
    <n v="4"/>
  </r>
  <r>
    <s v="338bef2c-5b02-4fd2-80a6-1ef018a486e3"/>
    <s v="***"/>
    <d v="2026-04-17T11:58:20"/>
    <n v="3"/>
    <x v="71"/>
    <d v="2026-04-17T04:58:20"/>
    <x v="74"/>
    <s v="Friday"/>
    <n v="4"/>
  </r>
  <r>
    <s v="2c383b5e-870e-4d57-bbc3-8e6520238d7e"/>
    <s v="***"/>
    <d v="2026-04-17T12:22:48"/>
    <n v="528"/>
    <x v="1"/>
    <d v="2026-04-17T05:22:48"/>
    <x v="74"/>
    <s v="Friday"/>
    <n v="5"/>
  </r>
  <r>
    <s v="20821775-3300-44db-baf7-cc06aa9735e6"/>
    <s v="***"/>
    <d v="2026-04-17T14:31:09"/>
    <n v="528"/>
    <x v="5"/>
    <d v="2026-04-17T07:31:09"/>
    <x v="74"/>
    <s v="Friday"/>
    <n v="7"/>
  </r>
  <r>
    <s v="c49bc75a-6ee6-4825-b884-8abfcbfd0965"/>
    <s v="***"/>
    <d v="2026-04-17T15:19:20"/>
    <n v="528"/>
    <x v="5"/>
    <d v="2026-04-17T08:19:20"/>
    <x v="74"/>
    <s v="Friday"/>
    <n v="8"/>
  </r>
  <r>
    <s v="0f442419-5500-42d4-a8fa-cf181936f8a0"/>
    <s v="***"/>
    <d v="2026-04-17T16:23:56"/>
    <n v="3"/>
    <x v="1"/>
    <d v="2026-04-17T09:23:56"/>
    <x v="74"/>
    <s v="Friday"/>
    <n v="9"/>
  </r>
  <r>
    <s v="2eb459d2-9b1c-4895-b32a-1ba5fa965de8"/>
    <s v="***"/>
    <d v="2026-04-17T23:49:01"/>
    <n v="573"/>
    <x v="1"/>
    <d v="2026-04-17T16:49:01"/>
    <x v="74"/>
    <s v="Friday"/>
    <n v="16"/>
  </r>
  <r>
    <s v="a190a432-25e1-4d8f-9e39-f943aaac1f19"/>
    <s v="***"/>
    <d v="2026-04-18T00:28:53"/>
    <n v="3"/>
    <x v="147"/>
    <d v="2026-04-17T17:28:53"/>
    <x v="74"/>
    <s v="Friday"/>
    <n v="17"/>
  </r>
  <r>
    <s v="261168b7-0c0d-40da-a15e-3430b9a93ffb"/>
    <s v="***"/>
    <d v="2026-04-18T10:37:18"/>
    <n v="528"/>
    <x v="1"/>
    <d v="2026-04-18T03:37:18"/>
    <x v="75"/>
    <s v="Saturday"/>
    <n v="3"/>
  </r>
  <r>
    <s v="6c9eefc0-c665-441b-9eff-5e0961f5c39f"/>
    <s v="***"/>
    <d v="2026-04-18T11:45:45"/>
    <n v="3"/>
    <x v="1"/>
    <d v="2026-04-18T04:45:45"/>
    <x v="75"/>
    <s v="Saturday"/>
    <n v="4"/>
  </r>
  <r>
    <s v="37f02573-5be1-46c1-b746-b59f01178dc1"/>
    <s v="***"/>
    <d v="2026-04-18T19:45:41"/>
    <n v="573"/>
    <x v="1"/>
    <d v="2026-04-18T12:45:41"/>
    <x v="75"/>
    <s v="Saturday"/>
    <n v="12"/>
  </r>
  <r>
    <s v="6326ff21-f053-4fcc-bf00-ef630e00da4d"/>
    <s v="***"/>
    <d v="2026-04-19T00:14:25"/>
    <n v="3"/>
    <x v="1"/>
    <d v="2026-04-18T17:14:25"/>
    <x v="75"/>
    <s v="Saturday"/>
    <n v="17"/>
  </r>
  <r>
    <s v="b5234657-2bf8-4677-84c2-1c23e982c64c"/>
    <s v="***"/>
    <d v="2026-04-19T14:59:11"/>
    <n v="3"/>
    <x v="1"/>
    <d v="2026-04-19T07:59:11"/>
    <x v="76"/>
    <s v="Sunday"/>
    <n v="7"/>
  </r>
  <r>
    <s v="50700ada-4642-417a-ab69-c339190c457b"/>
    <s v="***"/>
    <d v="2026-04-19T15:08:34"/>
    <n v="528"/>
    <x v="1"/>
    <d v="2026-04-19T08:08:34"/>
    <x v="76"/>
    <s v="Sunday"/>
    <n v="8"/>
  </r>
  <r>
    <s v="406ad15b-18ac-42b9-a1d9-2a7382831c88"/>
    <s v="***"/>
    <d v="2026-04-19T15:29:20"/>
    <n v="34"/>
    <x v="1"/>
    <d v="2026-04-19T08:29:20"/>
    <x v="76"/>
    <s v="Sunday"/>
    <n v="8"/>
  </r>
  <r>
    <s v="447d17c4-a1cc-4809-ab5b-a5566f3ccdc8"/>
    <s v="***"/>
    <d v="2026-04-19T19:25:28"/>
    <n v="2"/>
    <x v="1"/>
    <d v="2026-04-19T12:25:28"/>
    <x v="76"/>
    <s v="Sunday"/>
    <n v="12"/>
  </r>
  <r>
    <s v="361d4487-16d8-4bb0-9601-65b9253af3ea"/>
    <s v="***"/>
    <d v="2026-04-19T21:00:57"/>
    <n v="528"/>
    <x v="1"/>
    <d v="2026-04-19T14:00:57"/>
    <x v="76"/>
    <s v="Sunday"/>
    <n v="14"/>
  </r>
  <r>
    <s v="4a6aa71e-0c5f-4021-b1ff-a8d02f2154d3"/>
    <s v="***"/>
    <d v="2026-04-19T22:27:39"/>
    <n v="528"/>
    <x v="6"/>
    <d v="2026-04-19T15:27:39"/>
    <x v="76"/>
    <s v="Sunday"/>
    <n v="15"/>
  </r>
  <r>
    <s v="0123936a-a1ec-4373-b9ac-3b802d75399b"/>
    <s v="***"/>
    <d v="2026-04-20T10:57:43"/>
    <n v="3"/>
    <x v="1"/>
    <d v="2026-04-20T03:57:43"/>
    <x v="77"/>
    <s v="Monday"/>
    <n v="3"/>
  </r>
  <r>
    <s v="4f0bdba9-524d-47a2-aff8-b8408fcc13e2"/>
    <s v="***"/>
    <d v="2026-04-20T10:57:50"/>
    <n v="3"/>
    <x v="148"/>
    <d v="2026-04-20T03:57:50"/>
    <x v="77"/>
    <s v="Monday"/>
    <n v="3"/>
  </r>
  <r>
    <s v="c7bf6774-95f8-496c-882e-57e9e8701ace"/>
    <s v="***"/>
    <d v="2026-04-20T11:00:15"/>
    <n v="34"/>
    <x v="1"/>
    <d v="2026-04-20T04:00:15"/>
    <x v="77"/>
    <s v="Monday"/>
    <n v="4"/>
  </r>
  <r>
    <s v="e615e5e3-cb97-47c4-882b-c2bb45d0d1a8"/>
    <s v="***"/>
    <d v="2026-04-20T11:18:54"/>
    <n v="3"/>
    <x v="148"/>
    <d v="2026-04-20T04:18:54"/>
    <x v="77"/>
    <s v="Monday"/>
    <n v="4"/>
  </r>
  <r>
    <s v="9772fd59-6181-44b5-a726-48ce1fbb7d1a"/>
    <s v="***"/>
    <d v="2026-04-20T11:21:08"/>
    <n v="3"/>
    <x v="6"/>
    <d v="2026-04-20T04:21:08"/>
    <x v="77"/>
    <s v="Monday"/>
    <n v="4"/>
  </r>
  <r>
    <s v="af46c92a-22d8-47a3-8ae0-3b60827b1b61"/>
    <s v="***"/>
    <d v="2026-04-20T11:25:27"/>
    <n v="3"/>
    <x v="1"/>
    <d v="2026-04-20T04:25:27"/>
    <x v="77"/>
    <s v="Monday"/>
    <n v="4"/>
  </r>
  <r>
    <s v="3345651d-da7b-4f66-b6db-964b7219ceb0"/>
    <s v="***"/>
    <d v="2026-04-20T11:45:18"/>
    <n v="3"/>
    <x v="1"/>
    <d v="2026-04-20T04:45:18"/>
    <x v="77"/>
    <s v="Monday"/>
    <n v="4"/>
  </r>
  <r>
    <s v="68d4c57f-48c1-45b6-8f3d-30c45619b95e"/>
    <s v="***"/>
    <d v="2026-04-20T12:02:39"/>
    <n v="528"/>
    <x v="1"/>
    <d v="2026-04-20T05:02:39"/>
    <x v="77"/>
    <s v="Monday"/>
    <n v="5"/>
  </r>
  <r>
    <s v="6df0897b-2e75-4181-9cf3-5e186fa49ba3"/>
    <s v="***"/>
    <d v="2026-04-20T12:12:11"/>
    <n v="34"/>
    <x v="1"/>
    <d v="2026-04-20T05:12:11"/>
    <x v="77"/>
    <s v="Monday"/>
    <n v="5"/>
  </r>
  <r>
    <s v="ea6238dc-0c93-40a1-a4de-d4549a82ce88"/>
    <s v="***"/>
    <d v="2026-04-20T13:14:32"/>
    <n v="34"/>
    <x v="1"/>
    <d v="2026-04-20T06:14:32"/>
    <x v="77"/>
    <s v="Monday"/>
    <n v="6"/>
  </r>
  <r>
    <s v="cf3c1d57-014c-4345-9345-5049d3222bf6"/>
    <s v="***"/>
    <d v="2026-04-20T13:37:28"/>
    <n v="528"/>
    <x v="5"/>
    <d v="2026-04-20T06:37:28"/>
    <x v="77"/>
    <s v="Monday"/>
    <n v="6"/>
  </r>
  <r>
    <s v="fe9e8990-00de-407d-ab4b-d8926885d18a"/>
    <s v="***"/>
    <d v="2026-04-20T13:49:07"/>
    <n v="3"/>
    <x v="141"/>
    <d v="2026-04-20T06:49:07"/>
    <x v="77"/>
    <s v="Monday"/>
    <n v="6"/>
  </r>
  <r>
    <s v="7050ddce-ff56-494e-95cd-f519519c015b"/>
    <s v="***"/>
    <d v="2026-04-20T15:33:10"/>
    <n v="573"/>
    <x v="1"/>
    <d v="2026-04-20T08:33:10"/>
    <x v="77"/>
    <s v="Monday"/>
    <n v="8"/>
  </r>
  <r>
    <s v="3a5e45ff-0d07-44da-b0db-152e4888d1ef"/>
    <s v="***"/>
    <d v="2026-04-20T16:12:31"/>
    <n v="573"/>
    <x v="1"/>
    <d v="2026-04-20T09:12:31"/>
    <x v="77"/>
    <s v="Monday"/>
    <n v="9"/>
  </r>
  <r>
    <s v="6e8aaccf-6086-47d0-aef3-a183eb9aa25a"/>
    <s v="***"/>
    <d v="2026-04-20T16:29:12"/>
    <n v="528"/>
    <x v="1"/>
    <d v="2026-04-20T09:29:12"/>
    <x v="77"/>
    <s v="Monday"/>
    <n v="9"/>
  </r>
  <r>
    <s v="eb95872f-ebf1-4be4-b858-f5f4e1f16951"/>
    <s v="***"/>
    <d v="2026-04-20T16:34:33"/>
    <n v="2"/>
    <x v="1"/>
    <d v="2026-04-20T09:34:33"/>
    <x v="77"/>
    <s v="Monday"/>
    <n v="9"/>
  </r>
  <r>
    <s v="87db9bfb-3b2a-4c9e-822e-08dc49382c0d"/>
    <s v="***"/>
    <d v="2026-04-20T16:43:22"/>
    <n v="3"/>
    <x v="141"/>
    <d v="2026-04-20T09:43:22"/>
    <x v="77"/>
    <s v="Monday"/>
    <n v="9"/>
  </r>
  <r>
    <s v="3c67025d-b2d1-4b4a-a8ee-41f26dfc6cc4"/>
    <s v="***"/>
    <d v="2026-04-20T18:11:42"/>
    <n v="34"/>
    <x v="1"/>
    <d v="2026-04-20T11:11:42"/>
    <x v="77"/>
    <s v="Monday"/>
    <n v="11"/>
  </r>
  <r>
    <s v="bf22aba5-9fb5-45c8-baeb-b0e3e208cb71"/>
    <s v="***"/>
    <d v="2026-04-20T18:34:29"/>
    <n v="2"/>
    <x v="1"/>
    <d v="2026-04-20T11:34:29"/>
    <x v="77"/>
    <s v="Monday"/>
    <n v="11"/>
  </r>
  <r>
    <s v="4b7fc0e7-dfc3-413d-acde-7087e77855f0"/>
    <s v="***"/>
    <d v="2026-04-20T18:56:07"/>
    <n v="528"/>
    <x v="1"/>
    <d v="2026-04-20T11:56:07"/>
    <x v="77"/>
    <s v="Monday"/>
    <n v="11"/>
  </r>
  <r>
    <s v="eb83571c-94fa-43a4-b188-686b28ee67d9"/>
    <s v="***"/>
    <d v="2026-04-20T20:56:01"/>
    <n v="528"/>
    <x v="1"/>
    <d v="2026-04-20T13:56:01"/>
    <x v="77"/>
    <s v="Monday"/>
    <n v="13"/>
  </r>
  <r>
    <s v="7497df85-0a2a-49ee-adb3-64a75b016d84"/>
    <s v="***"/>
    <d v="2026-04-21T07:59:12"/>
    <n v="35"/>
    <x v="1"/>
    <d v="2026-04-21T00:59:12"/>
    <x v="78"/>
    <s v="Tuesday"/>
    <n v="0"/>
  </r>
  <r>
    <s v="c69a2247-7c90-45c4-bb15-4ea4822ed5bb"/>
    <s v="***"/>
    <d v="2026-04-21T12:22:17"/>
    <n v="3"/>
    <x v="1"/>
    <d v="2026-04-21T05:22:17"/>
    <x v="78"/>
    <s v="Tuesday"/>
    <n v="5"/>
  </r>
  <r>
    <s v="ea03ac5b-8eea-4b56-bd9e-6778454a9027"/>
    <s v="***"/>
    <d v="2026-04-21T12:36:40"/>
    <n v="34"/>
    <x v="1"/>
    <d v="2026-04-21T05:36:40"/>
    <x v="78"/>
    <s v="Tuesday"/>
    <n v="5"/>
  </r>
  <r>
    <s v="6a31691a-0336-49fe-a3bd-dfc6459e685b"/>
    <s v="***"/>
    <d v="2026-04-21T12:50:03"/>
    <n v="3"/>
    <x v="1"/>
    <d v="2026-04-21T05:50:03"/>
    <x v="78"/>
    <s v="Tuesday"/>
    <n v="5"/>
  </r>
  <r>
    <s v="f7352a5b-2c81-412c-a2a4-4df7cc2a0df5"/>
    <s v="***"/>
    <d v="2026-04-21T14:01:38"/>
    <n v="3"/>
    <x v="71"/>
    <d v="2026-04-21T07:01:38"/>
    <x v="78"/>
    <s v="Tuesday"/>
    <n v="7"/>
  </r>
  <r>
    <s v="63161c2e-26fb-40df-9bbe-b9a05ab625f9"/>
    <s v="***"/>
    <d v="2026-04-21T14:38:07"/>
    <n v="34"/>
    <x v="1"/>
    <d v="2026-04-21T07:38:07"/>
    <x v="78"/>
    <s v="Tuesday"/>
    <n v="7"/>
  </r>
  <r>
    <s v="4c53f9ca-194e-40b9-96ff-d22fb749c9c0"/>
    <s v="***"/>
    <d v="2026-04-21T16:17:20"/>
    <n v="3"/>
    <x v="1"/>
    <d v="2026-04-21T09:17:20"/>
    <x v="78"/>
    <s v="Tuesday"/>
    <n v="9"/>
  </r>
  <r>
    <s v="717f2d4c-6d86-40fa-a510-b91dd17ea8af"/>
    <s v="***"/>
    <d v="2026-04-21T16:23:40"/>
    <n v="572"/>
    <x v="1"/>
    <d v="2026-04-21T09:23:40"/>
    <x v="78"/>
    <s v="Tuesday"/>
    <n v="9"/>
  </r>
  <r>
    <s v="f2a83a48-e4a2-486c-adf1-05222154b767"/>
    <s v="***"/>
    <d v="2026-04-21T16:32:45"/>
    <n v="570"/>
    <x v="1"/>
    <d v="2026-04-21T09:32:45"/>
    <x v="78"/>
    <s v="Tuesday"/>
    <n v="9"/>
  </r>
  <r>
    <s v="32fb97b2-ec28-4395-9f0f-4aad3ab3139f"/>
    <s v="***"/>
    <d v="2026-04-21T16:42:00"/>
    <n v="3"/>
    <x v="71"/>
    <d v="2026-04-21T09:42:00"/>
    <x v="78"/>
    <s v="Tuesday"/>
    <n v="9"/>
  </r>
  <r>
    <s v="edcb28f4-ff8c-471f-926b-3ff42d7cb561"/>
    <s v="***"/>
    <d v="2026-04-21T17:06:14"/>
    <n v="527"/>
    <x v="71"/>
    <d v="2026-04-21T10:06:14"/>
    <x v="78"/>
    <s v="Tuesday"/>
    <n v="10"/>
  </r>
  <r>
    <s v="01c7a505-cdf1-4d5f-802d-48e0d87db16a"/>
    <s v="***"/>
    <d v="2026-04-21T17:08:58"/>
    <n v="3"/>
    <x v="12"/>
    <d v="2026-04-21T10:08:58"/>
    <x v="78"/>
    <s v="Tuesday"/>
    <n v="10"/>
  </r>
  <r>
    <s v="b559bbd2-765b-428b-9748-c43aae5e884a"/>
    <s v="***"/>
    <d v="2026-04-21T17:53:57"/>
    <n v="570"/>
    <x v="1"/>
    <d v="2026-04-21T10:53:57"/>
    <x v="78"/>
    <s v="Tuesday"/>
    <n v="10"/>
  </r>
  <r>
    <s v="e171bd65-69c1-422e-a55b-4cf565d62b3b"/>
    <s v="***"/>
    <d v="2026-04-21T18:02:06"/>
    <n v="3"/>
    <x v="12"/>
    <d v="2026-04-21T11:02:06"/>
    <x v="78"/>
    <s v="Tuesday"/>
    <n v="11"/>
  </r>
  <r>
    <s v="27fe4dbf-e03d-46d9-bf3c-aab81fad328c"/>
    <s v="***"/>
    <d v="2026-04-21T18:46:22"/>
    <n v="34"/>
    <x v="1"/>
    <d v="2026-04-21T11:46:22"/>
    <x v="78"/>
    <s v="Tuesday"/>
    <n v="11"/>
  </r>
  <r>
    <s v="32c69f86-9b9d-47b0-b30c-81f20cf8c03f"/>
    <s v="***"/>
    <d v="2026-04-21T19:41:23"/>
    <n v="34"/>
    <x v="1"/>
    <d v="2026-04-21T12:41:23"/>
    <x v="78"/>
    <s v="Tuesday"/>
    <n v="12"/>
  </r>
  <r>
    <s v="605f59c3-5508-4fa6-b6c7-b9a60c09152b"/>
    <s v="***"/>
    <d v="2026-04-21T20:00:29"/>
    <n v="527"/>
    <x v="1"/>
    <d v="2026-04-21T13:00:29"/>
    <x v="78"/>
    <s v="Tuesday"/>
    <n v="13"/>
  </r>
  <r>
    <s v="e2c0e5bf-1a57-436d-96a9-273983f1611b"/>
    <s v="***"/>
    <d v="2026-04-21T21:32:05"/>
    <n v="527"/>
    <x v="1"/>
    <d v="2026-04-21T14:32:05"/>
    <x v="78"/>
    <s v="Tuesday"/>
    <n v="14"/>
  </r>
  <r>
    <s v="bbcc6a47-30c6-4fdc-ab1f-814480da38fd"/>
    <s v="***"/>
    <d v="2026-04-22T00:06:02"/>
    <n v="527"/>
    <x v="1"/>
    <d v="2026-04-21T17:06:02"/>
    <x v="78"/>
    <s v="Tuesday"/>
    <n v="17"/>
  </r>
  <r>
    <s v="8a1e851d-2168-4801-8e0e-f2fee3f19a15"/>
    <s v="***"/>
    <d v="2026-04-22T01:18:01"/>
    <n v="527"/>
    <x v="1"/>
    <d v="2026-04-21T18:18:01"/>
    <x v="78"/>
    <s v="Tuesday"/>
    <n v="18"/>
  </r>
  <r>
    <s v="209afc14-97ca-4a6e-9f50-8724c4007c96"/>
    <s v="***"/>
    <d v="2026-04-22T01:26:55"/>
    <n v="527"/>
    <x v="1"/>
    <d v="2026-04-21T18:26:55"/>
    <x v="78"/>
    <s v="Tuesday"/>
    <n v="18"/>
  </r>
  <r>
    <s v="b3da85cb-a670-470b-92c2-bd4f37d43f0a"/>
    <s v="***"/>
    <d v="2026-04-22T02:04:45"/>
    <n v="527"/>
    <x v="1"/>
    <d v="2026-04-21T19:04:45"/>
    <x v="78"/>
    <s v="Tuesday"/>
    <n v="19"/>
  </r>
  <r>
    <s v="381a6708-1b1b-4af7-a7b3-125726f099db"/>
    <s v="***"/>
    <d v="2026-04-22T04:03:41"/>
    <n v="527"/>
    <x v="1"/>
    <d v="2026-04-21T21:03:41"/>
    <x v="78"/>
    <s v="Tuesday"/>
    <n v="21"/>
  </r>
  <r>
    <s v="7b0856aa-d096-499c-a4aa-1cd4b3fb23d5"/>
    <s v="***"/>
    <d v="2026-04-22T07:54:19"/>
    <n v="3"/>
    <x v="1"/>
    <d v="2026-04-22T00:54:19"/>
    <x v="79"/>
    <s v="Wednesday"/>
    <n v="0"/>
  </r>
  <r>
    <s v="e18759b7-2d9b-4031-9496-c751b416f2f3"/>
    <s v="***"/>
    <d v="2026-04-22T09:26:15"/>
    <n v="3"/>
    <x v="98"/>
    <d v="2026-04-22T02:26:15"/>
    <x v="79"/>
    <s v="Wednesday"/>
    <n v="2"/>
  </r>
  <r>
    <s v="3dbb6210-a067-4fef-9b5c-c693251d56fd"/>
    <s v="***"/>
    <d v="2026-04-22T10:53:12"/>
    <n v="3"/>
    <x v="1"/>
    <d v="2026-04-22T03:53:12"/>
    <x v="79"/>
    <s v="Wednesday"/>
    <n v="3"/>
  </r>
  <r>
    <s v="5f98b203-98c3-4160-b8dc-0bc5cfe30c11"/>
    <s v="***"/>
    <d v="2026-04-22T12:23:30"/>
    <n v="34"/>
    <x v="1"/>
    <d v="2026-04-22T05:23:30"/>
    <x v="79"/>
    <s v="Wednesday"/>
    <n v="5"/>
  </r>
  <r>
    <s v="2d5810cf-aa3b-48ed-86ab-a18349fcf6c5"/>
    <s v="***"/>
    <d v="2026-04-22T15:35:10"/>
    <n v="527"/>
    <x v="5"/>
    <d v="2026-04-22T08:35:10"/>
    <x v="79"/>
    <s v="Wednesday"/>
    <n v="8"/>
  </r>
  <r>
    <s v="4f0f388b-d089-4a34-bad2-b2a25c5ccc40"/>
    <s v="***"/>
    <d v="2026-04-22T16:00:38"/>
    <n v="3"/>
    <x v="1"/>
    <d v="2026-04-22T09:00:38"/>
    <x v="79"/>
    <s v="Wednesday"/>
    <n v="9"/>
  </r>
  <r>
    <s v="c6e64f53-fbd3-48b6-863e-9b20d7e2c0e4"/>
    <s v="***"/>
    <d v="2026-04-22T19:11:49"/>
    <n v="527"/>
    <x v="1"/>
    <d v="2026-04-22T12:11:49"/>
    <x v="79"/>
    <s v="Wednesday"/>
    <n v="12"/>
  </r>
  <r>
    <s v="6ccc014e-746c-449d-ac03-128496b71133"/>
    <s v="***"/>
    <d v="2026-04-22T21:23:11"/>
    <n v="3"/>
    <x v="149"/>
    <d v="2026-04-22T14:23:11"/>
    <x v="79"/>
    <s v="Wednesday"/>
    <n v="14"/>
  </r>
  <r>
    <s v="3da9b4ed-4a69-4b98-a753-563a3db8ccef"/>
    <s v="***"/>
    <d v="2026-04-22T23:07:38"/>
    <n v="3"/>
    <x v="43"/>
    <d v="2026-04-22T16:07:38"/>
    <x v="79"/>
    <s v="Wednesday"/>
    <n v="16"/>
  </r>
  <r>
    <s v="ee5da6b2-1673-4e46-b924-739183696bbd"/>
    <s v="***"/>
    <d v="2026-04-23T00:17:21"/>
    <n v="527"/>
    <x v="6"/>
    <d v="2026-04-22T17:17:21"/>
    <x v="79"/>
    <s v="Wednesday"/>
    <n v="17"/>
  </r>
  <r>
    <s v="40b64d5c-280f-4a23-bfac-e78dfb608317"/>
    <s v="***"/>
    <d v="2026-04-23T00:32:17"/>
    <n v="527"/>
    <x v="1"/>
    <d v="2026-04-22T17:32:17"/>
    <x v="79"/>
    <s v="Wednesday"/>
    <n v="17"/>
  </r>
  <r>
    <s v="d3094809-4949-421d-9ef1-364593b08248"/>
    <s v="***"/>
    <d v="2026-04-23T01:23:17"/>
    <n v="527"/>
    <x v="1"/>
    <d v="2026-04-22T18:23:17"/>
    <x v="79"/>
    <s v="Wednesday"/>
    <n v="18"/>
  </r>
  <r>
    <s v="da344ebb-157c-4246-8bfa-76412234fa0e"/>
    <s v="***"/>
    <d v="2026-04-23T08:09:27"/>
    <n v="3"/>
    <x v="129"/>
    <d v="2026-04-23T01:09:27"/>
    <x v="80"/>
    <s v="Thursday"/>
    <n v="1"/>
  </r>
  <r>
    <s v="bd013332-ff30-4c24-a2d2-e9ebb3e66953"/>
    <s v="***"/>
    <d v="2026-04-23T12:28:16"/>
    <n v="3"/>
    <x v="1"/>
    <d v="2026-04-23T05:28:16"/>
    <x v="80"/>
    <s v="Thursday"/>
    <n v="5"/>
  </r>
  <r>
    <s v="98df4dd1-a3b6-48f1-975e-f88be771589c"/>
    <s v="***"/>
    <d v="2026-04-23T12:36:44"/>
    <n v="527"/>
    <x v="1"/>
    <d v="2026-04-23T05:36:44"/>
    <x v="80"/>
    <s v="Thursday"/>
    <n v="5"/>
  </r>
  <r>
    <s v="ee9e8821-b951-421f-9221-6598c448985d"/>
    <s v="***"/>
    <d v="2026-04-23T14:54:11"/>
    <n v="527"/>
    <x v="1"/>
    <d v="2026-04-23T07:54:11"/>
    <x v="80"/>
    <s v="Thursday"/>
    <n v="7"/>
  </r>
  <r>
    <s v="7af57f55-de38-47af-9a27-6564b996adcb"/>
    <s v="***"/>
    <d v="2026-04-23T14:54:31"/>
    <n v="3"/>
    <x v="1"/>
    <d v="2026-04-23T07:54:31"/>
    <x v="80"/>
    <s v="Thursday"/>
    <n v="7"/>
  </r>
  <r>
    <s v="f767c1c3-c0c0-46de-a8f6-eec9afab95ef"/>
    <s v="***"/>
    <d v="2026-04-23T14:55:49"/>
    <n v="3"/>
    <x v="1"/>
    <d v="2026-04-23T07:55:49"/>
    <x v="80"/>
    <s v="Thursday"/>
    <n v="7"/>
  </r>
  <r>
    <s v="9bc4ba43-06f0-41c5-91f6-df3fb7a25555"/>
    <s v="***"/>
    <d v="2026-04-23T15:23:54"/>
    <n v="527"/>
    <x v="1"/>
    <d v="2026-04-23T08:23:54"/>
    <x v="80"/>
    <s v="Thursday"/>
    <n v="8"/>
  </r>
  <r>
    <s v="6ddc3688-13e8-4cbf-81cf-9db86ca479c7"/>
    <s v="***"/>
    <d v="2026-04-23T15:31:42"/>
    <n v="3"/>
    <x v="1"/>
    <d v="2026-04-23T08:31:42"/>
    <x v="80"/>
    <s v="Thursday"/>
    <n v="8"/>
  </r>
  <r>
    <s v="03c119eb-80cd-474d-b4da-730eabf0e4f9"/>
    <s v="***"/>
    <d v="2026-04-23T17:01:03"/>
    <n v="527"/>
    <x v="71"/>
    <d v="2026-04-23T10:01:03"/>
    <x v="80"/>
    <s v="Thursday"/>
    <n v="10"/>
  </r>
  <r>
    <s v="e66d0ba5-9c71-4af5-aea4-b29764ce86b5"/>
    <s v="***"/>
    <d v="2026-04-23T17:17:19"/>
    <n v="527"/>
    <x v="1"/>
    <d v="2026-04-23T10:17:19"/>
    <x v="80"/>
    <s v="Thursday"/>
    <n v="10"/>
  </r>
  <r>
    <s v="df8e9eac-1c7f-4db8-816b-dbb19089b11e"/>
    <s v="***"/>
    <d v="2026-04-23T17:35:26"/>
    <n v="527"/>
    <x v="1"/>
    <d v="2026-04-23T10:35:26"/>
    <x v="80"/>
    <s v="Thursday"/>
    <n v="10"/>
  </r>
  <r>
    <s v="9706c442-c3c7-4747-b970-930fd4a5b065"/>
    <s v="***"/>
    <d v="2026-04-23T18:14:17"/>
    <n v="527"/>
    <x v="1"/>
    <d v="2026-04-23T11:14:17"/>
    <x v="80"/>
    <s v="Thursday"/>
    <n v="11"/>
  </r>
  <r>
    <s v="c65ddedb-4390-4a5c-a045-51d906c7fa99"/>
    <s v="***"/>
    <d v="2026-04-23T21:08:58"/>
    <n v="570"/>
    <x v="1"/>
    <d v="2026-04-23T14:08:58"/>
    <x v="80"/>
    <s v="Thursday"/>
    <n v="14"/>
  </r>
  <r>
    <s v="019cd6be-4643-45ca-851d-d059cbbd823b"/>
    <s v="***"/>
    <d v="2026-04-23T22:52:10"/>
    <n v="567"/>
    <x v="1"/>
    <d v="2026-04-23T15:52:10"/>
    <x v="80"/>
    <s v="Thursday"/>
    <n v="15"/>
  </r>
  <r>
    <s v="1a739657-ab77-404c-92ea-e6c51c15b829"/>
    <s v="***"/>
    <d v="2026-04-24T10:39:59"/>
    <n v="3"/>
    <x v="1"/>
    <d v="2026-04-24T03:39:59"/>
    <x v="81"/>
    <s v="Friday"/>
    <n v="3"/>
  </r>
  <r>
    <s v="d1cdaa99-0612-4cf2-a0e7-3639ff9e4b1d"/>
    <s v="***"/>
    <d v="2026-04-24T11:11:13"/>
    <n v="3"/>
    <x v="1"/>
    <d v="2026-04-24T04:11:13"/>
    <x v="81"/>
    <s v="Friday"/>
    <n v="4"/>
  </r>
  <r>
    <s v="e7d37993-d68b-4cd5-8e56-b3ad64eab3c0"/>
    <s v="***"/>
    <d v="2026-04-24T14:11:59"/>
    <n v="2"/>
    <x v="1"/>
    <d v="2026-04-24T07:11:59"/>
    <x v="81"/>
    <s v="Friday"/>
    <n v="7"/>
  </r>
  <r>
    <s v="016bd376-6908-45c2-b3e6-5c107eaa237a"/>
    <s v="***"/>
    <d v="2026-04-24T14:37:13"/>
    <n v="3"/>
    <x v="71"/>
    <d v="2026-04-24T07:37:13"/>
    <x v="81"/>
    <s v="Friday"/>
    <n v="7"/>
  </r>
  <r>
    <s v="785cafef-0e36-45d4-8944-239a55457ed6"/>
    <s v="***"/>
    <d v="2026-04-24T14:42:36"/>
    <n v="527"/>
    <x v="1"/>
    <d v="2026-04-24T07:42:36"/>
    <x v="81"/>
    <s v="Friday"/>
    <n v="7"/>
  </r>
  <r>
    <s v="7c03ef32-d6ef-479d-8c6a-159f2b60f88e"/>
    <s v="***"/>
    <d v="2026-04-24T15:20:10"/>
    <n v="2"/>
    <x v="1"/>
    <d v="2026-04-24T08:20:10"/>
    <x v="81"/>
    <s v="Friday"/>
    <n v="8"/>
  </r>
  <r>
    <s v="bafaf47f-d26b-44fa-a1e3-d6c331c47344"/>
    <s v="***"/>
    <d v="2026-04-24T15:53:19"/>
    <n v="3"/>
    <x v="71"/>
    <d v="2026-04-24T08:53:19"/>
    <x v="81"/>
    <s v="Friday"/>
    <n v="8"/>
  </r>
  <r>
    <s v="caaeb7ff-39a9-4b6c-9ba2-bdc4f01fb941"/>
    <s v="***"/>
    <d v="2026-04-24T20:30:24"/>
    <n v="2"/>
    <x v="150"/>
    <d v="2026-04-24T13:30:24"/>
    <x v="81"/>
    <s v="Friday"/>
    <n v="13"/>
  </r>
  <r>
    <s v="41286e59-e2f5-4d6b-b710-6f24a08b1a96"/>
    <s v="***"/>
    <d v="2026-04-24T20:50:31"/>
    <n v="3"/>
    <x v="1"/>
    <d v="2026-04-24T13:50:31"/>
    <x v="81"/>
    <s v="Friday"/>
    <n v="13"/>
  </r>
  <r>
    <s v="22920b38-0c3e-4570-adad-a3851c9404cb"/>
    <s v="***"/>
    <d v="2026-04-24T21:07:04"/>
    <n v="570"/>
    <x v="1"/>
    <d v="2026-04-24T14:07:04"/>
    <x v="81"/>
    <s v="Friday"/>
    <n v="14"/>
  </r>
  <r>
    <s v="df21d623-c1ff-487a-a36c-c25c7a357de5"/>
    <s v="***"/>
    <d v="2026-04-25T05:22:49"/>
    <n v="3"/>
    <x v="64"/>
    <d v="2026-04-24T22:22:49"/>
    <x v="81"/>
    <s v="Friday"/>
    <n v="22"/>
  </r>
  <r>
    <s v="79e5c31f-4f4e-4473-a203-35f473ec7129"/>
    <s v="***"/>
    <d v="2026-04-25T05:23:09"/>
    <n v="3"/>
    <x v="64"/>
    <d v="2026-04-24T22:23:09"/>
    <x v="81"/>
    <s v="Friday"/>
    <n v="22"/>
  </r>
  <r>
    <s v="61544c33-e163-41d2-925c-1cd91e3fb0f5"/>
    <s v="***"/>
    <d v="2026-04-25T07:33:07"/>
    <n v="527"/>
    <x v="6"/>
    <d v="2026-04-25T00:33:07"/>
    <x v="82"/>
    <s v="Saturday"/>
    <n v="0"/>
  </r>
  <r>
    <s v="a316c87a-0111-4ec6-9cd3-a9692408a0bc"/>
    <s v="***"/>
    <d v="2026-04-25T11:15:54"/>
    <n v="570"/>
    <x v="1"/>
    <d v="2026-04-25T04:15:54"/>
    <x v="82"/>
    <s v="Saturday"/>
    <n v="4"/>
  </r>
  <r>
    <s v="7e260fe8-a795-48ca-9c86-6b85903a72ae"/>
    <s v="***"/>
    <d v="2026-04-25T14:03:33"/>
    <n v="3"/>
    <x v="17"/>
    <d v="2026-04-25T07:03:33"/>
    <x v="82"/>
    <s v="Saturday"/>
    <n v="7"/>
  </r>
  <r>
    <s v="52c3819b-215e-4277-b26a-711ef9695a50"/>
    <s v="***"/>
    <d v="2026-04-25T15:04:42"/>
    <n v="569"/>
    <x v="17"/>
    <d v="2026-04-25T08:04:42"/>
    <x v="82"/>
    <s v="Saturday"/>
    <n v="8"/>
  </r>
  <r>
    <s v="4b2e44bb-a1fe-40c5-8dfd-157bafa1b3bb"/>
    <s v="***"/>
    <d v="2026-04-25T16:40:15"/>
    <n v="569"/>
    <x v="17"/>
    <d v="2026-04-25T09:40:15"/>
    <x v="82"/>
    <s v="Saturday"/>
    <n v="9"/>
  </r>
  <r>
    <s v="ad56c2aa-ad9e-47be-939a-6245978881f8"/>
    <s v="***"/>
    <d v="2026-04-25T16:42:01"/>
    <n v="526"/>
    <x v="5"/>
    <d v="2026-04-25T09:42:01"/>
    <x v="82"/>
    <s v="Saturday"/>
    <n v="9"/>
  </r>
  <r>
    <s v="232fa0ab-9a53-4c41-b711-7c62f7f2209a"/>
    <s v="***"/>
    <d v="2026-04-25T18:24:11"/>
    <n v="569"/>
    <x v="1"/>
    <d v="2026-04-25T11:24:11"/>
    <x v="82"/>
    <s v="Saturday"/>
    <n v="11"/>
  </r>
  <r>
    <s v="1f60795c-4247-4207-a4c3-aed4ed3162d8"/>
    <s v="***"/>
    <d v="2026-04-26T05:38:49"/>
    <n v="3"/>
    <x v="1"/>
    <d v="2026-04-25T22:38:49"/>
    <x v="82"/>
    <s v="Saturday"/>
    <n v="22"/>
  </r>
  <r>
    <s v="39e0357b-a79a-4e8f-a0f1-ee56ee84e2cf"/>
    <s v="***"/>
    <d v="2026-04-26T08:52:20"/>
    <n v="3"/>
    <x v="1"/>
    <d v="2026-04-26T01:52:20"/>
    <x v="83"/>
    <s v="Sunday"/>
    <n v="1"/>
  </r>
  <r>
    <s v="7dea6b33-15da-4ebe-8074-c1a55b4a1975"/>
    <s v="***"/>
    <d v="2026-04-26T14:24:42"/>
    <n v="526"/>
    <x v="1"/>
    <d v="2026-04-26T07:24:42"/>
    <x v="83"/>
    <s v="Sunday"/>
    <n v="7"/>
  </r>
  <r>
    <s v="207738ac-b117-40b0-a4a1-b467b708c0c3"/>
    <s v="***"/>
    <d v="2026-04-26T16:34:00"/>
    <n v="3"/>
    <x v="1"/>
    <d v="2026-04-26T09:34:00"/>
    <x v="83"/>
    <s v="Sunday"/>
    <n v="9"/>
  </r>
  <r>
    <s v="e5c50817-7e72-4549-bafd-2a9f5908f187"/>
    <s v="***"/>
    <d v="2026-04-26T17:13:14"/>
    <n v="3"/>
    <x v="1"/>
    <d v="2026-04-26T10:13:14"/>
    <x v="83"/>
    <s v="Sunday"/>
    <n v="10"/>
  </r>
  <r>
    <s v="45488964-8dc9-44a7-b371-4d0027604aa2"/>
    <s v="***"/>
    <d v="2026-04-26T17:58:57"/>
    <n v="526"/>
    <x v="1"/>
    <d v="2026-04-26T10:58:57"/>
    <x v="83"/>
    <s v="Sunday"/>
    <n v="10"/>
  </r>
  <r>
    <s v="0632e909-0c7c-45a6-bdb6-0d4b7ddfa366"/>
    <s v="***"/>
    <d v="2026-04-26T18:01:30"/>
    <n v="569"/>
    <x v="151"/>
    <d v="2026-04-26T11:01:30"/>
    <x v="83"/>
    <s v="Sunday"/>
    <n v="11"/>
  </r>
  <r>
    <s v="bbcd2e1c-a3e3-4c6b-b043-f2babb77520c"/>
    <s v="***"/>
    <d v="2026-04-26T18:01:46"/>
    <n v="2"/>
    <x v="1"/>
    <d v="2026-04-26T11:01:46"/>
    <x v="83"/>
    <s v="Sunday"/>
    <n v="11"/>
  </r>
  <r>
    <s v="feca95d6-afd1-43e9-a9f0-0d621be7facc"/>
    <s v="***"/>
    <d v="2026-04-26T19:29:40"/>
    <n v="526"/>
    <x v="1"/>
    <d v="2026-04-26T12:29:40"/>
    <x v="83"/>
    <s v="Sunday"/>
    <n v="12"/>
  </r>
  <r>
    <s v="2691d90b-da6c-4cc1-b123-5f0bbf4d429a"/>
    <s v="***"/>
    <d v="2026-04-26T20:20:46"/>
    <n v="526"/>
    <x v="1"/>
    <d v="2026-04-26T13:20:46"/>
    <x v="83"/>
    <s v="Sunday"/>
    <n v="13"/>
  </r>
  <r>
    <s v="c6bb1122-1049-4575-b941-51e4a82f743c"/>
    <s v="***"/>
    <d v="2026-04-26T20:37:34"/>
    <n v="569"/>
    <x v="44"/>
    <d v="2026-04-26T13:37:34"/>
    <x v="83"/>
    <s v="Sunday"/>
    <n v="13"/>
  </r>
  <r>
    <s v="79c079ea-07eb-4f1b-ae53-ca4ffeb2fe8c"/>
    <s v="***"/>
    <d v="2026-04-26T20:39:21"/>
    <n v="3"/>
    <x v="152"/>
    <d v="2026-04-26T13:39:21"/>
    <x v="83"/>
    <s v="Sunday"/>
    <n v="13"/>
  </r>
  <r>
    <s v="259519d9-d541-4dc4-841b-4bbadc619078"/>
    <s v="***"/>
    <d v="2026-04-27T08:58:21"/>
    <n v="3"/>
    <x v="153"/>
    <d v="2026-04-27T01:58:21"/>
    <x v="84"/>
    <s v="Monday"/>
    <n v="1"/>
  </r>
  <r>
    <s v="525f84cb-56da-4e9c-bcf7-be0390ce24d5"/>
    <s v="***"/>
    <d v="2026-04-27T11:03:01"/>
    <n v="3"/>
    <x v="1"/>
    <d v="2026-04-27T04:03:01"/>
    <x v="84"/>
    <s v="Monday"/>
    <n v="4"/>
  </r>
  <r>
    <s v="ced2703f-11b0-428b-a866-38c4d06410be"/>
    <s v="***"/>
    <d v="2026-04-27T13:17:20"/>
    <n v="3"/>
    <x v="153"/>
    <d v="2026-04-27T06:17:20"/>
    <x v="84"/>
    <s v="Monday"/>
    <n v="6"/>
  </r>
  <r>
    <s v="9e57c8eb-f718-4db7-9ef4-00fa249beccc"/>
    <s v="***"/>
    <d v="2026-04-27T13:19:24"/>
    <n v="3"/>
    <x v="1"/>
    <d v="2026-04-27T06:19:24"/>
    <x v="84"/>
    <s v="Monday"/>
    <n v="6"/>
  </r>
  <r>
    <s v="59cbc94e-caa5-4327-a729-402f7f204a20"/>
    <s v="***"/>
    <d v="2026-04-27T16:09:56"/>
    <n v="526"/>
    <x v="5"/>
    <d v="2026-04-27T09:09:56"/>
    <x v="84"/>
    <s v="Monday"/>
    <n v="9"/>
  </r>
  <r>
    <s v="703f1da9-11ec-40dc-92f6-77096d9b5a5e"/>
    <s v="***"/>
    <d v="2026-04-27T17:34:37"/>
    <n v="526"/>
    <x v="5"/>
    <d v="2026-04-27T10:34:37"/>
    <x v="84"/>
    <s v="Monday"/>
    <n v="10"/>
  </r>
  <r>
    <s v="3dc93b30-d1a1-4517-a83d-0cd8defdef81"/>
    <s v="***"/>
    <d v="2026-04-27T17:53:47"/>
    <n v="526"/>
    <x v="1"/>
    <d v="2026-04-27T10:53:47"/>
    <x v="84"/>
    <s v="Monday"/>
    <n v="10"/>
  </r>
  <r>
    <s v="f2758279-b1ef-4ae0-988b-68f99f1d4e17"/>
    <s v="***"/>
    <d v="2026-04-27T19:57:50"/>
    <n v="33"/>
    <x v="1"/>
    <d v="2026-04-27T12:57:50"/>
    <x v="84"/>
    <s v="Monday"/>
    <n v="12"/>
  </r>
  <r>
    <s v="23956d9f-6772-4f12-9815-c3eb9b6b9bea"/>
    <s v="***"/>
    <d v="2026-04-27T20:56:43"/>
    <n v="526"/>
    <x v="1"/>
    <d v="2026-04-27T13:56:43"/>
    <x v="84"/>
    <s v="Monday"/>
    <n v="13"/>
  </r>
  <r>
    <s v="cfb5829b-3f19-4dba-b51f-f039da9a7ba8"/>
    <s v="***"/>
    <d v="2026-04-27T21:42:34"/>
    <n v="569"/>
    <x v="154"/>
    <d v="2026-04-27T14:42:34"/>
    <x v="84"/>
    <s v="Monday"/>
    <n v="14"/>
  </r>
  <r>
    <s v="c2e8a257-1965-4393-9fa3-43b84c7c0d3e"/>
    <s v="***"/>
    <d v="2026-04-27T22:06:16"/>
    <n v="3"/>
    <x v="154"/>
    <d v="2026-04-27T15:06:16"/>
    <x v="84"/>
    <s v="Monday"/>
    <n v="15"/>
  </r>
  <r>
    <s v="059be321-9a49-48bd-9c5f-9bc85b60fb29"/>
    <s v="***"/>
    <d v="2026-04-27T22:15:03"/>
    <n v="3"/>
    <x v="1"/>
    <d v="2026-04-27T15:15:03"/>
    <x v="84"/>
    <s v="Monday"/>
    <n v="15"/>
  </r>
  <r>
    <s v="6083a703-23b2-4a17-926c-2bfef2a1e256"/>
    <s v="***"/>
    <d v="2026-04-27T23:19:18"/>
    <n v="3"/>
    <x v="1"/>
    <d v="2026-04-27T16:19:18"/>
    <x v="84"/>
    <s v="Monday"/>
    <n v="16"/>
  </r>
  <r>
    <s v="886032eb-c680-408e-af79-6d5448681c0f"/>
    <s v="***"/>
    <d v="2026-04-27T23:29:55"/>
    <n v="569"/>
    <x v="6"/>
    <d v="2026-04-27T16:29:55"/>
    <x v="84"/>
    <s v="Monday"/>
    <n v="16"/>
  </r>
  <r>
    <s v="e4dff32c-266f-4d79-b209-1ab61ed6b449"/>
    <s v="***"/>
    <d v="2026-04-28T06:39:52"/>
    <n v="33"/>
    <x v="1"/>
    <d v="2026-04-27T23:39:52"/>
    <x v="84"/>
    <s v="Monday"/>
    <n v="23"/>
  </r>
  <r>
    <s v="ad594a2c-2bfa-45d6-833b-413c04b62e92"/>
    <s v="***"/>
    <d v="2026-04-28T08:22:29"/>
    <n v="1"/>
    <x v="1"/>
    <d v="2026-04-28T01:22:29"/>
    <x v="85"/>
    <s v="Tuesday"/>
    <n v="1"/>
  </r>
  <r>
    <s v="8bd0d289-2514-4145-aa57-e260f3d1013f"/>
    <s v="***"/>
    <d v="2026-04-28T08:55:05"/>
    <n v="1"/>
    <x v="1"/>
    <d v="2026-04-28T01:55:05"/>
    <x v="85"/>
    <s v="Tuesday"/>
    <n v="1"/>
  </r>
  <r>
    <s v="b305c76c-461a-4b49-84b2-c347d488aa38"/>
    <s v="***"/>
    <d v="2026-04-28T09:00:03"/>
    <n v="2"/>
    <x v="17"/>
    <d v="2026-04-28T02:00:03"/>
    <x v="85"/>
    <s v="Tuesday"/>
    <n v="2"/>
  </r>
  <r>
    <s v="20932069-18b2-4331-b532-d65cb4b55370"/>
    <s v="***"/>
    <d v="2026-04-28T09:00:52"/>
    <n v="1"/>
    <x v="1"/>
    <d v="2026-04-28T02:00:52"/>
    <x v="85"/>
    <s v="Tuesday"/>
    <n v="2"/>
  </r>
  <r>
    <s v="8248a31c-f041-4071-a957-ee23cfa97ddf"/>
    <s v="***"/>
    <d v="2026-04-28T09:02:45"/>
    <n v="3"/>
    <x v="1"/>
    <d v="2026-04-28T02:02:45"/>
    <x v="85"/>
    <s v="Tuesday"/>
    <n v="2"/>
  </r>
  <r>
    <s v="d18bf740-fdfe-4336-9b57-8b980c7cad39"/>
    <s v="***"/>
    <d v="2026-04-28T09:04:29"/>
    <n v="2"/>
    <x v="1"/>
    <d v="2026-04-28T02:04:29"/>
    <x v="85"/>
    <s v="Tuesday"/>
    <n v="2"/>
  </r>
  <r>
    <s v="6ed7e871-8f56-4e3e-b0bf-01625921028d"/>
    <s v="***"/>
    <d v="2026-04-28T10:23:16"/>
    <n v="1"/>
    <x v="1"/>
    <d v="2026-04-28T03:23:16"/>
    <x v="85"/>
    <s v="Tuesday"/>
    <n v="3"/>
  </r>
  <r>
    <s v="0956b977-83ee-4003-b87a-e9e4c700749d"/>
    <s v="***"/>
    <d v="2026-04-28T10:25:20"/>
    <n v="3"/>
    <x v="71"/>
    <d v="2026-04-28T03:25:20"/>
    <x v="85"/>
    <s v="Tuesday"/>
    <n v="3"/>
  </r>
  <r>
    <s v="08566e0c-4d09-4cf4-864e-0b8b54adc110"/>
    <s v="***"/>
    <d v="2026-04-28T10:27:17"/>
    <n v="1"/>
    <x v="1"/>
    <d v="2026-04-28T03:27:17"/>
    <x v="85"/>
    <s v="Tuesday"/>
    <n v="3"/>
  </r>
  <r>
    <s v="20961ed7-c138-40f7-a388-c84399f856d2"/>
    <s v="***"/>
    <d v="2026-04-28T10:30:20"/>
    <n v="1"/>
    <x v="1"/>
    <d v="2026-04-28T03:30:20"/>
    <x v="85"/>
    <s v="Tuesday"/>
    <n v="3"/>
  </r>
  <r>
    <s v="09c52468-38e6-4a1e-90f5-2d3d7f3d7e24"/>
    <s v="***"/>
    <d v="2026-04-28T10:37:24"/>
    <n v="3"/>
    <x v="12"/>
    <d v="2026-04-28T03:37:24"/>
    <x v="85"/>
    <s v="Tuesday"/>
    <n v="3"/>
  </r>
  <r>
    <s v="23883322-b13e-4ff1-9942-df152ac91ec0"/>
    <s v="***"/>
    <d v="2026-04-28T10:47:24"/>
    <n v="526"/>
    <x v="5"/>
    <d v="2026-04-28T03:47:24"/>
    <x v="85"/>
    <s v="Tuesday"/>
    <n v="3"/>
  </r>
  <r>
    <s v="04248abd-0a59-46e3-a6f3-da6007bf3727"/>
    <s v="***"/>
    <d v="2026-04-28T10:57:47"/>
    <n v="3"/>
    <x v="1"/>
    <d v="2026-04-28T03:57:47"/>
    <x v="85"/>
    <s v="Tuesday"/>
    <n v="3"/>
  </r>
  <r>
    <s v="088822a6-979e-407e-bcde-91414a6b2cb2"/>
    <s v="***"/>
    <d v="2026-04-28T11:01:27"/>
    <n v="3"/>
    <x v="1"/>
    <d v="2026-04-28T04:01:27"/>
    <x v="85"/>
    <s v="Tuesday"/>
    <n v="4"/>
  </r>
  <r>
    <s v="f7dc9fd9-b078-498b-9abe-de91afff7e13"/>
    <s v="***"/>
    <d v="2026-04-28T11:03:13"/>
    <n v="1"/>
    <x v="1"/>
    <d v="2026-04-28T04:03:13"/>
    <x v="85"/>
    <s v="Tuesday"/>
    <n v="4"/>
  </r>
  <r>
    <s v="c27ef17b-fbf3-42b8-99cc-b23ce2fef979"/>
    <s v="***"/>
    <d v="2026-04-28T11:04:08"/>
    <n v="1"/>
    <x v="1"/>
    <d v="2026-04-28T04:04:08"/>
    <x v="85"/>
    <s v="Tuesday"/>
    <n v="4"/>
  </r>
  <r>
    <s v="e33e49e5-2b98-4250-af3b-77cfbeea1e3c"/>
    <s v="***"/>
    <d v="2026-04-28T11:09:38"/>
    <n v="3"/>
    <x v="71"/>
    <d v="2026-04-28T04:09:38"/>
    <x v="85"/>
    <s v="Tuesday"/>
    <n v="4"/>
  </r>
  <r>
    <s v="a24bbb44-3931-45d2-9f59-71eaa54d9532"/>
    <s v="***"/>
    <d v="2026-04-28T13:23:55"/>
    <n v="3"/>
    <x v="1"/>
    <d v="2026-04-28T06:23:55"/>
    <x v="85"/>
    <s v="Tuesday"/>
    <n v="6"/>
  </r>
  <r>
    <s v="555b5116-ff52-4c08-b426-89ff9217b6f3"/>
    <s v="***"/>
    <d v="2026-04-28T15:33:52"/>
    <n v="526"/>
    <x v="5"/>
    <d v="2026-04-28T08:33:52"/>
    <x v="85"/>
    <s v="Tuesday"/>
    <n v="8"/>
  </r>
  <r>
    <s v="58ef4966-3bd2-4b4a-9ddf-67e64d08e326"/>
    <s v="***"/>
    <d v="2026-04-28T15:43:35"/>
    <n v="33"/>
    <x v="1"/>
    <d v="2026-04-28T08:43:35"/>
    <x v="85"/>
    <s v="Tuesday"/>
    <n v="8"/>
  </r>
  <r>
    <s v="cdf12aa7-77e3-4a77-bcde-c5cfefa1bfb7"/>
    <s v="***"/>
    <d v="2026-04-28T15:55:03"/>
    <n v="3"/>
    <x v="155"/>
    <d v="2026-04-28T08:55:03"/>
    <x v="85"/>
    <s v="Tuesday"/>
    <n v="8"/>
  </r>
  <r>
    <s v="5baba840-e929-41a6-9ff4-3909b97868eb"/>
    <s v="***"/>
    <d v="2026-04-28T16:00:51"/>
    <n v="33"/>
    <x v="1"/>
    <d v="2026-04-28T09:00:51"/>
    <x v="85"/>
    <s v="Tuesday"/>
    <n v="9"/>
  </r>
  <r>
    <s v="1c19aabb-85d5-4c54-8620-47cde89eca2d"/>
    <s v="***"/>
    <d v="2026-04-28T16:03:48"/>
    <n v="526"/>
    <x v="5"/>
    <d v="2026-04-28T09:03:48"/>
    <x v="85"/>
    <s v="Tuesday"/>
    <n v="9"/>
  </r>
  <r>
    <s v="4aeb436b-eaa2-4645-b863-749013805bc5"/>
    <s v="***"/>
    <d v="2026-04-28T16:23:12"/>
    <n v="569"/>
    <x v="156"/>
    <d v="2026-04-28T09:23:12"/>
    <x v="85"/>
    <s v="Tuesday"/>
    <n v="9"/>
  </r>
  <r>
    <s v="d42ff389-d5cc-4a8f-b0f0-72defd318f24"/>
    <s v="***"/>
    <d v="2026-04-28T17:27:28"/>
    <n v="3"/>
    <x v="1"/>
    <d v="2026-04-28T10:27:28"/>
    <x v="85"/>
    <s v="Tuesday"/>
    <n v="10"/>
  </r>
  <r>
    <s v="1c2a9c95-9d14-4063-afb8-df57f0d6bed0"/>
    <s v="***"/>
    <d v="2026-04-28T17:50:16"/>
    <n v="3"/>
    <x v="1"/>
    <d v="2026-04-28T10:50:16"/>
    <x v="85"/>
    <s v="Tuesday"/>
    <n v="10"/>
  </r>
  <r>
    <s v="4fbb33bd-a361-42b0-acd0-abdb10608251"/>
    <s v="***"/>
    <d v="2026-04-28T18:15:56"/>
    <n v="3"/>
    <x v="1"/>
    <d v="2026-04-28T11:15:56"/>
    <x v="85"/>
    <s v="Tuesday"/>
    <n v="11"/>
  </r>
  <r>
    <s v="19b1b81c-2f18-47ce-b518-7e94a6697075"/>
    <s v="***"/>
    <d v="2026-04-28T18:20:39"/>
    <n v="526"/>
    <x v="5"/>
    <d v="2026-04-28T11:20:39"/>
    <x v="85"/>
    <s v="Tuesday"/>
    <n v="11"/>
  </r>
  <r>
    <s v="8c9861ed-8dc9-4dfd-8c38-aa0bcb09dd10"/>
    <s v="***"/>
    <d v="2026-04-28T19:14:30"/>
    <n v="3"/>
    <x v="1"/>
    <d v="2026-04-28T12:14:30"/>
    <x v="85"/>
    <s v="Tuesday"/>
    <n v="12"/>
  </r>
  <r>
    <s v="72617e0d-985d-4deb-b10f-c97d07f77726"/>
    <s v="***"/>
    <d v="2026-04-28T19:15:22"/>
    <n v="569"/>
    <x v="1"/>
    <d v="2026-04-28T12:15:22"/>
    <x v="85"/>
    <s v="Tuesday"/>
    <n v="12"/>
  </r>
  <r>
    <s v="c3db6ffb-82cb-41dd-9108-9d1a9f6c2328"/>
    <s v="***"/>
    <d v="2026-04-28T19:48:17"/>
    <n v="33"/>
    <x v="1"/>
    <d v="2026-04-28T12:48:17"/>
    <x v="85"/>
    <s v="Tuesday"/>
    <n v="12"/>
  </r>
  <r>
    <s v="2b95e7b2-a04c-4eec-a51d-8bb87966691e"/>
    <s v="***"/>
    <d v="2026-04-28T20:15:22"/>
    <n v="3"/>
    <x v="1"/>
    <d v="2026-04-28T13:15:22"/>
    <x v="85"/>
    <s v="Tuesday"/>
    <n v="13"/>
  </r>
  <r>
    <s v="34df5713-c96b-484f-8912-a0a514e0c001"/>
    <s v="***"/>
    <d v="2026-04-28T21:28:53"/>
    <n v="526"/>
    <x v="1"/>
    <d v="2026-04-28T14:28:53"/>
    <x v="85"/>
    <s v="Tuesday"/>
    <n v="14"/>
  </r>
  <r>
    <s v="d9347cd2-6327-40cf-839c-87fc9a42bf2f"/>
    <s v="***"/>
    <d v="2026-04-28T21:47:21"/>
    <n v="3"/>
    <x v="17"/>
    <d v="2026-04-28T14:47:21"/>
    <x v="85"/>
    <s v="Tuesday"/>
    <n v="14"/>
  </r>
  <r>
    <s v="82fbe1e6-0d20-46b4-8e76-93f23643236c"/>
    <s v="***"/>
    <d v="2026-04-28T21:48:34"/>
    <n v="3"/>
    <x v="44"/>
    <d v="2026-04-28T14:48:34"/>
    <x v="85"/>
    <s v="Tuesday"/>
    <n v="14"/>
  </r>
  <r>
    <s v="4b1c75dd-93be-4486-88ce-13cc6ebfeb61"/>
    <s v="***"/>
    <d v="2026-04-28T21:51:27"/>
    <n v="2"/>
    <x v="1"/>
    <d v="2026-04-28T14:51:27"/>
    <x v="85"/>
    <s v="Tuesday"/>
    <n v="14"/>
  </r>
  <r>
    <s v="f83b3ff1-06c9-4ab7-b5e5-4b5c7f6595bb"/>
    <s v="***"/>
    <d v="2026-04-28T21:55:52"/>
    <n v="3"/>
    <x v="157"/>
    <d v="2026-04-28T14:55:52"/>
    <x v="85"/>
    <s v="Tuesday"/>
    <n v="14"/>
  </r>
  <r>
    <s v="68d4eebf-2e3f-4d8b-8f1a-3f964831f860"/>
    <s v="***"/>
    <d v="2026-04-28T22:02:23"/>
    <n v="3"/>
    <x v="157"/>
    <d v="2026-04-28T15:02:23"/>
    <x v="85"/>
    <s v="Tuesday"/>
    <n v="15"/>
  </r>
  <r>
    <s v="b387de73-8549-43d5-b522-e21a5da77348"/>
    <s v="***"/>
    <d v="2026-04-28T22:58:30"/>
    <n v="526"/>
    <x v="1"/>
    <d v="2026-04-28T15:58:30"/>
    <x v="85"/>
    <s v="Tuesday"/>
    <n v="15"/>
  </r>
  <r>
    <s v="df08a2bf-60bd-4159-b784-122b872a5525"/>
    <s v="***"/>
    <d v="2026-04-29T06:42:32"/>
    <n v="526"/>
    <x v="1"/>
    <d v="2026-04-28T23:42:32"/>
    <x v="85"/>
    <s v="Tuesday"/>
    <n v="23"/>
  </r>
  <r>
    <s v="a126e3a4-c26e-4129-b7e2-fd92bba6988a"/>
    <s v="***"/>
    <d v="2026-04-29T07:10:16"/>
    <n v="34"/>
    <x v="1"/>
    <d v="2026-04-29T00:10:16"/>
    <x v="86"/>
    <s v="Wednesday"/>
    <n v="0"/>
  </r>
  <r>
    <s v="acf3f492-ad35-4c2f-8b69-f3e774bd7630"/>
    <s v="***"/>
    <d v="2026-04-29T08:13:24"/>
    <n v="33"/>
    <x v="1"/>
    <d v="2026-04-29T01:13:24"/>
    <x v="86"/>
    <s v="Wednesday"/>
    <n v="1"/>
  </r>
  <r>
    <s v="adf10b20-3ceb-4a65-9808-258e64405b7b"/>
    <s v="***"/>
    <d v="2026-04-29T08:30:38"/>
    <n v="3"/>
    <x v="1"/>
    <d v="2026-04-29T01:30:38"/>
    <x v="86"/>
    <s v="Wednesday"/>
    <n v="1"/>
  </r>
  <r>
    <s v="bdddf09c-359d-4dda-a22b-c2649535234d"/>
    <s v="***"/>
    <d v="2026-04-29T09:27:58"/>
    <n v="526"/>
    <x v="5"/>
    <d v="2026-04-29T02:27:58"/>
    <x v="86"/>
    <s v="Wednesday"/>
    <n v="2"/>
  </r>
  <r>
    <s v="8dab7c17-b8a5-4b87-b05f-bee3712c454f"/>
    <s v="***"/>
    <d v="2026-04-29T09:59:36"/>
    <n v="3"/>
    <x v="1"/>
    <d v="2026-04-29T02:59:36"/>
    <x v="86"/>
    <s v="Wednesday"/>
    <n v="2"/>
  </r>
  <r>
    <s v="e1db4c44-fce7-443b-a76f-d659f9e57a9b"/>
    <s v="***"/>
    <d v="2026-04-29T10:07:21"/>
    <n v="526"/>
    <x v="1"/>
    <d v="2026-04-29T03:07:21"/>
    <x v="86"/>
    <s v="Wednesday"/>
    <n v="3"/>
  </r>
  <r>
    <s v="760a061c-a358-4690-a8c9-5142fb7a1911"/>
    <s v="***"/>
    <d v="2026-04-29T13:47:29"/>
    <n v="569"/>
    <x v="1"/>
    <d v="2026-04-29T06:47:29"/>
    <x v="86"/>
    <s v="Wednesday"/>
    <n v="6"/>
  </r>
  <r>
    <s v="1636f44a-3f46-409c-80e8-efb2198d8ae9"/>
    <s v="***"/>
    <d v="2026-04-29T18:19:16"/>
    <n v="526"/>
    <x v="5"/>
    <d v="2026-04-29T11:19:16"/>
    <x v="86"/>
    <s v="Wednesday"/>
    <n v="11"/>
  </r>
  <r>
    <s v="5b4880d6-e4a8-4f67-88d3-fef9cf108f4c"/>
    <s v="***"/>
    <d v="2026-04-29T20:41:15"/>
    <n v="33"/>
    <x v="1"/>
    <d v="2026-04-29T13:41:15"/>
    <x v="86"/>
    <s v="Wednesday"/>
    <n v="13"/>
  </r>
  <r>
    <s v="e4caeb90-59c8-4078-bad8-9f4c8f15aa76"/>
    <s v="***"/>
    <d v="2026-04-29T22:30:50"/>
    <n v="3"/>
    <x v="158"/>
    <d v="2026-04-29T15:30:50"/>
    <x v="86"/>
    <s v="Wednesday"/>
    <n v="15"/>
  </r>
  <r>
    <s v="6bf379ff-b62f-48f0-8f99-9f90644facb8"/>
    <s v="***"/>
    <d v="2026-04-29T23:46:18"/>
    <n v="526"/>
    <x v="5"/>
    <d v="2026-04-29T16:46:18"/>
    <x v="86"/>
    <s v="Wednesday"/>
    <n v="16"/>
  </r>
  <r>
    <s v="aed8b72d-a3a9-4317-9fcd-7d2326686796"/>
    <s v="***"/>
    <d v="2026-04-30T05:59:28"/>
    <n v="526"/>
    <x v="1"/>
    <d v="2026-04-29T22:59:28"/>
    <x v="86"/>
    <s v="Wednesday"/>
    <n v="22"/>
  </r>
  <r>
    <s v="16f743c6-4963-4e84-86ce-3faf485994c0"/>
    <s v="***"/>
    <d v="2026-04-30T07:47:58"/>
    <n v="526"/>
    <x v="1"/>
    <d v="2026-04-30T00:47:58"/>
    <x v="87"/>
    <s v="Thursday"/>
    <n v="0"/>
  </r>
  <r>
    <s v="7654c903-5768-402a-b228-4cbe779f59b1"/>
    <s v="***"/>
    <d v="2026-04-30T07:55:47"/>
    <n v="3"/>
    <x v="1"/>
    <d v="2026-04-30T00:55:47"/>
    <x v="87"/>
    <s v="Thursday"/>
    <n v="0"/>
  </r>
  <r>
    <s v="041441e8-db8e-4c35-a126-1ba30aad65dc"/>
    <s v="***"/>
    <d v="2026-04-30T08:07:31"/>
    <n v="526"/>
    <x v="1"/>
    <d v="2026-04-30T01:07:31"/>
    <x v="87"/>
    <s v="Thursday"/>
    <n v="1"/>
  </r>
  <r>
    <s v="67d50a76-5e93-488d-84b7-3cb8aab60251"/>
    <s v="***"/>
    <d v="2026-04-30T08:53:05"/>
    <n v="3"/>
    <x v="1"/>
    <d v="2026-04-30T01:53:05"/>
    <x v="87"/>
    <s v="Thursday"/>
    <n v="1"/>
  </r>
  <r>
    <s v="d324e953-f10b-44a1-9813-1d68089ad079"/>
    <s v="***"/>
    <d v="2026-04-30T09:02:34"/>
    <n v="3"/>
    <x v="71"/>
    <d v="2026-04-30T02:02:34"/>
    <x v="87"/>
    <s v="Thursday"/>
    <n v="2"/>
  </r>
  <r>
    <s v="8f6e82f0-6e9e-455a-95bc-78b825206fb4"/>
    <s v="***"/>
    <d v="2026-04-30T09:03:11"/>
    <n v="526"/>
    <x v="1"/>
    <d v="2026-04-30T02:03:11"/>
    <x v="87"/>
    <s v="Thursday"/>
    <n v="2"/>
  </r>
  <r>
    <s v="5a055dd4-e9c5-4146-8a48-da8958539578"/>
    <s v="***"/>
    <d v="2026-04-30T09:03:21"/>
    <n v="526"/>
    <x v="1"/>
    <d v="2026-04-30T02:03:21"/>
    <x v="87"/>
    <s v="Thursday"/>
    <n v="2"/>
  </r>
  <r>
    <s v="f9b90b02-b171-40dd-868b-68d62627f81d"/>
    <s v="***"/>
    <d v="2026-04-30T11:12:58"/>
    <n v="33"/>
    <x v="1"/>
    <d v="2026-04-30T04:12:58"/>
    <x v="87"/>
    <s v="Thursday"/>
    <n v="4"/>
  </r>
  <r>
    <s v="6dc8729d-61db-4f51-8423-2e8d0f39a952"/>
    <s v="***"/>
    <d v="2026-04-30T11:16:57"/>
    <n v="3"/>
    <x v="1"/>
    <d v="2026-04-30T04:16:57"/>
    <x v="87"/>
    <s v="Thursday"/>
    <n v="4"/>
  </r>
  <r>
    <s v="209d06c9-0814-4233-bd3e-ee0c2630b3e4"/>
    <s v="***"/>
    <d v="2026-04-30T11:28:28"/>
    <n v="526"/>
    <x v="71"/>
    <d v="2026-04-30T04:28:28"/>
    <x v="87"/>
    <s v="Thursday"/>
    <n v="4"/>
  </r>
  <r>
    <s v="4d74fe59-187b-4050-ac73-7431797e09ad"/>
    <s v="***"/>
    <d v="2026-04-30T11:32:15"/>
    <n v="2"/>
    <x v="12"/>
    <d v="2026-04-30T04:32:15"/>
    <x v="87"/>
    <s v="Thursday"/>
    <n v="4"/>
  </r>
  <r>
    <s v="7393488e-f0b9-4082-babe-32e140cc2938"/>
    <s v="***"/>
    <d v="2026-04-30T14:10:26"/>
    <n v="3"/>
    <x v="159"/>
    <d v="2026-04-30T07:10:26"/>
    <x v="87"/>
    <s v="Thursday"/>
    <n v="7"/>
  </r>
  <r>
    <s v="fe85277c-222e-4a34-a408-939580c73a74"/>
    <s v="***"/>
    <d v="2026-04-30T14:11:49"/>
    <n v="526"/>
    <x v="160"/>
    <d v="2026-04-30T07:11:49"/>
    <x v="87"/>
    <s v="Thursday"/>
    <n v="7"/>
  </r>
  <r>
    <s v="aaa2be68-e58b-48fa-9ee4-721203176ecd"/>
    <s v="***"/>
    <d v="2026-04-30T14:21:45"/>
    <n v="526"/>
    <x v="161"/>
    <d v="2026-04-30T07:21:45"/>
    <x v="87"/>
    <s v="Thursday"/>
    <n v="7"/>
  </r>
  <r>
    <s v="7694259d-eb20-4afa-94e9-3011e9ff58c3"/>
    <s v="***"/>
    <d v="2026-04-30T17:41:23"/>
    <n v="526"/>
    <x v="1"/>
    <d v="2026-04-30T10:41:23"/>
    <x v="87"/>
    <s v="Thursday"/>
    <n v="10"/>
  </r>
  <r>
    <s v="ddaef4cd-5565-427a-9043-4c3895da9bba"/>
    <s v="***"/>
    <d v="2026-04-30T19:39:57"/>
    <n v="526"/>
    <x v="1"/>
    <d v="2026-04-30T12:39:57"/>
    <x v="87"/>
    <s v="Thursday"/>
    <n v="12"/>
  </r>
  <r>
    <s v="e4477d10-4c40-47c9-b2ab-4d83f19bc087"/>
    <s v="***"/>
    <d v="2026-04-30T20:46:12"/>
    <n v="526"/>
    <x v="1"/>
    <d v="2026-04-30T13:46:12"/>
    <x v="87"/>
    <s v="Thursday"/>
    <n v="13"/>
  </r>
  <r>
    <s v="2fbc7b0d-b978-466f-93c1-e386364282ba"/>
    <s v="***"/>
    <d v="2026-04-30T21:03:29"/>
    <n v="569"/>
    <x v="45"/>
    <d v="2026-04-30T14:03:29"/>
    <x v="87"/>
    <s v="Thursday"/>
    <n v="14"/>
  </r>
  <r>
    <s v="0fa71aed-9d06-45ee-b46d-b08d4bdfd320"/>
    <s v="***"/>
    <d v="2026-04-30T21:10:14"/>
    <n v="569"/>
    <x v="162"/>
    <d v="2026-04-30T14:10:14"/>
    <x v="87"/>
    <s v="Thursday"/>
    <n v="14"/>
  </r>
  <r>
    <s v="5b9acb8b-a1f0-4f4a-8337-4fc3a34b2329"/>
    <s v="***"/>
    <d v="2026-04-30T21:29:24"/>
    <n v="3"/>
    <x v="46"/>
    <d v="2026-04-30T14:29:24"/>
    <x v="87"/>
    <s v="Thursday"/>
    <n v="14"/>
  </r>
  <r>
    <s v="f1cd11f0-68a3-44aa-b974-f346f2233f7c"/>
    <s v="***"/>
    <d v="2026-04-30T21:34:10"/>
    <n v="569"/>
    <x v="1"/>
    <d v="2026-04-30T14:34:10"/>
    <x v="87"/>
    <s v="Thursday"/>
    <n v="14"/>
  </r>
  <r>
    <s v="e21e7dd4-5c3e-421e-8f41-404faff717b8"/>
    <s v="***"/>
    <d v="2026-04-30T22:04:10"/>
    <n v="569"/>
    <x v="162"/>
    <d v="2026-04-30T15:04:10"/>
    <x v="87"/>
    <s v="Thursday"/>
    <n v="15"/>
  </r>
  <r>
    <s v="292668a1-6cd9-4db0-9865-af457391414d"/>
    <s v="***"/>
    <d v="2026-04-30T22:59:49"/>
    <n v="526"/>
    <x v="1"/>
    <d v="2026-04-30T15:59:49"/>
    <x v="87"/>
    <s v="Thursday"/>
    <n v="15"/>
  </r>
  <r>
    <s v="a4ffce8f-8a19-4f35-a3c8-d9b8dee9973d"/>
    <s v="***"/>
    <d v="2026-05-01T11:27:26"/>
    <n v="526"/>
    <x v="1"/>
    <d v="2026-05-01T04:27:26"/>
    <x v="88"/>
    <s v="Friday"/>
    <n v="4"/>
  </r>
  <r>
    <s v="268b17e2-c2f4-4211-9627-e7205f6996a3"/>
    <s v="***"/>
    <d v="2026-05-01T13:27:48"/>
    <n v="526"/>
    <x v="1"/>
    <d v="2026-05-01T06:27:48"/>
    <x v="88"/>
    <s v="Friday"/>
    <n v="6"/>
  </r>
  <r>
    <s v="615f9bf1-ab07-4171-bd2d-b027c571bf68"/>
    <s v="***"/>
    <d v="2026-05-01T13:28:39"/>
    <n v="3"/>
    <x v="71"/>
    <d v="2026-05-01T06:28:39"/>
    <x v="88"/>
    <s v="Friday"/>
    <n v="6"/>
  </r>
  <r>
    <s v="0b838ca4-7d18-41c6-aeba-1b641a805a99"/>
    <s v="***"/>
    <d v="2026-05-01T13:29:29"/>
    <n v="526"/>
    <x v="5"/>
    <d v="2026-05-01T06:29:29"/>
    <x v="88"/>
    <s v="Friday"/>
    <n v="6"/>
  </r>
  <r>
    <s v="64acf1a0-281e-41a0-a39a-be1908ce3ed8"/>
    <s v="***"/>
    <d v="2026-05-01T13:33:06"/>
    <n v="526"/>
    <x v="1"/>
    <d v="2026-05-01T06:33:06"/>
    <x v="88"/>
    <s v="Friday"/>
    <n v="6"/>
  </r>
  <r>
    <s v="a71991a0-6f4e-46d3-9a0f-804da59e96a0"/>
    <s v="***"/>
    <d v="2026-05-01T14:12:24"/>
    <n v="526"/>
    <x v="1"/>
    <d v="2026-05-01T07:12:24"/>
    <x v="88"/>
    <s v="Friday"/>
    <n v="7"/>
  </r>
  <r>
    <s v="8aef01ef-c638-4aca-ae1a-b8b3dc0dca3c"/>
    <s v="***"/>
    <d v="2026-05-01T15:01:21"/>
    <n v="526"/>
    <x v="1"/>
    <d v="2026-05-01T08:01:21"/>
    <x v="88"/>
    <s v="Friday"/>
    <n v="8"/>
  </r>
  <r>
    <s v="9d208b04-2aa6-4a21-b029-97581095ce5c"/>
    <s v="***"/>
    <d v="2026-05-01T15:50:11"/>
    <n v="526"/>
    <x v="1"/>
    <d v="2026-05-01T08:50:11"/>
    <x v="88"/>
    <s v="Friday"/>
    <n v="8"/>
  </r>
  <r>
    <s v="d0819716-625f-4beb-9ec3-9f7015f9bfcd"/>
    <s v="***"/>
    <d v="2026-05-01T16:13:37"/>
    <n v="526"/>
    <x v="1"/>
    <d v="2026-05-01T09:13:37"/>
    <x v="88"/>
    <s v="Friday"/>
    <n v="9"/>
  </r>
  <r>
    <s v="91402f93-ced4-4d4e-977d-cf1b72785115"/>
    <s v="***"/>
    <d v="2026-05-01T17:37:34"/>
    <n v="569"/>
    <x v="162"/>
    <d v="2026-05-01T10:37:34"/>
    <x v="88"/>
    <s v="Friday"/>
    <n v="10"/>
  </r>
  <r>
    <s v="5fc506da-08a8-4b2a-a99a-0d6c8bcdc0d4"/>
    <s v="***"/>
    <d v="2026-05-01T17:43:48"/>
    <n v="569"/>
    <x v="163"/>
    <d v="2026-05-01T10:43:48"/>
    <x v="88"/>
    <s v="Friday"/>
    <n v="10"/>
  </r>
  <r>
    <s v="7c256105-6426-44bc-91a9-285d2e77d02b"/>
    <s v="***"/>
    <d v="2026-05-02T09:59:53"/>
    <n v="2"/>
    <x v="46"/>
    <d v="2026-05-02T02:59:53"/>
    <x v="89"/>
    <s v="Saturday"/>
    <n v="2"/>
  </r>
  <r>
    <s v="9fc90a8e-5dab-4e24-840a-2caa21d6b43c"/>
    <s v="***"/>
    <d v="2026-05-02T10:07:01"/>
    <n v="2"/>
    <x v="46"/>
    <d v="2026-05-02T03:07:01"/>
    <x v="89"/>
    <s v="Saturday"/>
    <n v="3"/>
  </r>
  <r>
    <s v="bbab485b-5168-4e9d-a005-afdb5b8e905c"/>
    <s v="***"/>
    <d v="2026-05-02T12:10:26"/>
    <n v="526"/>
    <x v="1"/>
    <d v="2026-05-02T05:10:26"/>
    <x v="89"/>
    <s v="Saturday"/>
    <n v="5"/>
  </r>
  <r>
    <s v="84f19636-f180-4201-b55f-d4004a34f1a9"/>
    <s v="***"/>
    <d v="2026-05-02T14:26:27"/>
    <n v="526"/>
    <x v="5"/>
    <d v="2026-05-02T07:26:27"/>
    <x v="89"/>
    <s v="Saturday"/>
    <n v="7"/>
  </r>
  <r>
    <s v="3b42ceec-a604-4b4d-80c9-e60017e58e4f"/>
    <s v="***"/>
    <d v="2026-05-02T14:58:24"/>
    <n v="34"/>
    <x v="1"/>
    <d v="2026-05-02T07:58:24"/>
    <x v="89"/>
    <s v="Saturday"/>
    <n v="7"/>
  </r>
  <r>
    <s v="77bebc7e-ec9f-42a7-b8a4-ab9c3a301970"/>
    <s v="***"/>
    <d v="2026-05-02T15:02:07"/>
    <n v="34"/>
    <x v="1"/>
    <d v="2026-05-02T08:02:07"/>
    <x v="89"/>
    <s v="Saturday"/>
    <n v="8"/>
  </r>
  <r>
    <s v="84fea0ac-23fb-48ce-a914-f8f14a668dea"/>
    <s v="***"/>
    <d v="2026-05-02T15:10:59"/>
    <n v="3"/>
    <x v="5"/>
    <d v="2026-05-02T08:10:59"/>
    <x v="89"/>
    <s v="Saturday"/>
    <n v="8"/>
  </r>
  <r>
    <s v="c9b8c1a6-2623-4943-a08c-7e291945a2fb"/>
    <s v="***"/>
    <d v="2026-05-02T15:25:26"/>
    <n v="569"/>
    <x v="1"/>
    <d v="2026-05-02T08:25:26"/>
    <x v="89"/>
    <s v="Saturday"/>
    <n v="8"/>
  </r>
  <r>
    <s v="77e884d2-7926-48ff-b5b0-eef8e151b5bb"/>
    <s v="***"/>
    <d v="2026-05-02T17:51:40"/>
    <n v="526"/>
    <x v="1"/>
    <d v="2026-05-02T10:51:40"/>
    <x v="89"/>
    <s v="Saturday"/>
    <n v="10"/>
  </r>
  <r>
    <s v="6cf50b4e-5fc4-4fff-bc7f-306e0a6c4dfd"/>
    <s v="***"/>
    <d v="2026-05-02T18:03:50"/>
    <n v="526"/>
    <x v="1"/>
    <d v="2026-05-02T11:03:50"/>
    <x v="89"/>
    <s v="Saturday"/>
    <n v="11"/>
  </r>
  <r>
    <s v="3874a92d-3f69-452e-b190-d14c18490d0a"/>
    <s v="***"/>
    <d v="2026-05-02T18:10:28"/>
    <n v="526"/>
    <x v="5"/>
    <d v="2026-05-02T11:10:28"/>
    <x v="89"/>
    <s v="Saturday"/>
    <n v="11"/>
  </r>
  <r>
    <s v="7827ab10-48d7-4865-bc27-cb2058a2fe43"/>
    <s v="***"/>
    <d v="2026-05-02T20:03:01"/>
    <n v="569"/>
    <x v="1"/>
    <d v="2026-05-02T13:03:01"/>
    <x v="89"/>
    <s v="Saturday"/>
    <n v="13"/>
  </r>
  <r>
    <s v="c9767926-0419-4665-8cce-35842369acbc"/>
    <s v="***"/>
    <d v="2026-05-02T21:48:13"/>
    <n v="526"/>
    <x v="5"/>
    <d v="2026-05-02T14:48:13"/>
    <x v="89"/>
    <s v="Saturday"/>
    <n v="14"/>
  </r>
  <r>
    <s v="7fbc5937-1e68-47d7-8c9c-6e655306c327"/>
    <s v="***"/>
    <d v="2026-05-03T11:00:32"/>
    <n v="33"/>
    <x v="1"/>
    <d v="2026-05-03T04:00:32"/>
    <x v="90"/>
    <s v="Sunday"/>
    <n v="4"/>
  </r>
  <r>
    <s v="5e7ccae8-3f62-470e-9ce8-a6fc95616e24"/>
    <s v="***"/>
    <d v="2026-05-03T11:42:00"/>
    <n v="569"/>
    <x v="164"/>
    <d v="2026-05-03T04:42:00"/>
    <x v="90"/>
    <s v="Sunday"/>
    <n v="4"/>
  </r>
  <r>
    <s v="0eefe464-c849-4e6b-a1ab-3da6813f76f7"/>
    <s v="***"/>
    <d v="2026-05-03T12:02:55"/>
    <n v="33"/>
    <x v="1"/>
    <d v="2026-05-03T05:02:55"/>
    <x v="90"/>
    <s v="Sunday"/>
    <n v="5"/>
  </r>
  <r>
    <s v="fdc896a2-a930-4a00-b9d2-15ed689036e9"/>
    <s v="***"/>
    <d v="2026-05-03T13:03:18"/>
    <n v="569"/>
    <x v="1"/>
    <d v="2026-05-03T06:03:18"/>
    <x v="90"/>
    <s v="Sunday"/>
    <n v="6"/>
  </r>
  <r>
    <s v="b35b4d19-0e60-4288-82e4-2046ba9708fe"/>
    <s v="***"/>
    <d v="2026-05-03T13:03:34"/>
    <n v="33"/>
    <x v="1"/>
    <d v="2026-05-03T06:03:34"/>
    <x v="90"/>
    <s v="Sunday"/>
    <n v="6"/>
  </r>
  <r>
    <s v="3f017e54-3cb0-441a-92a7-86fbe49f9b98"/>
    <s v="***"/>
    <d v="2026-05-03T13:22:28"/>
    <n v="569"/>
    <x v="164"/>
    <d v="2026-05-03T06:22:28"/>
    <x v="90"/>
    <s v="Sunday"/>
    <n v="6"/>
  </r>
  <r>
    <s v="d0d65476-ef14-4ff6-97ae-85a7679363ea"/>
    <s v="***"/>
    <d v="2026-05-03T13:44:17"/>
    <n v="3"/>
    <x v="1"/>
    <d v="2026-05-03T06:44:17"/>
    <x v="90"/>
    <s v="Sunday"/>
    <n v="6"/>
  </r>
  <r>
    <s v="fa548c14-9849-40df-a92f-ca3b43e1519c"/>
    <s v="***"/>
    <d v="2026-05-03T14:00:19"/>
    <n v="569"/>
    <x v="1"/>
    <d v="2026-05-03T07:00:19"/>
    <x v="90"/>
    <s v="Sunday"/>
    <n v="7"/>
  </r>
  <r>
    <s v="e9035a5f-13f1-4a20-86f2-13a393da6f12"/>
    <s v="***"/>
    <d v="2026-05-03T14:25:34"/>
    <n v="3"/>
    <x v="165"/>
    <d v="2026-05-03T07:25:34"/>
    <x v="90"/>
    <s v="Sunday"/>
    <n v="7"/>
  </r>
  <r>
    <s v="c7d6f957-4f2c-4de0-a9f7-37841d03258f"/>
    <s v="***"/>
    <d v="2026-05-03T15:25:18"/>
    <n v="3"/>
    <x v="1"/>
    <d v="2026-05-03T08:25:18"/>
    <x v="90"/>
    <s v="Sunday"/>
    <n v="8"/>
  </r>
  <r>
    <s v="354d0e26-08de-4e8c-a03b-e84ac22ff2d5"/>
    <s v="***"/>
    <d v="2026-05-03T16:09:35"/>
    <n v="526"/>
    <x v="5"/>
    <d v="2026-05-03T09:09:35"/>
    <x v="90"/>
    <s v="Sunday"/>
    <n v="9"/>
  </r>
  <r>
    <s v="065d5baf-ef43-4888-95d8-e7d26f89a73d"/>
    <s v="***"/>
    <d v="2026-05-03T16:53:41"/>
    <n v="33"/>
    <x v="1"/>
    <d v="2026-05-03T09:53:41"/>
    <x v="90"/>
    <s v="Sunday"/>
    <n v="9"/>
  </r>
  <r>
    <s v="f31631c3-950a-4d7e-acbe-e77eafa0f95f"/>
    <s v="***"/>
    <d v="2026-05-03T17:00:38"/>
    <n v="526"/>
    <x v="5"/>
    <d v="2026-05-03T10:00:38"/>
    <x v="90"/>
    <s v="Sunday"/>
    <n v="10"/>
  </r>
  <r>
    <s v="56014f2b-7a4e-4472-a247-6dd6570fbf42"/>
    <s v="***"/>
    <d v="2026-05-03T18:32:47"/>
    <n v="33"/>
    <x v="1"/>
    <d v="2026-05-03T11:32:47"/>
    <x v="90"/>
    <s v="Sunday"/>
    <n v="11"/>
  </r>
  <r>
    <s v="b0674158-d02f-43c7-ad69-9fc09efb7761"/>
    <s v="***"/>
    <d v="2026-05-03T19:41:33"/>
    <n v="33"/>
    <x v="1"/>
    <d v="2026-05-03T12:41:33"/>
    <x v="90"/>
    <s v="Sunday"/>
    <n v="12"/>
  </r>
  <r>
    <s v="1d0fd2b8-8916-4c81-95ea-39e1d40c91b0"/>
    <s v="***"/>
    <d v="2026-05-04T01:43:11"/>
    <n v="526"/>
    <x v="1"/>
    <d v="2026-05-03T18:43:11"/>
    <x v="90"/>
    <s v="Sunday"/>
    <n v="18"/>
  </r>
  <r>
    <s v="be6f9af1-18a2-4549-ab01-e8aeaa50c895"/>
    <s v="***"/>
    <d v="2026-05-04T08:00:05"/>
    <n v="1"/>
    <x v="1"/>
    <d v="2026-05-04T01:00:05"/>
    <x v="91"/>
    <s v="Monday"/>
    <n v="1"/>
  </r>
  <r>
    <s v="c4a74999-6550-430a-82c4-3305f9803f51"/>
    <s v="***"/>
    <d v="2026-05-04T08:06:01"/>
    <n v="3"/>
    <x v="109"/>
    <d v="2026-05-04T01:06:01"/>
    <x v="91"/>
    <s v="Monday"/>
    <n v="1"/>
  </r>
  <r>
    <s v="911572c4-167c-4703-a397-97ac5e87775b"/>
    <s v="***"/>
    <d v="2026-05-04T08:34:20"/>
    <n v="32"/>
    <x v="1"/>
    <d v="2026-05-04T01:34:20"/>
    <x v="91"/>
    <s v="Monday"/>
    <n v="1"/>
  </r>
  <r>
    <s v="8d61c386-914b-4ae2-aa3a-7f26d30d9de0"/>
    <s v="***"/>
    <d v="2026-05-04T09:03:36"/>
    <n v="32"/>
    <x v="1"/>
    <d v="2026-05-04T02:03:36"/>
    <x v="91"/>
    <s v="Monday"/>
    <n v="2"/>
  </r>
  <r>
    <s v="0b80bb98-9de9-4002-b4e6-fb7a4091d775"/>
    <s v="***"/>
    <d v="2026-05-04T09:12:24"/>
    <n v="569"/>
    <x v="1"/>
    <d v="2026-05-04T02:12:24"/>
    <x v="91"/>
    <s v="Monday"/>
    <n v="2"/>
  </r>
  <r>
    <s v="a0576eef-999a-4c18-a956-bdb850c4bbaf"/>
    <s v="***"/>
    <d v="2026-05-04T09:13:22"/>
    <n v="569"/>
    <x v="166"/>
    <d v="2026-05-04T02:13:22"/>
    <x v="91"/>
    <s v="Monday"/>
    <n v="2"/>
  </r>
  <r>
    <s v="6d7c662c-66e1-4c01-bfb2-19576e77c4ea"/>
    <s v="***"/>
    <d v="2026-05-04T09:16:06"/>
    <n v="3"/>
    <x v="10"/>
    <d v="2026-05-04T02:16:06"/>
    <x v="91"/>
    <s v="Monday"/>
    <n v="2"/>
  </r>
  <r>
    <s v="a47b8d95-5371-481d-99b3-0a3bbd5c23f0"/>
    <s v="***"/>
    <d v="2026-05-04T09:26:08"/>
    <n v="569"/>
    <x v="167"/>
    <d v="2026-05-04T02:26:08"/>
    <x v="91"/>
    <s v="Monday"/>
    <n v="2"/>
  </r>
  <r>
    <s v="a92fa778-8163-4a6b-8016-9f9df028468e"/>
    <s v="***"/>
    <d v="2026-05-04T10:02:37"/>
    <n v="3"/>
    <x v="1"/>
    <d v="2026-05-04T03:02:37"/>
    <x v="91"/>
    <s v="Monday"/>
    <n v="3"/>
  </r>
  <r>
    <s v="ceac6c70-23c9-47f5-a0bf-b408887c103c"/>
    <s v="***"/>
    <d v="2026-05-04T10:12:45"/>
    <n v="569"/>
    <x v="164"/>
    <d v="2026-05-04T03:12:45"/>
    <x v="91"/>
    <s v="Monday"/>
    <n v="3"/>
  </r>
  <r>
    <s v="16ec07e6-5d46-447a-b621-745a3a5e9cdf"/>
    <s v="***"/>
    <d v="2026-05-04T11:26:45"/>
    <n v="3"/>
    <x v="1"/>
    <d v="2026-05-04T04:26:45"/>
    <x v="91"/>
    <s v="Monday"/>
    <n v="4"/>
  </r>
  <r>
    <s v="6fc589cd-0dea-4195-8c8e-ee75266ad4a7"/>
    <s v="***"/>
    <d v="2026-05-04T11:29:57"/>
    <n v="32"/>
    <x v="1"/>
    <d v="2026-05-04T04:29:57"/>
    <x v="91"/>
    <s v="Monday"/>
    <n v="4"/>
  </r>
  <r>
    <s v="398d907e-1c10-45de-8651-d1747cdbf3bb"/>
    <s v="***"/>
    <d v="2026-05-04T12:35:47"/>
    <n v="534"/>
    <x v="1"/>
    <d v="2026-05-04T05:35:47"/>
    <x v="91"/>
    <s v="Monday"/>
    <n v="5"/>
  </r>
  <r>
    <s v="5773abe6-b301-4b09-8442-ffd2f99a4f08"/>
    <s v="***"/>
    <d v="2026-05-04T14:09:22"/>
    <n v="569"/>
    <x v="1"/>
    <d v="2026-05-04T07:09:22"/>
    <x v="91"/>
    <s v="Monday"/>
    <n v="7"/>
  </r>
  <r>
    <s v="eb5e5fb1-af14-4319-83ec-469fa87bfd28"/>
    <s v="***"/>
    <d v="2026-05-04T14:12:53"/>
    <n v="569"/>
    <x v="1"/>
    <d v="2026-05-04T07:12:53"/>
    <x v="91"/>
    <s v="Monday"/>
    <n v="7"/>
  </r>
  <r>
    <s v="3f42aec8-3e2e-4d77-ab4f-f416e696bee2"/>
    <s v="***"/>
    <d v="2026-05-04T15:28:06"/>
    <n v="569"/>
    <x v="1"/>
    <d v="2026-05-04T08:28:06"/>
    <x v="91"/>
    <s v="Monday"/>
    <n v="8"/>
  </r>
  <r>
    <s v="2fe0a33e-cb3c-4cb6-ae72-ab820044d5a3"/>
    <s v="***"/>
    <d v="2026-05-04T15:28:45"/>
    <n v="3"/>
    <x v="1"/>
    <d v="2026-05-04T08:28:45"/>
    <x v="91"/>
    <s v="Monday"/>
    <n v="8"/>
  </r>
  <r>
    <s v="e192fe4b-d49c-4e55-93af-dbb3024b6cb3"/>
    <s v="***"/>
    <d v="2026-05-04T15:35:40"/>
    <n v="3"/>
    <x v="1"/>
    <d v="2026-05-04T08:35:40"/>
    <x v="91"/>
    <s v="Monday"/>
    <n v="8"/>
  </r>
  <r>
    <s v="c14e4d75-862d-43e6-b12f-71a3ab2c1e0a"/>
    <s v="***"/>
    <d v="2026-05-04T15:54:45"/>
    <n v="569"/>
    <x v="168"/>
    <d v="2026-05-04T08:54:45"/>
    <x v="91"/>
    <s v="Monday"/>
    <n v="8"/>
  </r>
  <r>
    <s v="485e2896-e075-4b92-9f14-6c3abc1ec906"/>
    <s v="***"/>
    <d v="2026-05-04T16:02:10"/>
    <n v="32"/>
    <x v="1"/>
    <d v="2026-05-04T09:02:10"/>
    <x v="91"/>
    <s v="Monday"/>
    <n v="9"/>
  </r>
  <r>
    <s v="b4a76e77-bc76-4b45-9122-40f02179264a"/>
    <s v="***"/>
    <d v="2026-05-04T16:02:40"/>
    <n v="569"/>
    <x v="168"/>
    <d v="2026-05-04T09:02:40"/>
    <x v="91"/>
    <s v="Monday"/>
    <n v="9"/>
  </r>
  <r>
    <s v="5ab0e392-85c6-4659-b5ea-cb652c175ae1"/>
    <s v="***"/>
    <d v="2026-05-04T17:39:05"/>
    <n v="32"/>
    <x v="1"/>
    <d v="2026-05-04T10:39:05"/>
    <x v="91"/>
    <s v="Monday"/>
    <n v="10"/>
  </r>
  <r>
    <s v="28a3ae19-e73c-4174-9c20-943af290a8ee"/>
    <s v="***"/>
    <d v="2026-05-04T17:40:23"/>
    <n v="3"/>
    <x v="169"/>
    <d v="2026-05-04T10:40:23"/>
    <x v="91"/>
    <s v="Monday"/>
    <n v="10"/>
  </r>
  <r>
    <s v="7beb4666-f895-4599-aa8b-e5b66b165dab"/>
    <s v="***"/>
    <d v="2026-05-04T18:03:07"/>
    <n v="493"/>
    <x v="1"/>
    <d v="2026-05-04T11:03:07"/>
    <x v="91"/>
    <s v="Monday"/>
    <n v="11"/>
  </r>
  <r>
    <s v="4c186e8e-ffca-4d63-86e3-b8568cc579d9"/>
    <s v="***"/>
    <d v="2026-05-04T18:08:55"/>
    <n v="3"/>
    <x v="169"/>
    <d v="2026-05-04T11:08:55"/>
    <x v="91"/>
    <s v="Monday"/>
    <n v="11"/>
  </r>
  <r>
    <s v="0afb99c0-5f09-4f5e-b8a1-6fca16f02350"/>
    <s v="***"/>
    <d v="2026-05-04T19:52:21"/>
    <n v="493"/>
    <x v="1"/>
    <d v="2026-05-04T12:52:21"/>
    <x v="91"/>
    <s v="Monday"/>
    <n v="12"/>
  </r>
  <r>
    <s v="18743baf-c5fd-4b97-844e-78afcc42a640"/>
    <s v="***"/>
    <d v="2026-05-04T21:24:07"/>
    <n v="3"/>
    <x v="44"/>
    <d v="2026-05-04T14:24:07"/>
    <x v="91"/>
    <s v="Monday"/>
    <n v="14"/>
  </r>
  <r>
    <s v="5b2f1df9-7047-4383-963f-79e2e6d1f802"/>
    <s v="***"/>
    <d v="2026-05-04T21:31:27"/>
    <n v="526"/>
    <x v="1"/>
    <d v="2026-05-04T14:31:27"/>
    <x v="91"/>
    <s v="Monday"/>
    <n v="14"/>
  </r>
  <r>
    <s v="e3b26c65-7c06-4290-aa1a-58521254f0e7"/>
    <s v="***"/>
    <d v="2026-05-04T22:30:58"/>
    <n v="526"/>
    <x v="1"/>
    <d v="2026-05-04T15:30:58"/>
    <x v="91"/>
    <s v="Monday"/>
    <n v="15"/>
  </r>
  <r>
    <s v="4d139747-e887-4922-a487-1cffa0531207"/>
    <s v="***"/>
    <d v="2026-05-04T23:25:50"/>
    <n v="526"/>
    <x v="1"/>
    <d v="2026-05-04T16:25:50"/>
    <x v="91"/>
    <s v="Monday"/>
    <n v="16"/>
  </r>
  <r>
    <s v="92167134-5224-458b-b122-b6e111898da7"/>
    <s v="***"/>
    <d v="2026-05-05T00:24:12"/>
    <n v="526"/>
    <x v="1"/>
    <d v="2026-05-04T17:24:12"/>
    <x v="91"/>
    <s v="Monday"/>
    <n v="17"/>
  </r>
  <r>
    <s v="cdbb0725-e95f-4eb2-be17-4ef20a0046ef"/>
    <s v="***"/>
    <d v="2026-05-05T00:51:52"/>
    <n v="3"/>
    <x v="1"/>
    <d v="2026-05-04T17:51:52"/>
    <x v="91"/>
    <s v="Monday"/>
    <n v="17"/>
  </r>
  <r>
    <s v="1f08977f-210b-4c93-8d42-e2a2abe9c135"/>
    <s v="***"/>
    <d v="2026-05-05T00:59:06"/>
    <n v="3"/>
    <x v="44"/>
    <d v="2026-05-04T17:59:06"/>
    <x v="91"/>
    <s v="Monday"/>
    <n v="17"/>
  </r>
  <r>
    <s v="a078c06b-8716-4f89-a082-f5018a043d56"/>
    <s v="***"/>
    <d v="2026-05-05T01:00:18"/>
    <n v="526"/>
    <x v="1"/>
    <d v="2026-05-04T18:00:18"/>
    <x v="91"/>
    <s v="Monday"/>
    <n v="18"/>
  </r>
  <r>
    <s v="feab3cbc-1e79-48bd-bc7a-d75f346257aa"/>
    <s v="***"/>
    <d v="2026-05-05T01:00:53"/>
    <n v="3"/>
    <x v="44"/>
    <d v="2026-05-04T18:00:53"/>
    <x v="91"/>
    <s v="Monday"/>
    <n v="18"/>
  </r>
  <r>
    <s v="59791a0a-855c-4ca2-b100-be07917859db"/>
    <s v="***"/>
    <d v="2026-05-05T01:00:54"/>
    <n v="526"/>
    <x v="1"/>
    <d v="2026-05-04T18:00:54"/>
    <x v="91"/>
    <s v="Monday"/>
    <n v="18"/>
  </r>
  <r>
    <s v="55c71714-8fc7-4a4d-8008-a96ab72aab0e"/>
    <s v="***"/>
    <d v="2026-05-05T02:10:43"/>
    <n v="526"/>
    <x v="1"/>
    <d v="2026-05-04T19:10:43"/>
    <x v="91"/>
    <s v="Monday"/>
    <n v="19"/>
  </r>
  <r>
    <s v="7dc04f30-2bae-46f8-8985-d25776d550b5"/>
    <s v="***"/>
    <d v="2026-05-05T02:45:16"/>
    <n v="526"/>
    <x v="1"/>
    <d v="2026-05-04T19:45:16"/>
    <x v="91"/>
    <s v="Monday"/>
    <n v="19"/>
  </r>
  <r>
    <s v="d00a837f-8261-4877-a151-a966342f6762"/>
    <s v="***"/>
    <d v="2026-05-05T03:09:11"/>
    <n v="526"/>
    <x v="1"/>
    <d v="2026-05-04T20:09:11"/>
    <x v="91"/>
    <s v="Monday"/>
    <n v="20"/>
  </r>
  <r>
    <s v="f942afc9-3356-4821-9baa-075f47c82eea"/>
    <s v="***"/>
    <d v="2026-05-05T03:23:56"/>
    <n v="526"/>
    <x v="1"/>
    <d v="2026-05-04T20:23:56"/>
    <x v="91"/>
    <s v="Monday"/>
    <n v="20"/>
  </r>
  <r>
    <s v="12170af3-3297-4dab-8606-c525b6e5d1d3"/>
    <s v="***"/>
    <d v="2026-05-05T04:27:38"/>
    <n v="526"/>
    <x v="1"/>
    <d v="2026-05-04T21:27:38"/>
    <x v="91"/>
    <s v="Monday"/>
    <n v="21"/>
  </r>
  <r>
    <s v="713f3f54-8358-478e-97ca-d186045321f1"/>
    <s v="***"/>
    <d v="2026-05-05T05:23:53"/>
    <n v="526"/>
    <x v="1"/>
    <d v="2026-05-04T22:23:53"/>
    <x v="91"/>
    <s v="Monday"/>
    <n v="22"/>
  </r>
  <r>
    <s v="78feb735-d621-46c5-9a59-3aa17f87591f"/>
    <s v="***"/>
    <d v="2026-05-05T06:11:58"/>
    <n v="526"/>
    <x v="1"/>
    <d v="2026-05-04T23:11:58"/>
    <x v="91"/>
    <s v="Monday"/>
    <n v="23"/>
  </r>
  <r>
    <s v="8ffc78b4-45e6-4607-9e80-d8106e2a72aa"/>
    <s v="***"/>
    <d v="2026-05-05T07:21:03"/>
    <n v="3"/>
    <x v="1"/>
    <d v="2026-05-05T00:21:03"/>
    <x v="92"/>
    <s v="Tuesday"/>
    <n v="0"/>
  </r>
  <r>
    <s v="f03b3867-9bb7-4389-9f35-e0db2ad0f750"/>
    <s v="***"/>
    <d v="2026-05-05T07:41:26"/>
    <n v="569"/>
    <x v="1"/>
    <d v="2026-05-05T00:41:26"/>
    <x v="92"/>
    <s v="Tuesday"/>
    <n v="0"/>
  </r>
  <r>
    <s v="45f1c7cf-0dac-4d07-a75b-6c8e67a81448"/>
    <s v="***"/>
    <d v="2026-05-05T08:42:22"/>
    <n v="3"/>
    <x v="1"/>
    <d v="2026-05-05T01:42:22"/>
    <x v="92"/>
    <s v="Tuesday"/>
    <n v="1"/>
  </r>
  <r>
    <s v="c8964ddf-a0a5-4f1d-8854-cd4bd23e373b"/>
    <s v="***"/>
    <d v="2026-05-05T08:58:00"/>
    <n v="569"/>
    <x v="170"/>
    <d v="2026-05-05T01:58:00"/>
    <x v="92"/>
    <s v="Tuesday"/>
    <n v="1"/>
  </r>
  <r>
    <s v="f39cc7ec-f0a7-40f7-8ce8-7024ea3cb2ce"/>
    <s v="***"/>
    <d v="2026-05-05T09:22:23"/>
    <n v="32"/>
    <x v="1"/>
    <d v="2026-05-05T02:22:23"/>
    <x v="92"/>
    <s v="Tuesday"/>
    <n v="2"/>
  </r>
  <r>
    <s v="441a3aa8-bd47-4f81-8d5b-49f6be48f8ab"/>
    <s v="***"/>
    <d v="2026-05-05T09:59:08"/>
    <n v="3"/>
    <x v="1"/>
    <d v="2026-05-05T02:59:08"/>
    <x v="92"/>
    <s v="Tuesday"/>
    <n v="2"/>
  </r>
  <r>
    <s v="7adf98f0-6791-4744-924f-ea812eb5567a"/>
    <s v="***"/>
    <d v="2026-05-05T10:04:31"/>
    <n v="3"/>
    <x v="1"/>
    <d v="2026-05-05T03:04:31"/>
    <x v="92"/>
    <s v="Tuesday"/>
    <n v="3"/>
  </r>
  <r>
    <s v="0c6ee050-8058-4353-aa3d-459392d34a5a"/>
    <s v="***"/>
    <d v="2026-05-05T10:11:08"/>
    <n v="569"/>
    <x v="23"/>
    <d v="2026-05-05T03:11:08"/>
    <x v="92"/>
    <s v="Tuesday"/>
    <n v="3"/>
  </r>
  <r>
    <s v="46c7a8e4-240a-4a0c-a334-708a670d470b"/>
    <s v="***"/>
    <d v="2026-05-05T10:56:10"/>
    <n v="32"/>
    <x v="1"/>
    <d v="2026-05-05T03:56:10"/>
    <x v="92"/>
    <s v="Tuesday"/>
    <n v="3"/>
  </r>
  <r>
    <s v="25460517-e719-472e-9dd4-ace32b805407"/>
    <s v="***"/>
    <d v="2026-05-05T10:57:10"/>
    <n v="3"/>
    <x v="1"/>
    <d v="2026-05-05T03:57:10"/>
    <x v="92"/>
    <s v="Tuesday"/>
    <n v="3"/>
  </r>
  <r>
    <s v="b62d22fb-dcfa-4662-82f2-95fe30ea0f65"/>
    <s v="***"/>
    <d v="2026-05-05T11:00:35"/>
    <n v="526"/>
    <x v="1"/>
    <d v="2026-05-05T04:00:35"/>
    <x v="92"/>
    <s v="Tuesday"/>
    <n v="4"/>
  </r>
  <r>
    <s v="e9c75566-6587-43d2-9c62-9b1b3b2bcd57"/>
    <s v="***"/>
    <d v="2026-05-05T11:01:46"/>
    <n v="3"/>
    <x v="1"/>
    <d v="2026-05-05T04:01:46"/>
    <x v="92"/>
    <s v="Tuesday"/>
    <n v="4"/>
  </r>
  <r>
    <s v="abdeac6e-8892-46ca-b174-f094b11757ec"/>
    <s v="***"/>
    <d v="2026-05-05T11:52:11"/>
    <n v="32"/>
    <x v="1"/>
    <d v="2026-05-05T04:52:11"/>
    <x v="92"/>
    <s v="Tuesday"/>
    <n v="4"/>
  </r>
  <r>
    <s v="6789161b-c5ec-47f2-ba3c-a89a2c4e64ac"/>
    <s v="***"/>
    <d v="2026-05-05T12:25:43"/>
    <n v="493"/>
    <x v="1"/>
    <d v="2026-05-05T05:25:43"/>
    <x v="92"/>
    <s v="Tuesday"/>
    <n v="5"/>
  </r>
  <r>
    <s v="652dfdd2-b48f-4e80-b6ad-8ea65c9d7040"/>
    <s v="***"/>
    <d v="2026-05-05T12:49:03"/>
    <n v="526"/>
    <x v="5"/>
    <d v="2026-05-05T05:49:03"/>
    <x v="92"/>
    <s v="Tuesday"/>
    <n v="5"/>
  </r>
  <r>
    <s v="a4808896-e0d6-48c4-b07e-8ac30421e880"/>
    <s v="***"/>
    <d v="2026-05-05T13:38:28"/>
    <n v="493"/>
    <x v="1"/>
    <d v="2026-05-05T06:38:28"/>
    <x v="92"/>
    <s v="Tuesday"/>
    <n v="6"/>
  </r>
  <r>
    <s v="4b68eb0c-6a5e-46c0-91d6-28324247a2ba"/>
    <s v="***"/>
    <d v="2026-05-05T13:39:37"/>
    <n v="569"/>
    <x v="1"/>
    <d v="2026-05-05T06:39:37"/>
    <x v="92"/>
    <s v="Tuesday"/>
    <n v="6"/>
  </r>
  <r>
    <s v="24bbfb01-453d-4091-a031-1658f20bc619"/>
    <s v="***"/>
    <d v="2026-05-05T14:07:29"/>
    <n v="3"/>
    <x v="1"/>
    <d v="2026-05-05T07:07:29"/>
    <x v="92"/>
    <s v="Tuesday"/>
    <n v="7"/>
  </r>
  <r>
    <s v="feae5cc9-0079-499a-83c2-3c8dc6f4d020"/>
    <s v="***"/>
    <d v="2026-05-05T14:09:33"/>
    <n v="3"/>
    <x v="1"/>
    <d v="2026-05-05T07:09:33"/>
    <x v="92"/>
    <s v="Tuesday"/>
    <n v="7"/>
  </r>
  <r>
    <s v="38ac5bc8-b7d2-4b71-be03-a1365b5b52b7"/>
    <s v="***"/>
    <d v="2026-05-05T14:11:05"/>
    <n v="569"/>
    <x v="10"/>
    <d v="2026-05-05T07:11:05"/>
    <x v="92"/>
    <s v="Tuesday"/>
    <n v="7"/>
  </r>
  <r>
    <s v="7c10f4c3-bc2d-40b8-a1d0-0c359901aee1"/>
    <s v="***"/>
    <d v="2026-05-05T15:01:03"/>
    <n v="32"/>
    <x v="1"/>
    <d v="2026-05-05T08:01:03"/>
    <x v="92"/>
    <s v="Tuesday"/>
    <n v="8"/>
  </r>
  <r>
    <s v="1b9d7d8c-ad1a-40fc-912f-bed27aec9ed7"/>
    <s v="***"/>
    <d v="2026-05-05T15:04:09"/>
    <n v="569"/>
    <x v="10"/>
    <d v="2026-05-05T08:04:09"/>
    <x v="92"/>
    <s v="Tuesday"/>
    <n v="8"/>
  </r>
  <r>
    <s v="eeae9b4a-6dcd-465e-9fe8-36b1bfaeb1d2"/>
    <s v="***"/>
    <d v="2026-05-05T16:15:07"/>
    <n v="569"/>
    <x v="10"/>
    <d v="2026-05-05T09:15:07"/>
    <x v="92"/>
    <s v="Tuesday"/>
    <n v="9"/>
  </r>
  <r>
    <s v="3457bc82-39da-458a-a3f6-6645e484b993"/>
    <s v="***"/>
    <d v="2026-05-05T16:23:35"/>
    <n v="32"/>
    <x v="1"/>
    <d v="2026-05-05T09:23:35"/>
    <x v="92"/>
    <s v="Tuesday"/>
    <n v="9"/>
  </r>
  <r>
    <s v="542ce6c1-0524-4e58-ad29-7c37f52e292b"/>
    <s v="***"/>
    <d v="2026-05-05T16:48:23"/>
    <n v="3"/>
    <x v="1"/>
    <d v="2026-05-05T09:48:23"/>
    <x v="92"/>
    <s v="Tuesday"/>
    <n v="9"/>
  </r>
  <r>
    <s v="19e2cdd3-ee61-4080-886b-ed3654ea1173"/>
    <s v="***"/>
    <d v="2026-05-05T17:18:40"/>
    <n v="526"/>
    <x v="1"/>
    <d v="2026-05-05T10:18:40"/>
    <x v="92"/>
    <s v="Tuesday"/>
    <n v="10"/>
  </r>
  <r>
    <s v="17d5d56c-2e36-4577-9177-9429004af967"/>
    <s v="***"/>
    <d v="2026-05-05T17:25:31"/>
    <n v="1"/>
    <x v="1"/>
    <d v="2026-05-05T10:25:31"/>
    <x v="92"/>
    <s v="Tuesday"/>
    <n v="10"/>
  </r>
  <r>
    <s v="003ba2ec-0d15-4b52-aee6-a407afa2a8a4"/>
    <s v="***"/>
    <d v="2026-05-05T17:44:02"/>
    <n v="569"/>
    <x v="10"/>
    <d v="2026-05-05T10:44:02"/>
    <x v="92"/>
    <s v="Tuesday"/>
    <n v="10"/>
  </r>
  <r>
    <s v="4fea391d-d2af-41db-a7f1-0094d9101580"/>
    <s v="***"/>
    <d v="2026-05-05T18:02:13"/>
    <n v="569"/>
    <x v="10"/>
    <d v="2026-05-05T11:02:13"/>
    <x v="92"/>
    <s v="Tuesday"/>
    <n v="11"/>
  </r>
  <r>
    <s v="c371e252-e8f8-4565-91ac-9ef5afc2644d"/>
    <s v="***"/>
    <d v="2026-05-05T19:05:42"/>
    <n v="569"/>
    <x v="10"/>
    <d v="2026-05-05T12:05:42"/>
    <x v="92"/>
    <s v="Tuesday"/>
    <n v="12"/>
  </r>
  <r>
    <s v="a8bd1bbf-fb50-40ba-9aa4-1492bb37a3a9"/>
    <s v="***"/>
    <d v="2026-05-05T20:34:15"/>
    <n v="569"/>
    <x v="1"/>
    <d v="2026-05-05T13:34:15"/>
    <x v="92"/>
    <s v="Tuesday"/>
    <n v="13"/>
  </r>
  <r>
    <s v="356de267-f063-4ed6-93fc-6a9e587945eb"/>
    <s v="***"/>
    <d v="2026-05-05T20:43:48"/>
    <n v="526"/>
    <x v="1"/>
    <d v="2026-05-05T13:43:48"/>
    <x v="92"/>
    <s v="Tuesday"/>
    <n v="13"/>
  </r>
  <r>
    <s v="41d7ed8b-4c67-4e99-b5c3-616b22739916"/>
    <s v="***"/>
    <d v="2026-05-05T21:21:38"/>
    <n v="526"/>
    <x v="1"/>
    <d v="2026-05-05T14:21:38"/>
    <x v="92"/>
    <s v="Tuesday"/>
    <n v="14"/>
  </r>
  <r>
    <s v="ef532c3d-1785-4cb9-9593-b18ab1ee5bff"/>
    <s v="***"/>
    <d v="2026-05-05T21:32:30"/>
    <n v="569"/>
    <x v="171"/>
    <d v="2026-05-05T14:32:30"/>
    <x v="92"/>
    <s v="Tuesday"/>
    <n v="14"/>
  </r>
  <r>
    <s v="a5c4159f-86e9-4040-bc46-e66dc7e8354d"/>
    <s v="***"/>
    <d v="2026-05-05T21:44:30"/>
    <n v="3"/>
    <x v="44"/>
    <d v="2026-05-05T14:44:30"/>
    <x v="92"/>
    <s v="Tuesday"/>
    <n v="14"/>
  </r>
  <r>
    <s v="4e548e3c-0bed-45d7-a640-d399fe0c3050"/>
    <s v="***"/>
    <d v="2026-05-05T21:46:38"/>
    <n v="569"/>
    <x v="44"/>
    <d v="2026-05-05T14:46:38"/>
    <x v="92"/>
    <s v="Tuesday"/>
    <n v="14"/>
  </r>
  <r>
    <s v="1bcb5b03-0b87-478c-baf9-076654d761bd"/>
    <s v="***"/>
    <d v="2026-05-05T21:49:14"/>
    <n v="569"/>
    <x v="172"/>
    <d v="2026-05-05T14:49:14"/>
    <x v="92"/>
    <s v="Tuesday"/>
    <n v="14"/>
  </r>
  <r>
    <s v="b98a1185-4af1-4bb5-9d6e-4356e7723138"/>
    <s v="***"/>
    <d v="2026-05-05T22:01:31"/>
    <n v="3"/>
    <x v="172"/>
    <d v="2026-05-05T15:01:31"/>
    <x v="92"/>
    <s v="Tuesday"/>
    <n v="15"/>
  </r>
  <r>
    <s v="905abd92-b433-443d-945c-3fe7d7fe6dd9"/>
    <s v="***"/>
    <d v="2026-05-06T02:10:28"/>
    <n v="3"/>
    <x v="1"/>
    <d v="2026-05-05T19:10:28"/>
    <x v="92"/>
    <s v="Tuesday"/>
    <n v="19"/>
  </r>
  <r>
    <s v="a55c9a86-f4e6-4151-bc67-4242932f0d41"/>
    <s v="***"/>
    <d v="2026-05-06T03:30:50"/>
    <n v="3"/>
    <x v="1"/>
    <d v="2026-05-05T20:30:50"/>
    <x v="92"/>
    <s v="Tuesday"/>
    <n v="20"/>
  </r>
  <r>
    <s v="e2c23722-081d-4f4b-abe4-f17c2e360fc9"/>
    <s v="***"/>
    <d v="2026-05-06T06:45:58"/>
    <n v="493"/>
    <x v="1"/>
    <d v="2026-05-05T23:45:58"/>
    <x v="92"/>
    <s v="Tuesday"/>
    <n v="23"/>
  </r>
  <r>
    <s v="ba5e57bc-32d8-448f-9964-c57f95c33f68"/>
    <s v="***"/>
    <d v="2026-05-06T07:57:33"/>
    <n v="569"/>
    <x v="10"/>
    <d v="2026-05-06T00:57:33"/>
    <x v="93"/>
    <s v="Wednesday"/>
    <n v="0"/>
  </r>
  <r>
    <s v="a3b3439e-dd6e-4f77-81fa-8200c8d9ff21"/>
    <s v="***"/>
    <d v="2026-05-06T08:22:50"/>
    <n v="569"/>
    <x v="1"/>
    <d v="2026-05-06T01:22:50"/>
    <x v="93"/>
    <s v="Wednesday"/>
    <n v="1"/>
  </r>
  <r>
    <s v="b0eb6d53-7997-45b4-b1f2-0982c000124d"/>
    <s v="***"/>
    <d v="2026-05-06T08:51:41"/>
    <n v="569"/>
    <x v="1"/>
    <d v="2026-05-06T01:51:41"/>
    <x v="93"/>
    <s v="Wednesday"/>
    <n v="1"/>
  </r>
  <r>
    <s v="61fc7184-2c58-4bcf-888d-d21d11ff04be"/>
    <s v="***"/>
    <d v="2026-05-06T09:18:07"/>
    <n v="569"/>
    <x v="10"/>
    <d v="2026-05-06T02:18:07"/>
    <x v="93"/>
    <s v="Wednesday"/>
    <n v="2"/>
  </r>
  <r>
    <s v="a93de6b7-69e0-4b23-928f-a8847a623900"/>
    <s v="***"/>
    <d v="2026-05-06T09:19:19"/>
    <n v="3"/>
    <x v="1"/>
    <d v="2026-05-06T02:19:19"/>
    <x v="93"/>
    <s v="Wednesday"/>
    <n v="2"/>
  </r>
  <r>
    <s v="f30ba2b6-e846-4ace-bcc2-b7d84c0aae36"/>
    <s v="***"/>
    <d v="2026-05-06T09:39:17"/>
    <n v="526"/>
    <x v="1"/>
    <d v="2026-05-06T02:39:17"/>
    <x v="93"/>
    <s v="Wednesday"/>
    <n v="2"/>
  </r>
  <r>
    <s v="2bdeec4d-aa47-4bfd-a90a-20e165585ab3"/>
    <s v="***"/>
    <d v="2026-05-06T10:14:34"/>
    <n v="526"/>
    <x v="1"/>
    <d v="2026-05-06T03:14:34"/>
    <x v="93"/>
    <s v="Wednesday"/>
    <n v="3"/>
  </r>
  <r>
    <s v="836b58fa-3c3c-4450-9a81-c7aaf5530ef7"/>
    <s v="***"/>
    <d v="2026-05-06T10:18:03"/>
    <n v="3"/>
    <x v="1"/>
    <d v="2026-05-06T03:18:03"/>
    <x v="93"/>
    <s v="Wednesday"/>
    <n v="3"/>
  </r>
  <r>
    <s v="07c49b23-3299-4eca-86a1-fd9eea8daa3d"/>
    <s v="***"/>
    <d v="2026-05-06T10:24:51"/>
    <n v="493"/>
    <x v="1"/>
    <d v="2026-05-06T03:24:51"/>
    <x v="93"/>
    <s v="Wednesday"/>
    <n v="3"/>
  </r>
  <r>
    <s v="74542c05-d906-4447-91cf-4a0d448af607"/>
    <s v="***"/>
    <d v="2026-05-06T11:01:41"/>
    <n v="526"/>
    <x v="1"/>
    <d v="2026-05-06T04:01:41"/>
    <x v="93"/>
    <s v="Wednesday"/>
    <n v="4"/>
  </r>
  <r>
    <s v="62a16dca-1f6f-49b9-b8b1-744e5952fd8e"/>
    <s v="***"/>
    <d v="2026-05-06T11:20:14"/>
    <n v="3"/>
    <x v="1"/>
    <d v="2026-05-06T04:20:14"/>
    <x v="93"/>
    <s v="Wednesday"/>
    <n v="4"/>
  </r>
  <r>
    <s v="8e28abe7-f0ec-4f90-bfed-c3485e226f91"/>
    <s v="***"/>
    <d v="2026-05-06T11:21:02"/>
    <n v="1"/>
    <x v="1"/>
    <d v="2026-05-06T04:21:02"/>
    <x v="93"/>
    <s v="Wednesday"/>
    <n v="4"/>
  </r>
  <r>
    <s v="b7912ab8-d15e-4451-b990-a0c54e90b342"/>
    <s v="***"/>
    <d v="2026-05-06T11:29:45"/>
    <n v="3"/>
    <x v="1"/>
    <d v="2026-05-06T04:29:45"/>
    <x v="93"/>
    <s v="Wednesday"/>
    <n v="4"/>
  </r>
  <r>
    <s v="86433db1-c9d6-4876-983e-00c50a4f38c6"/>
    <s v="***"/>
    <d v="2026-05-06T11:35:16"/>
    <n v="3"/>
    <x v="173"/>
    <d v="2026-05-06T04:35:16"/>
    <x v="93"/>
    <s v="Wednesday"/>
    <n v="4"/>
  </r>
  <r>
    <s v="03be638f-4921-4a64-90f9-1b7655e339e2"/>
    <s v="***"/>
    <d v="2026-05-06T12:56:20"/>
    <n v="3"/>
    <x v="76"/>
    <d v="2026-05-06T05:56:20"/>
    <x v="93"/>
    <s v="Wednesday"/>
    <n v="5"/>
  </r>
  <r>
    <s v="64af5e9c-a57c-4837-b885-6b2057a6c8a7"/>
    <s v="***"/>
    <d v="2026-05-06T13:05:27"/>
    <n v="3"/>
    <x v="1"/>
    <d v="2026-05-06T06:05:27"/>
    <x v="93"/>
    <s v="Wednesday"/>
    <n v="6"/>
  </r>
  <r>
    <s v="dead0904-2c4d-4ef0-85db-3b75864a89c2"/>
    <s v="***"/>
    <d v="2026-05-06T14:11:21"/>
    <n v="493"/>
    <x v="1"/>
    <d v="2026-05-06T07:11:21"/>
    <x v="93"/>
    <s v="Wednesday"/>
    <n v="7"/>
  </r>
  <r>
    <s v="8d06d023-f41c-4cf6-863e-10795bf04c1c"/>
    <s v="***"/>
    <d v="2026-05-06T14:44:18"/>
    <n v="534"/>
    <x v="1"/>
    <d v="2026-05-06T07:44:18"/>
    <x v="93"/>
    <s v="Wednesday"/>
    <n v="7"/>
  </r>
  <r>
    <s v="865ff351-0922-4907-b46e-addbedab3dae"/>
    <s v="***"/>
    <d v="2026-05-06T19:18:29"/>
    <n v="3"/>
    <x v="17"/>
    <d v="2026-05-06T12:18:29"/>
    <x v="93"/>
    <s v="Wednesday"/>
    <n v="12"/>
  </r>
  <r>
    <s v="1e43a5ab-e571-4e20-b1c8-a75e1d64ca17"/>
    <s v="***"/>
    <d v="2026-05-06T20:57:28"/>
    <n v="569"/>
    <x v="174"/>
    <d v="2026-05-06T13:57:28"/>
    <x v="93"/>
    <s v="Wednesday"/>
    <n v="13"/>
  </r>
  <r>
    <s v="e3f98439-bf00-4039-94a2-ff99cf7bc0e0"/>
    <s v="***"/>
    <d v="2026-05-06T21:11:06"/>
    <n v="569"/>
    <x v="175"/>
    <d v="2026-05-06T14:11:06"/>
    <x v="93"/>
    <s v="Wednesday"/>
    <n v="14"/>
  </r>
  <r>
    <s v="5395d1f9-f6e4-402e-a232-07f6030a978d"/>
    <s v="***"/>
    <d v="2026-05-06T22:02:34"/>
    <n v="3"/>
    <x v="44"/>
    <d v="2026-05-06T15:02:34"/>
    <x v="93"/>
    <s v="Wednesday"/>
    <n v="15"/>
  </r>
  <r>
    <s v="ac75668f-e2ba-44f0-9b85-85674f5873fc"/>
    <s v="***"/>
    <d v="2026-05-07T08:32:27"/>
    <n v="526"/>
    <x v="1"/>
    <d v="2026-05-07T01:32:27"/>
    <x v="94"/>
    <s v="Thursday"/>
    <n v="1"/>
  </r>
  <r>
    <s v="68c3c80e-fb37-48b9-88d6-02b2d27482ad"/>
    <s v="***"/>
    <d v="2026-05-07T09:14:18"/>
    <n v="526"/>
    <x v="1"/>
    <d v="2026-05-07T02:14:18"/>
    <x v="94"/>
    <s v="Thursday"/>
    <n v="2"/>
  </r>
  <r>
    <s v="b66b2d09-6c4d-4178-bdba-e0c44e906a54"/>
    <s v="***"/>
    <d v="2026-05-07T10:29:59"/>
    <n v="526"/>
    <x v="5"/>
    <d v="2026-05-07T03:29:59"/>
    <x v="94"/>
    <s v="Thursday"/>
    <n v="3"/>
  </r>
  <r>
    <s v="c3f2b1a0-a160-4533-afb9-9e0d8537aaf4"/>
    <s v="***"/>
    <d v="2026-05-07T11:26:02"/>
    <n v="526"/>
    <x v="176"/>
    <d v="2026-05-07T04:26:02"/>
    <x v="94"/>
    <s v="Thursday"/>
    <n v="4"/>
  </r>
  <r>
    <s v="e92b7619-0590-489e-bdff-472ddad78219"/>
    <s v="***"/>
    <d v="2026-05-07T13:53:27"/>
    <n v="569"/>
    <x v="177"/>
    <d v="2026-05-07T06:53:27"/>
    <x v="94"/>
    <s v="Thursday"/>
    <n v="6"/>
  </r>
  <r>
    <s v="d0530bc2-b024-45e9-96b5-ed08d4fe1a23"/>
    <s v="***"/>
    <d v="2026-05-07T13:53:49"/>
    <n v="526"/>
    <x v="1"/>
    <d v="2026-05-07T06:53:49"/>
    <x v="94"/>
    <s v="Thursday"/>
    <n v="6"/>
  </r>
  <r>
    <s v="c887f4e4-f60f-4132-8731-bf80a8cd3906"/>
    <s v="***"/>
    <d v="2026-05-07T13:55:17"/>
    <n v="3"/>
    <x v="1"/>
    <d v="2026-05-07T06:55:17"/>
    <x v="94"/>
    <s v="Thursday"/>
    <n v="6"/>
  </r>
  <r>
    <s v="11947232-0781-4b88-89d4-0669a98cd2a9"/>
    <s v="***"/>
    <d v="2026-05-07T13:55:48"/>
    <n v="569"/>
    <x v="178"/>
    <d v="2026-05-07T06:55:48"/>
    <x v="94"/>
    <s v="Thursday"/>
    <n v="6"/>
  </r>
  <r>
    <s v="0c5b8904-fe10-4998-b479-33e3b863f0e3"/>
    <s v="***"/>
    <d v="2026-05-07T14:45:01"/>
    <n v="526"/>
    <x v="1"/>
    <d v="2026-05-07T07:45:01"/>
    <x v="94"/>
    <s v="Thursday"/>
    <n v="7"/>
  </r>
  <r>
    <s v="3d635db9-e42e-43c4-8103-ef1598678aa5"/>
    <s v="***"/>
    <d v="2026-05-07T15:14:15"/>
    <n v="3"/>
    <x v="1"/>
    <d v="2026-05-07T08:14:15"/>
    <x v="94"/>
    <s v="Thursday"/>
    <n v="8"/>
  </r>
  <r>
    <s v="2a0723a9-65b8-4425-9640-29747664b7f4"/>
    <s v="***"/>
    <d v="2026-05-07T15:16:54"/>
    <n v="3"/>
    <x v="179"/>
    <d v="2026-05-07T08:16:54"/>
    <x v="94"/>
    <s v="Thursday"/>
    <n v="8"/>
  </r>
  <r>
    <s v="f8345135-9554-4597-9ac9-42b88076bce6"/>
    <s v="***"/>
    <d v="2026-05-07T15:17:18"/>
    <n v="526"/>
    <x v="1"/>
    <d v="2026-05-07T08:17:18"/>
    <x v="94"/>
    <s v="Thursday"/>
    <n v="8"/>
  </r>
  <r>
    <s v="28c75e2c-53b1-4de0-ae65-279b533a8c0d"/>
    <s v="***"/>
    <d v="2026-05-07T18:01:55"/>
    <n v="3"/>
    <x v="180"/>
    <d v="2026-05-07T11:01:55"/>
    <x v="94"/>
    <s v="Thursday"/>
    <n v="11"/>
  </r>
  <r>
    <s v="73ad0d44-d0d7-4ae8-976a-6c5e97d652a1"/>
    <s v="***"/>
    <d v="2026-05-07T19:18:06"/>
    <n v="3"/>
    <x v="181"/>
    <d v="2026-05-07T12:18:06"/>
    <x v="94"/>
    <s v="Thursday"/>
    <n v="12"/>
  </r>
  <r>
    <s v="765363ae-a855-49db-9d33-62419dc05d8d"/>
    <s v="***"/>
    <d v="2026-05-07T20:05:45"/>
    <n v="3"/>
    <x v="181"/>
    <d v="2026-05-07T13:05:45"/>
    <x v="94"/>
    <s v="Thursday"/>
    <n v="13"/>
  </r>
  <r>
    <s v="4530d32c-1d6d-4b20-b9a4-a293c8e1f3fc"/>
    <s v="***"/>
    <d v="2026-05-07T20:09:34"/>
    <n v="570"/>
    <x v="1"/>
    <d v="2026-05-07T13:09:34"/>
    <x v="94"/>
    <s v="Thursday"/>
    <n v="13"/>
  </r>
  <r>
    <s v="263e85d7-9309-4917-a1b7-a7aa3ab63193"/>
    <s v="***"/>
    <d v="2026-05-07T20:31:07"/>
    <n v="570"/>
    <x v="50"/>
    <d v="2026-05-07T13:31:07"/>
    <x v="94"/>
    <s v="Thursday"/>
    <n v="13"/>
  </r>
  <r>
    <s v="9593be95-879d-4bf5-afbe-fe6bc8ecb8bd"/>
    <s v="***"/>
    <d v="2026-05-07T21:04:42"/>
    <n v="570"/>
    <x v="158"/>
    <d v="2026-05-07T14:04:42"/>
    <x v="94"/>
    <s v="Thursday"/>
    <n v="14"/>
  </r>
  <r>
    <s v="5b207aef-b4ce-4675-9903-3a4b3ce00df8"/>
    <s v="***"/>
    <d v="2026-05-07T22:52:06"/>
    <n v="570"/>
    <x v="1"/>
    <d v="2026-05-07T15:52:06"/>
    <x v="94"/>
    <s v="Thursday"/>
    <n v="15"/>
  </r>
  <r>
    <s v="e60023d9-8a3b-44f3-9ed2-cc3b3a1fe829"/>
    <s v="***"/>
    <d v="2026-05-07T23:02:41"/>
    <n v="570"/>
    <x v="50"/>
    <d v="2026-05-07T16:02:41"/>
    <x v="94"/>
    <s v="Thursday"/>
    <n v="16"/>
  </r>
  <r>
    <s v="d248c7fd-513b-481b-85aa-c1fdd6fb5e27"/>
    <s v="***"/>
    <d v="2026-05-07T23:19:30"/>
    <n v="527"/>
    <x v="5"/>
    <d v="2026-05-07T16:19:30"/>
    <x v="94"/>
    <s v="Thursday"/>
    <n v="16"/>
  </r>
  <r>
    <s v="e1c5bfc8-bdc3-48d2-bf1f-d8358a8b68a0"/>
    <s v="***"/>
    <d v="2026-05-08T00:14:53"/>
    <n v="527"/>
    <x v="181"/>
    <d v="2026-05-07T17:14:53"/>
    <x v="94"/>
    <s v="Thursday"/>
    <n v="17"/>
  </r>
  <r>
    <s v="4abfae8a-6740-42c3-86a3-b6b93448419b"/>
    <s v="***"/>
    <d v="2026-05-08T09:01:54"/>
    <n v="3"/>
    <x v="1"/>
    <d v="2026-05-08T02:01:54"/>
    <x v="95"/>
    <s v="Friday"/>
    <n v="2"/>
  </r>
  <r>
    <s v="0a658f26-bbd4-4ed9-a9f7-5af4f4590957"/>
    <s v="***"/>
    <d v="2026-05-08T09:24:10"/>
    <n v="527"/>
    <x v="1"/>
    <d v="2026-05-08T02:24:10"/>
    <x v="95"/>
    <s v="Friday"/>
    <n v="2"/>
  </r>
  <r>
    <s v="d9da8e6b-601c-47cb-9af2-c49bdba35363"/>
    <s v="***"/>
    <d v="2026-05-08T09:35:11"/>
    <n v="3"/>
    <x v="1"/>
    <d v="2026-05-08T02:35:11"/>
    <x v="95"/>
    <s v="Friday"/>
    <n v="2"/>
  </r>
  <r>
    <s v="d1ac4ae8-de94-4a37-a908-50e87a9375df"/>
    <s v="***"/>
    <d v="2026-05-08T09:57:47"/>
    <n v="570"/>
    <x v="182"/>
    <d v="2026-05-08T02:57:47"/>
    <x v="95"/>
    <s v="Friday"/>
    <n v="2"/>
  </r>
  <r>
    <s v="1c4d6303-d76e-4257-9d04-776788f79e57"/>
    <s v="***"/>
    <d v="2026-05-08T14:09:01"/>
    <n v="527"/>
    <x v="28"/>
    <d v="2026-05-08T07:09:01"/>
    <x v="95"/>
    <s v="Friday"/>
    <n v="7"/>
  </r>
  <r>
    <s v="794c0a5f-e8dc-47d4-8715-beeb840e24fc"/>
    <s v="***"/>
    <d v="2026-05-08T14:24:12"/>
    <n v="3"/>
    <x v="1"/>
    <d v="2026-05-08T07:24:12"/>
    <x v="95"/>
    <s v="Friday"/>
    <n v="7"/>
  </r>
  <r>
    <s v="f861e09b-1c5b-46a6-bc9f-72c879e8da61"/>
    <s v="***"/>
    <d v="2026-05-08T15:50:57"/>
    <n v="3"/>
    <x v="71"/>
    <d v="2026-05-08T08:50:57"/>
    <x v="95"/>
    <s v="Friday"/>
    <n v="8"/>
  </r>
  <r>
    <s v="8f22bcae-a5f1-4e62-af86-c7db1ea14aa2"/>
    <s v="***"/>
    <d v="2026-05-08T15:51:27"/>
    <n v="3"/>
    <x v="1"/>
    <d v="2026-05-08T08:51:27"/>
    <x v="95"/>
    <s v="Friday"/>
    <n v="8"/>
  </r>
  <r>
    <s v="0b904600-c49d-4a92-a014-8cea426d9dc2"/>
    <s v="***"/>
    <d v="2026-05-08T15:51:37"/>
    <n v="3"/>
    <x v="1"/>
    <d v="2026-05-08T08:51:37"/>
    <x v="95"/>
    <s v="Friday"/>
    <n v="8"/>
  </r>
  <r>
    <s v="af8eec3f-95f2-4d8e-89df-9446b256f774"/>
    <s v="***"/>
    <d v="2026-05-08T15:51:43"/>
    <n v="3"/>
    <x v="45"/>
    <d v="2026-05-08T08:51:43"/>
    <x v="95"/>
    <s v="Friday"/>
    <n v="8"/>
  </r>
  <r>
    <s v="67f7dcf6-3fda-45d5-90d8-02ecb19766b7"/>
    <s v="***"/>
    <d v="2026-05-08T16:26:26"/>
    <n v="570"/>
    <x v="71"/>
    <d v="2026-05-08T09:26:26"/>
    <x v="95"/>
    <s v="Friday"/>
    <n v="9"/>
  </r>
  <r>
    <s v="ff77baa9-4b66-4e02-a633-5e824482bc85"/>
    <s v="***"/>
    <d v="2026-05-09T12:19:42"/>
    <n v="527"/>
    <x v="1"/>
    <d v="2026-05-09T05:19:42"/>
    <x v="96"/>
    <s v="Saturday"/>
    <n v="5"/>
  </r>
  <r>
    <s v="5fdc53e2-c108-4690-ae0b-b2ac02abeba9"/>
    <s v="***"/>
    <d v="2026-05-09T14:21:10"/>
    <n v="527"/>
    <x v="5"/>
    <d v="2026-05-09T07:21:10"/>
    <x v="96"/>
    <s v="Saturday"/>
    <n v="7"/>
  </r>
  <r>
    <s v="1e5d8573-36ba-4ec4-bf86-132ec01d861f"/>
    <s v="***"/>
    <d v="2026-05-09T14:53:50"/>
    <n v="527"/>
    <x v="5"/>
    <d v="2026-05-09T07:53:50"/>
    <x v="96"/>
    <s v="Saturday"/>
    <n v="7"/>
  </r>
  <r>
    <s v="7f3cfd6f-ea60-4511-8ab0-790791fb644d"/>
    <s v="***"/>
    <d v="2026-05-09T15:12:20"/>
    <n v="3"/>
    <x v="1"/>
    <d v="2026-05-09T08:12:20"/>
    <x v="96"/>
    <s v="Saturday"/>
    <n v="8"/>
  </r>
  <r>
    <s v="5222167e-8ff0-4b3d-b3ce-bd74122f43b0"/>
    <s v="***"/>
    <d v="2026-05-09T20:11:12"/>
    <n v="527"/>
    <x v="1"/>
    <d v="2026-05-09T13:11:12"/>
    <x v="96"/>
    <s v="Saturday"/>
    <n v="13"/>
  </r>
  <r>
    <s v="b0454fe2-23eb-4481-9a0d-11405ccf5c5d"/>
    <s v="***"/>
    <d v="2026-05-09T22:27:49"/>
    <n v="570"/>
    <x v="183"/>
    <d v="2026-05-09T15:27:49"/>
    <x v="96"/>
    <s v="Saturday"/>
    <n v="15"/>
  </r>
  <r>
    <s v="181dd89e-46b6-49d0-a585-3276e65be37e"/>
    <s v="***"/>
    <d v="2026-05-10T11:25:31"/>
    <n v="1"/>
    <x v="1"/>
    <d v="2026-05-10T04:25:31"/>
    <x v="97"/>
    <s v="Sunday"/>
    <n v="4"/>
  </r>
  <r>
    <s v="6c823e48-f3d0-42de-ae69-4f49576dd6f5"/>
    <s v="***"/>
    <d v="2026-05-10T11:37:20"/>
    <n v="527"/>
    <x v="5"/>
    <d v="2026-05-10T04:37:20"/>
    <x v="97"/>
    <s v="Sunday"/>
    <n v="4"/>
  </r>
  <r>
    <s v="ad8cdbcf-0d41-468c-8c69-b7d360b371dd"/>
    <s v="***"/>
    <d v="2026-05-10T11:40:56"/>
    <n v="527"/>
    <x v="5"/>
    <d v="2026-05-10T04:40:56"/>
    <x v="97"/>
    <s v="Sunday"/>
    <n v="4"/>
  </r>
  <r>
    <s v="0d3cb786-05bd-4781-989f-e18175ea465c"/>
    <s v="***"/>
    <d v="2026-05-10T13:54:08"/>
    <n v="4"/>
    <x v="1"/>
    <d v="2026-05-10T06:54:08"/>
    <x v="97"/>
    <s v="Sunday"/>
    <n v="6"/>
  </r>
  <r>
    <s v="64a984b3-17be-4c2f-9acd-632e354d1842"/>
    <s v="***"/>
    <d v="2026-05-10T14:01:30"/>
    <n v="5"/>
    <x v="1"/>
    <d v="2026-05-10T07:01:30"/>
    <x v="97"/>
    <s v="Sunday"/>
    <n v="7"/>
  </r>
  <r>
    <s v="41bdbe4d-9142-4d6f-bcd1-478ac48e8084"/>
    <s v="***"/>
    <d v="2026-05-10T17:23:28"/>
    <n v="1"/>
    <x v="1"/>
    <d v="2026-05-10T10:23:28"/>
    <x v="97"/>
    <s v="Sunday"/>
    <n v="10"/>
  </r>
  <r>
    <s v="8f25665e-0729-4c81-b4cc-874c7b3e0ac4"/>
    <s v="***"/>
    <d v="2026-05-11T01:24:19"/>
    <n v="527"/>
    <x v="1"/>
    <d v="2026-05-10T18:24:19"/>
    <x v="97"/>
    <s v="Sunday"/>
    <n v="18"/>
  </r>
  <r>
    <s v="725112d0-9128-4a7d-96de-8569292e7ace"/>
    <s v="***"/>
    <d v="2026-05-11T01:25:17"/>
    <n v="3"/>
    <x v="17"/>
    <d v="2026-05-10T18:25:17"/>
    <x v="97"/>
    <s v="Sunday"/>
    <n v="18"/>
  </r>
  <r>
    <s v="6d7c7216-fd62-4987-a40a-097fe051cb52"/>
    <s v="***"/>
    <d v="2026-05-11T04:42:50"/>
    <n v="570"/>
    <x v="6"/>
    <d v="2026-05-10T21:42:50"/>
    <x v="97"/>
    <s v="Sunday"/>
    <n v="21"/>
  </r>
  <r>
    <s v="9fdc949b-897b-4e55-ba0e-5fdab6f81206"/>
    <s v="***"/>
    <d v="2026-05-11T09:42:03"/>
    <n v="527"/>
    <x v="5"/>
    <d v="2026-05-11T02:42:03"/>
    <x v="98"/>
    <s v="Monday"/>
    <n v="2"/>
  </r>
  <r>
    <s v="80230dc5-e88f-4889-8170-03e9878c09ef"/>
    <s v="***"/>
    <d v="2026-05-11T11:26:54"/>
    <n v="570"/>
    <x v="1"/>
    <d v="2026-05-11T04:26:54"/>
    <x v="98"/>
    <s v="Monday"/>
    <n v="4"/>
  </r>
  <r>
    <s v="fba8bb62-ede5-4a23-ad8b-bc80c49abec1"/>
    <s v="***"/>
    <d v="2026-05-11T12:25:25"/>
    <n v="3"/>
    <x v="1"/>
    <d v="2026-05-11T05:25:25"/>
    <x v="98"/>
    <s v="Monday"/>
    <n v="5"/>
  </r>
  <r>
    <s v="c48db57d-2f9c-443d-9f16-dde47cbde301"/>
    <s v="***"/>
    <d v="2026-05-11T12:57:16"/>
    <n v="570"/>
    <x v="1"/>
    <d v="2026-05-11T05:57:16"/>
    <x v="98"/>
    <s v="Monday"/>
    <n v="5"/>
  </r>
  <r>
    <s v="d21ec3d2-c5a0-423d-be4d-cfaddaaf2b9c"/>
    <s v="***"/>
    <d v="2026-05-11T13:04:29"/>
    <n v="3"/>
    <x v="1"/>
    <d v="2026-05-11T06:04:29"/>
    <x v="98"/>
    <s v="Monday"/>
    <n v="6"/>
  </r>
  <r>
    <s v="1384c3c8-7aea-414d-b677-518bfd44acc3"/>
    <s v="***"/>
    <d v="2026-05-11T13:15:47"/>
    <n v="570"/>
    <x v="1"/>
    <d v="2026-05-11T06:15:47"/>
    <x v="98"/>
    <s v="Monday"/>
    <n v="6"/>
  </r>
  <r>
    <s v="323a7e84-8b1d-4715-b938-702dad56fa29"/>
    <s v="***"/>
    <d v="2026-05-11T15:19:02"/>
    <n v="534"/>
    <x v="1"/>
    <d v="2026-05-11T08:19:02"/>
    <x v="98"/>
    <s v="Monday"/>
    <n v="8"/>
  </r>
  <r>
    <s v="c03e21c5-2088-40d9-b5f5-d3780e705d9e"/>
    <s v="***"/>
    <d v="2026-05-11T16:47:29"/>
    <n v="3"/>
    <x v="184"/>
    <d v="2026-05-11T09:47:29"/>
    <x v="98"/>
    <s v="Monday"/>
    <n v="9"/>
  </r>
  <r>
    <s v="50ee9e10-5384-4f02-8b9b-ba9a6eadd5e3"/>
    <s v="***"/>
    <d v="2026-05-11T17:02:47"/>
    <n v="3"/>
    <x v="184"/>
    <d v="2026-05-11T10:02:47"/>
    <x v="98"/>
    <s v="Monday"/>
    <n v="10"/>
  </r>
  <r>
    <s v="2543017b-2cda-4aa7-a925-ffa214cb9f62"/>
    <s v="***"/>
    <d v="2026-05-11T17:58:45"/>
    <n v="570"/>
    <x v="185"/>
    <d v="2026-05-11T10:58:45"/>
    <x v="98"/>
    <s v="Monday"/>
    <n v="10"/>
  </r>
  <r>
    <s v="9ff9818a-a2d1-4ce3-93ad-42b1e2db8a61"/>
    <s v="***"/>
    <d v="2026-05-11T19:48:05"/>
    <n v="493"/>
    <x v="1"/>
    <d v="2026-05-11T12:48:05"/>
    <x v="98"/>
    <s v="Monday"/>
    <n v="12"/>
  </r>
  <r>
    <s v="de043f04-077b-45c8-9b9f-253e64c6e0fc"/>
    <s v="***"/>
    <d v="2026-05-11T23:06:36"/>
    <n v="570"/>
    <x v="186"/>
    <d v="2026-05-11T16:06:36"/>
    <x v="98"/>
    <s v="Monday"/>
    <n v="16"/>
  </r>
  <r>
    <s v="f407607c-3d19-45b8-9dc7-ee9117d0ec54"/>
    <s v="***"/>
    <d v="2026-05-12T03:46:26"/>
    <n v="3"/>
    <x v="1"/>
    <d v="2026-05-11T20:46:26"/>
    <x v="98"/>
    <s v="Monday"/>
    <n v="20"/>
  </r>
  <r>
    <s v="6f0cd025-2cf8-429f-9407-bd23d67395f6"/>
    <s v="***"/>
    <d v="2026-05-12T05:33:11"/>
    <n v="1"/>
    <x v="1"/>
    <d v="2026-05-11T22:33:11"/>
    <x v="98"/>
    <s v="Monday"/>
    <n v="22"/>
  </r>
  <r>
    <s v="11973c7c-84bd-4eca-a318-cefbdfe615fd"/>
    <s v="***"/>
    <d v="2026-05-12T07:49:39"/>
    <n v="534"/>
    <x v="1"/>
    <d v="2026-05-12T00:49:39"/>
    <x v="99"/>
    <s v="Tuesday"/>
    <n v="0"/>
  </r>
  <r>
    <s v="0116dd6f-6eef-4ee9-8f7f-6dbb67d7f85d"/>
    <s v="***"/>
    <d v="2026-05-12T11:07:01"/>
    <n v="570"/>
    <x v="71"/>
    <d v="2026-05-12T04:07:01"/>
    <x v="99"/>
    <s v="Tuesday"/>
    <n v="4"/>
  </r>
  <r>
    <s v="f25538f0-28c5-44cb-bfdf-9870bfeb3d7b"/>
    <s v="***"/>
    <d v="2026-05-12T12:05:36"/>
    <n v="570"/>
    <x v="71"/>
    <d v="2026-05-12T05:05:36"/>
    <x v="99"/>
    <s v="Tuesday"/>
    <n v="5"/>
  </r>
  <r>
    <s v="6ee93118-c39a-445f-95d5-299c4e7876af"/>
    <s v="***"/>
    <d v="2026-05-12T12:25:32"/>
    <n v="1"/>
    <x v="135"/>
    <d v="2026-05-12T05:25:32"/>
    <x v="99"/>
    <s v="Tuesday"/>
    <n v="5"/>
  </r>
  <r>
    <s v="7d08c80d-4ddd-448a-b5c9-d6f591de2249"/>
    <s v="***"/>
    <d v="2026-05-12T13:29:23"/>
    <n v="3"/>
    <x v="71"/>
    <d v="2026-05-12T06:29:23"/>
    <x v="99"/>
    <s v="Tuesday"/>
    <n v="6"/>
  </r>
  <r>
    <s v="e52ed9d6-41e8-4268-9f03-33470263f31d"/>
    <s v="***"/>
    <d v="2026-05-12T13:29:59"/>
    <n v="527"/>
    <x v="5"/>
    <d v="2026-05-12T06:29:59"/>
    <x v="99"/>
    <s v="Tuesday"/>
    <n v="6"/>
  </r>
  <r>
    <s v="6084edc8-8fbd-4266-9dd4-65ab06653426"/>
    <s v="***"/>
    <d v="2026-05-12T14:34:36"/>
    <n v="570"/>
    <x v="187"/>
    <d v="2026-05-12T07:34:36"/>
    <x v="99"/>
    <s v="Tuesday"/>
    <n v="7"/>
  </r>
  <r>
    <s v="f4bd99c5-4c56-415b-a3c9-eba4c4539bea"/>
    <s v="***"/>
    <d v="2026-05-12T14:36:27"/>
    <n v="3"/>
    <x v="2"/>
    <d v="2026-05-12T07:36:27"/>
    <x v="99"/>
    <s v="Tuesday"/>
    <n v="7"/>
  </r>
  <r>
    <s v="6eb42081-eff4-4a80-8b94-a9addbd6cdef"/>
    <s v="***"/>
    <d v="2026-05-12T15:51:58"/>
    <n v="3"/>
    <x v="1"/>
    <d v="2026-05-12T08:51:58"/>
    <x v="99"/>
    <s v="Tuesday"/>
    <n v="8"/>
  </r>
  <r>
    <s v="426b2c87-157e-49b2-a2a7-9d81de15e6c3"/>
    <s v="***"/>
    <d v="2026-05-12T16:40:08"/>
    <n v="570"/>
    <x v="71"/>
    <d v="2026-05-12T09:40:08"/>
    <x v="99"/>
    <s v="Tuesday"/>
    <n v="9"/>
  </r>
  <r>
    <s v="cd760a5e-0338-436c-a3c5-e172d1af70f3"/>
    <s v="***"/>
    <d v="2026-05-12T16:43:55"/>
    <n v="570"/>
    <x v="188"/>
    <d v="2026-05-12T09:43:55"/>
    <x v="99"/>
    <s v="Tuesday"/>
    <n v="9"/>
  </r>
  <r>
    <s v="f55c3eb9-4fe9-4b4c-8998-d60d335431d1"/>
    <s v="***"/>
    <d v="2026-05-12T16:51:17"/>
    <n v="570"/>
    <x v="23"/>
    <d v="2026-05-12T09:51:17"/>
    <x v="99"/>
    <s v="Tuesday"/>
    <n v="9"/>
  </r>
  <r>
    <s v="8712bbe5-4c45-4b38-9f21-de01eb855fc6"/>
    <s v="***"/>
    <d v="2026-05-12T20:38:02"/>
    <n v="570"/>
    <x v="1"/>
    <d v="2026-05-12T13:38:02"/>
    <x v="99"/>
    <s v="Tuesday"/>
    <n v="13"/>
  </r>
  <r>
    <s v="109a2b21-f9a3-4687-81f0-56e91f666740"/>
    <s v="***"/>
    <d v="2026-05-12T21:01:26"/>
    <n v="570"/>
    <x v="1"/>
    <d v="2026-05-12T14:01:26"/>
    <x v="99"/>
    <s v="Tuesday"/>
    <n v="14"/>
  </r>
  <r>
    <s v="5275d740-4e6c-4fed-bb67-2f7304ad78c3"/>
    <s v="***"/>
    <d v="2026-05-13T01:39:05"/>
    <n v="570"/>
    <x v="1"/>
    <d v="2026-05-12T18:39:05"/>
    <x v="99"/>
    <s v="Tuesday"/>
    <n v="18"/>
  </r>
  <r>
    <s v="c8e8cf27-a826-4699-9c8b-0f3e4a593955"/>
    <s v="***"/>
    <d v="2026-05-13T07:48:45"/>
    <n v="3"/>
    <x v="1"/>
    <d v="2026-05-13T00:48:45"/>
    <x v="100"/>
    <s v="Wednesday"/>
    <n v="0"/>
  </r>
  <r>
    <s v="1c399ccd-bbe8-41f6-b759-e575e10f3319"/>
    <s v="***"/>
    <d v="2026-05-13T08:05:45"/>
    <n v="527"/>
    <x v="5"/>
    <d v="2026-05-13T01:05:45"/>
    <x v="100"/>
    <s v="Wednesday"/>
    <n v="1"/>
  </r>
  <r>
    <s v="73db1b34-f811-4309-972b-919528b50bcd"/>
    <s v="***"/>
    <d v="2026-05-13T08:11:17"/>
    <n v="570"/>
    <x v="1"/>
    <d v="2026-05-13T01:11:17"/>
    <x v="100"/>
    <s v="Wednesday"/>
    <n v="1"/>
  </r>
  <r>
    <s v="c8d2457d-8cf7-46d6-ae17-350a7449205a"/>
    <s v="***"/>
    <d v="2026-05-13T09:18:06"/>
    <n v="570"/>
    <x v="71"/>
    <d v="2026-05-13T02:18:06"/>
    <x v="100"/>
    <s v="Wednesday"/>
    <n v="2"/>
  </r>
  <r>
    <s v="871d27e3-2bcf-4d79-a095-5bb86fe53544"/>
    <s v="***"/>
    <d v="2026-05-13T09:36:53"/>
    <n v="527"/>
    <x v="5"/>
    <d v="2026-05-13T02:36:53"/>
    <x v="100"/>
    <s v="Wednesday"/>
    <n v="2"/>
  </r>
  <r>
    <s v="7f9c6833-91f3-4af2-9d6b-b61814f078ad"/>
    <s v="***"/>
    <d v="2026-05-13T10:00:40"/>
    <n v="527"/>
    <x v="5"/>
    <d v="2026-05-13T03:00:40"/>
    <x v="100"/>
    <s v="Wednesday"/>
    <n v="3"/>
  </r>
  <r>
    <s v="0251d794-6e32-43c9-ad4f-83d2f7b0b9ba"/>
    <s v="***"/>
    <d v="2026-05-13T10:08:43"/>
    <n v="3"/>
    <x v="45"/>
    <d v="2026-05-13T03:08:43"/>
    <x v="100"/>
    <s v="Wednesday"/>
    <n v="3"/>
  </r>
  <r>
    <s v="6d7438fa-1d52-4e68-92af-4450478b1279"/>
    <s v="***"/>
    <d v="2026-05-13T10:23:10"/>
    <n v="527"/>
    <x v="1"/>
    <d v="2026-05-13T03:23:10"/>
    <x v="100"/>
    <s v="Wednesday"/>
    <n v="3"/>
  </r>
  <r>
    <s v="10a6f8da-ab14-40d5-b5c7-aacea0d605ef"/>
    <s v="***"/>
    <d v="2026-05-13T12:03:00"/>
    <n v="527"/>
    <x v="1"/>
    <d v="2026-05-13T05:03:00"/>
    <x v="100"/>
    <s v="Wednesday"/>
    <n v="5"/>
  </r>
  <r>
    <m/>
    <m/>
    <m/>
    <m/>
    <x v="1"/>
    <m/>
    <x v="101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15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7">
  <location ref="A3:B192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90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t="default"/>
      </items>
    </pivotField>
    <pivotField showAll="0"/>
    <pivotField showAll="0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showAll="0"/>
    <pivotField showAll="0"/>
  </pivotFields>
  <rowFields count="1">
    <field x="4"/>
  </rowFields>
  <rowItems count="18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</rowItems>
  <colItems count="1">
    <i/>
  </colItems>
  <dataFields count="1">
    <dataField name="Count of Search ID" fld="0" subtotal="count" baseField="0" baseItem="0"/>
  </dataFields>
  <chartFormats count="50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4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4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4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4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4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4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4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4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4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4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4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4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4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4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4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4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4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4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4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4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4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4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4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4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4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4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4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4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36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6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6" format="3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6" format="365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6" format="366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6" format="367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6" format="368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6" format="3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6" format="3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6" format="371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6" format="372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6" format="3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6" format="3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6" format="3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6" format="3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6" format="3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6" format="3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6" format="3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6" format="3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6" format="3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6" format="3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6" format="383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6" format="384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6" format="385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6" format="386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6" format="387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6" format="388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6" format="389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6" format="390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6" format="391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6" format="392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6" format="393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6" format="394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6" format="395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6" format="396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6" format="397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6" format="3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6" format="399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6" format="400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6" format="401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6" format="402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6" format="403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6" format="404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6" format="405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6" format="406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6" format="407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6" format="408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6" format="409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6" format="410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6" format="411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6" format="412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6" format="413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6" format="414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6" format="415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6" format="416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6" format="417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6" format="418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6" format="419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6" format="420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6" format="421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6" format="422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6" format="423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6" format="424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6" format="425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6" format="426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6" format="427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6" format="428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6" format="429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6" format="430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6" format="431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6" format="432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6" format="433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6" format="434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6" format="435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6" format="436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6" format="437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6" format="438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6" format="439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6" format="440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6" format="441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6" format="442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6" format="443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6" format="444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6" format="445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6" format="446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6" format="447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6" format="448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6" format="449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6" format="450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6" format="451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6" format="452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6" format="453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6" format="454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6" format="455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6" format="456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6" format="457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6" format="458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6" format="459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6" format="460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6" format="461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6" format="462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6" format="4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6" format="4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6" format="4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6" format="4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6" format="4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6" format="4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6" format="4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6" format="47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6" format="47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6" format="4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6" format="4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6" format="4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6" format="4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6" format="4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6" format="4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6" format="4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6" format="4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6" format="4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6" format="4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6" format="4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6" format="4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6" format="4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6" format="4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6" format="4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6" format="4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6" format="4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6" format="4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6" format="49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6" format="49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6" format="49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6" format="49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6" format="49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6" format="4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6" format="4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6" format="4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6" format="4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6" format="4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6" format="5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6" format="5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6" format="5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6" format="5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6" format="5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6" format="5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6" format="5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6" format="5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6" format="5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6" format="5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6" format="5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6" format="5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6" format="5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6" format="5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6" format="5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6" format="5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6" format="5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6" format="5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6" format="5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6" format="5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6" format="5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6" format="5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6" format="5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6" format="5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6" format="5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6" format="5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6" format="5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6" format="5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6" format="5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6" format="5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6" format="5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6" format="5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  <chartFormat chart="6" format="5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9"/>
          </reference>
        </references>
      </pivotArea>
    </chartFormat>
    <chartFormat chart="6" format="5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70"/>
          </reference>
        </references>
      </pivotArea>
    </chartFormat>
    <chartFormat chart="6" format="5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1"/>
          </reference>
        </references>
      </pivotArea>
    </chartFormat>
    <chartFormat chart="6" format="5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2"/>
          </reference>
        </references>
      </pivotArea>
    </chartFormat>
    <chartFormat chart="6" format="5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73"/>
          </reference>
        </references>
      </pivotArea>
    </chartFormat>
    <chartFormat chart="6" format="5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4"/>
          </reference>
        </references>
      </pivotArea>
    </chartFormat>
    <chartFormat chart="6" format="5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5"/>
          </reference>
        </references>
      </pivotArea>
    </chartFormat>
    <chartFormat chart="6" format="5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76"/>
          </reference>
        </references>
      </pivotArea>
    </chartFormat>
    <chartFormat chart="6" format="5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7"/>
          </reference>
        </references>
      </pivotArea>
    </chartFormat>
    <chartFormat chart="6" format="5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78"/>
          </reference>
        </references>
      </pivotArea>
    </chartFormat>
    <chartFormat chart="6" format="5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9"/>
          </reference>
        </references>
      </pivotArea>
    </chartFormat>
    <chartFormat chart="6" format="5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0"/>
          </reference>
        </references>
      </pivotArea>
    </chartFormat>
    <chartFormat chart="6" format="5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81"/>
          </reference>
        </references>
      </pivotArea>
    </chartFormat>
    <chartFormat chart="6" format="5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2"/>
          </reference>
        </references>
      </pivotArea>
    </chartFormat>
    <chartFormat chart="6" format="5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83"/>
          </reference>
        </references>
      </pivotArea>
    </chartFormat>
    <chartFormat chart="6" format="5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84"/>
          </reference>
        </references>
      </pivotArea>
    </chartFormat>
    <chartFormat chart="6" format="5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85"/>
          </reference>
        </references>
      </pivotArea>
    </chartFormat>
    <chartFormat chart="6" format="5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6"/>
          </reference>
        </references>
      </pivotArea>
    </chartFormat>
    <chartFormat chart="6" format="5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87"/>
          </reference>
        </references>
      </pivotArea>
    </chartFormat>
    <chartFormat chart="6" format="5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8"/>
          </reference>
        </references>
      </pivotArea>
    </chartFormat>
    <chartFormat chart="4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1"/>
          </reference>
        </references>
      </pivotArea>
    </chartFormat>
    <chartFormat chart="4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172"/>
          </reference>
        </references>
      </pivotArea>
    </chartFormat>
    <chartFormat chart="4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173"/>
          </reference>
        </references>
      </pivotArea>
    </chartFormat>
    <chartFormat chart="4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174"/>
          </reference>
        </references>
      </pivotArea>
    </chartFormat>
    <chartFormat chart="4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175"/>
          </reference>
        </references>
      </pivotArea>
    </chartFormat>
    <chartFormat chart="4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176"/>
          </reference>
        </references>
      </pivotArea>
    </chartFormat>
    <chartFormat chart="4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7"/>
          </reference>
        </references>
      </pivotArea>
    </chartFormat>
    <chartFormat chart="4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178"/>
          </reference>
        </references>
      </pivotArea>
    </chartFormat>
    <chartFormat chart="4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179"/>
          </reference>
        </references>
      </pivotArea>
    </chartFormat>
    <chartFormat chart="4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180"/>
          </reference>
        </references>
      </pivotArea>
    </chartFormat>
    <chartFormat chart="4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181"/>
          </reference>
        </references>
      </pivotArea>
    </chartFormat>
    <chartFormat chart="4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2"/>
          </reference>
        </references>
      </pivotArea>
    </chartFormat>
    <chartFormat chart="4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183"/>
          </reference>
        </references>
      </pivotArea>
    </chartFormat>
    <chartFormat chart="4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184"/>
          </reference>
        </references>
      </pivotArea>
    </chartFormat>
    <chartFormat chart="4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185"/>
          </reference>
        </references>
      </pivotArea>
    </chartFormat>
    <chartFormat chart="4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186"/>
          </reference>
        </references>
      </pivotArea>
    </chartFormat>
    <chartFormat chart="4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187"/>
          </reference>
        </references>
      </pivotArea>
    </chartFormat>
    <chartFormat chart="4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52" name="Date (Pacific)">
      <autoFilter ref="A1">
        <filterColumn colId="0">
          <customFilters and="1">
            <customFilter operator="greaterThanOrEqual" val="46054"/>
            <customFilter operator="lessThanOrEqual" val="4617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894" tableType="queryTable" totalsRowShown="0">
  <autoFilter ref="A1:I1894" xr:uid="{FC796341-236E-9446-B972-E05428A0FA8A}"/>
  <sortState xmlns:xlrd2="http://schemas.microsoft.com/office/spreadsheetml/2017/richdata2" ref="A2:I1894">
    <sortCondition ref="C1:C1894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228" tableType="queryTable" totalsRowShown="0">
  <autoFilter ref="A1:J228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2-01T00:00:00" endDate="2026-05-31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V47"/>
  <sheetViews>
    <sheetView tabSelected="1" workbookViewId="0">
      <selection activeCell="H11" sqref="H11"/>
    </sheetView>
  </sheetViews>
  <sheetFormatPr baseColWidth="10" defaultRowHeight="15" x14ac:dyDescent="0.2"/>
  <cols>
    <col min="1" max="1" width="25.6640625" bestFit="1" customWidth="1"/>
  </cols>
  <sheetData>
    <row r="1" spans="1:22" ht="24" x14ac:dyDescent="0.3">
      <c r="A1" s="16" t="s">
        <v>2168</v>
      </c>
      <c r="B1" s="16"/>
      <c r="C1" s="16"/>
      <c r="D1" s="16"/>
      <c r="E1" s="16"/>
      <c r="F1" s="16"/>
      <c r="G1" s="16"/>
      <c r="H1" s="16"/>
      <c r="K1" s="16" t="s">
        <v>2305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3" spans="1:22" ht="19" x14ac:dyDescent="0.25">
      <c r="A3" s="12" t="s">
        <v>688</v>
      </c>
      <c r="B3" s="12">
        <f>COUNTA('Search Audit'!A:A)-1</f>
        <v>1893</v>
      </c>
    </row>
    <row r="4" spans="1:22" ht="19" x14ac:dyDescent="0.25">
      <c r="A4" s="12"/>
      <c r="B4" s="12"/>
    </row>
    <row r="5" spans="1:22" ht="19" x14ac:dyDescent="0.25">
      <c r="A5" s="12" t="s">
        <v>2169</v>
      </c>
      <c r="B5" s="12">
        <f>COUNTIF('Search Audit'!E:E,"&lt;&gt;")-1</f>
        <v>806</v>
      </c>
    </row>
    <row r="6" spans="1:22" ht="19" x14ac:dyDescent="0.25">
      <c r="A6" s="12"/>
      <c r="B6" s="12"/>
    </row>
    <row r="7" spans="1:22" ht="19" x14ac:dyDescent="0.25">
      <c r="A7" s="12" t="s">
        <v>2170</v>
      </c>
      <c r="B7" s="12">
        <f>B3-B5</f>
        <v>1087</v>
      </c>
    </row>
    <row r="8" spans="1:22" ht="19" x14ac:dyDescent="0.25">
      <c r="A8" s="12"/>
      <c r="B8" s="12"/>
    </row>
    <row r="9" spans="1:22" ht="19" x14ac:dyDescent="0.25">
      <c r="A9" s="12" t="s">
        <v>1188</v>
      </c>
      <c r="B9" s="18">
        <f>B7/B3</f>
        <v>0.57422081352350762</v>
      </c>
    </row>
    <row r="10" spans="1:22" ht="19" x14ac:dyDescent="0.25">
      <c r="A10" s="12"/>
      <c r="B10" s="12"/>
    </row>
    <row r="11" spans="1:22" ht="19" x14ac:dyDescent="0.25">
      <c r="A11" s="12" t="s">
        <v>2306</v>
      </c>
      <c r="B11" s="12" cm="1">
        <f t="array" ref="B11">SUMPRODUCT(('Search Audit'!I2:I1770&lt;=5)+('Search Audit'!I2:I1770&gt;=22))</f>
        <v>723</v>
      </c>
    </row>
    <row r="12" spans="1:22" ht="19" x14ac:dyDescent="0.25">
      <c r="A12" s="12"/>
      <c r="B12" s="12"/>
    </row>
    <row r="13" spans="1:22" ht="19" x14ac:dyDescent="0.25">
      <c r="A13" s="12" t="s">
        <v>2307</v>
      </c>
      <c r="B13" s="18">
        <f>B11/B3</f>
        <v>0.38193343898573695</v>
      </c>
    </row>
    <row r="14" spans="1:22" ht="19" x14ac:dyDescent="0.25">
      <c r="A14" s="12"/>
      <c r="B14" s="12"/>
    </row>
    <row r="15" spans="1:22" ht="19" x14ac:dyDescent="0.25">
      <c r="A15" s="12" t="s">
        <v>2308</v>
      </c>
      <c r="B15" s="18" cm="1">
        <f t="array" ref="B15">SUMPRODUCT((('Search Audit'!I2:I1770&lt;=5)+('Search Audit'!I2:I1770&gt;=22))*('Search Audit'!E2:E1770=""))/B7</f>
        <v>0.40110395584176634</v>
      </c>
    </row>
    <row r="16" spans="1:22" ht="19" x14ac:dyDescent="0.25">
      <c r="A16" s="12"/>
      <c r="B16" s="12"/>
    </row>
    <row r="17" spans="1:8" ht="19" x14ac:dyDescent="0.25">
      <c r="A17" s="12" t="s">
        <v>1524</v>
      </c>
      <c r="B17" s="12">
        <f>flock_run_log!M2</f>
        <v>143</v>
      </c>
    </row>
    <row r="19" spans="1:8" ht="24" x14ac:dyDescent="0.3">
      <c r="A19" s="16" t="s">
        <v>2304</v>
      </c>
      <c r="B19" s="16"/>
      <c r="C19" s="16"/>
      <c r="D19" s="16"/>
      <c r="E19" s="16"/>
      <c r="F19" s="16"/>
      <c r="G19" s="16"/>
      <c r="H19" s="16"/>
    </row>
    <row r="45" spans="1:8" ht="24" x14ac:dyDescent="0.3">
      <c r="A45" s="16" t="s">
        <v>2309</v>
      </c>
      <c r="B45" s="16"/>
      <c r="C45" s="16"/>
      <c r="D45" s="16"/>
      <c r="E45" s="16"/>
      <c r="F45" s="16"/>
      <c r="G45" s="16"/>
      <c r="H45" s="16"/>
    </row>
    <row r="47" spans="1:8" x14ac:dyDescent="0.2">
      <c r="A47" s="8"/>
      <c r="B47" s="8"/>
      <c r="C47" s="8"/>
      <c r="D47" s="8"/>
      <c r="E47" s="8"/>
      <c r="F47" s="8"/>
      <c r="G47" s="8"/>
      <c r="H47" s="8"/>
    </row>
  </sheetData>
  <mergeCells count="4">
    <mergeCell ref="A1:H1"/>
    <mergeCell ref="A19:H19"/>
    <mergeCell ref="K1:V1"/>
    <mergeCell ref="A45:H4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192"/>
  <sheetViews>
    <sheetView workbookViewId="0">
      <selection activeCell="C18" sqref="C18"/>
    </sheetView>
  </sheetViews>
  <sheetFormatPr baseColWidth="10" defaultRowHeight="15" x14ac:dyDescent="0.2"/>
  <cols>
    <col min="1" max="1" width="44.1640625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>
        <v>20</v>
      </c>
      <c r="B4" s="17">
        <v>1</v>
      </c>
    </row>
    <row r="5" spans="1:2" x14ac:dyDescent="0.2">
      <c r="A5" s="5">
        <v>207</v>
      </c>
      <c r="B5" s="17">
        <v>6</v>
      </c>
    </row>
    <row r="6" spans="1:2" x14ac:dyDescent="0.2">
      <c r="A6" s="5">
        <v>242</v>
      </c>
      <c r="B6" s="17">
        <v>1</v>
      </c>
    </row>
    <row r="7" spans="1:2" x14ac:dyDescent="0.2">
      <c r="A7" s="5">
        <v>288</v>
      </c>
      <c r="B7" s="17">
        <v>3</v>
      </c>
    </row>
    <row r="8" spans="1:2" x14ac:dyDescent="0.2">
      <c r="A8" s="5">
        <v>836</v>
      </c>
      <c r="B8" s="17">
        <v>1</v>
      </c>
    </row>
    <row r="9" spans="1:2" x14ac:dyDescent="0.2">
      <c r="A9" s="5">
        <v>1036</v>
      </c>
      <c r="B9" s="17">
        <v>3</v>
      </c>
    </row>
    <row r="10" spans="1:2" x14ac:dyDescent="0.2">
      <c r="A10" s="5">
        <v>2800.2</v>
      </c>
      <c r="B10" s="17">
        <v>1</v>
      </c>
    </row>
    <row r="11" spans="1:2" x14ac:dyDescent="0.2">
      <c r="A11" s="5">
        <v>5150</v>
      </c>
      <c r="B11" s="17">
        <v>1</v>
      </c>
    </row>
    <row r="12" spans="1:2" x14ac:dyDescent="0.2">
      <c r="A12" s="5">
        <v>10851</v>
      </c>
      <c r="B12" s="17">
        <v>18</v>
      </c>
    </row>
    <row r="13" spans="1:2" x14ac:dyDescent="0.2">
      <c r="A13" s="5">
        <v>49949</v>
      </c>
      <c r="B13" s="17">
        <v>2</v>
      </c>
    </row>
    <row r="14" spans="1:2" x14ac:dyDescent="0.2">
      <c r="A14" s="5" t="s">
        <v>804</v>
      </c>
      <c r="B14" s="17">
        <v>2</v>
      </c>
    </row>
    <row r="15" spans="1:2" x14ac:dyDescent="0.2">
      <c r="A15" s="5" t="s">
        <v>397</v>
      </c>
      <c r="B15" s="17">
        <v>1</v>
      </c>
    </row>
    <row r="16" spans="1:2" x14ac:dyDescent="0.2">
      <c r="A16" s="5" t="s">
        <v>697</v>
      </c>
      <c r="B16" s="17">
        <v>3</v>
      </c>
    </row>
    <row r="17" spans="1:2" x14ac:dyDescent="0.2">
      <c r="A17" s="5" t="s">
        <v>121</v>
      </c>
      <c r="B17" s="17">
        <v>1</v>
      </c>
    </row>
    <row r="18" spans="1:2" x14ac:dyDescent="0.2">
      <c r="A18" s="5" t="s">
        <v>190</v>
      </c>
      <c r="B18" s="17">
        <v>8</v>
      </c>
    </row>
    <row r="19" spans="1:2" x14ac:dyDescent="0.2">
      <c r="A19" s="5" t="s">
        <v>651</v>
      </c>
      <c r="B19" s="17">
        <v>1</v>
      </c>
    </row>
    <row r="20" spans="1:2" x14ac:dyDescent="0.2">
      <c r="A20" s="5" t="s">
        <v>613</v>
      </c>
      <c r="B20" s="17">
        <v>4</v>
      </c>
    </row>
    <row r="21" spans="1:2" x14ac:dyDescent="0.2">
      <c r="A21" s="5" t="s">
        <v>104</v>
      </c>
      <c r="B21" s="17">
        <v>1</v>
      </c>
    </row>
    <row r="22" spans="1:2" x14ac:dyDescent="0.2">
      <c r="A22" s="5" t="s">
        <v>100</v>
      </c>
      <c r="B22" s="17">
        <v>1</v>
      </c>
    </row>
    <row r="23" spans="1:2" x14ac:dyDescent="0.2">
      <c r="A23" s="5" t="s">
        <v>83</v>
      </c>
      <c r="B23" s="17">
        <v>1</v>
      </c>
    </row>
    <row r="24" spans="1:2" x14ac:dyDescent="0.2">
      <c r="A24" s="5" t="s">
        <v>81</v>
      </c>
      <c r="B24" s="17">
        <v>1</v>
      </c>
    </row>
    <row r="25" spans="1:2" x14ac:dyDescent="0.2">
      <c r="A25" s="5" t="s">
        <v>605</v>
      </c>
      <c r="B25" s="17">
        <v>2</v>
      </c>
    </row>
    <row r="26" spans="1:2" x14ac:dyDescent="0.2">
      <c r="A26" s="5" t="s">
        <v>683</v>
      </c>
      <c r="B26" s="17">
        <v>1</v>
      </c>
    </row>
    <row r="27" spans="1:2" x14ac:dyDescent="0.2">
      <c r="A27" s="5" t="s">
        <v>289</v>
      </c>
      <c r="B27" s="17">
        <v>2</v>
      </c>
    </row>
    <row r="28" spans="1:2" x14ac:dyDescent="0.2">
      <c r="A28" s="5" t="s">
        <v>578</v>
      </c>
      <c r="B28" s="17">
        <v>1</v>
      </c>
    </row>
    <row r="29" spans="1:2" x14ac:dyDescent="0.2">
      <c r="A29" s="5" t="s">
        <v>260</v>
      </c>
      <c r="B29" s="17">
        <v>1</v>
      </c>
    </row>
    <row r="30" spans="1:2" x14ac:dyDescent="0.2">
      <c r="A30" s="5" t="s">
        <v>728</v>
      </c>
      <c r="B30" s="17">
        <v>2</v>
      </c>
    </row>
    <row r="31" spans="1:2" x14ac:dyDescent="0.2">
      <c r="A31" s="5" t="s">
        <v>620</v>
      </c>
      <c r="B31" s="17">
        <v>4</v>
      </c>
    </row>
    <row r="32" spans="1:2" x14ac:dyDescent="0.2">
      <c r="A32" s="5" t="s">
        <v>241</v>
      </c>
      <c r="B32" s="17">
        <v>1</v>
      </c>
    </row>
    <row r="33" spans="1:2" x14ac:dyDescent="0.2">
      <c r="A33" s="5" t="s">
        <v>301</v>
      </c>
      <c r="B33" s="17">
        <v>15</v>
      </c>
    </row>
    <row r="34" spans="1:2" x14ac:dyDescent="0.2">
      <c r="A34" s="5" t="s">
        <v>504</v>
      </c>
      <c r="B34" s="17">
        <v>2</v>
      </c>
    </row>
    <row r="35" spans="1:2" x14ac:dyDescent="0.2">
      <c r="A35" s="5" t="s">
        <v>140</v>
      </c>
      <c r="B35" s="17">
        <v>2</v>
      </c>
    </row>
    <row r="36" spans="1:2" x14ac:dyDescent="0.2">
      <c r="A36" s="5" t="s">
        <v>561</v>
      </c>
      <c r="B36" s="17">
        <v>6</v>
      </c>
    </row>
    <row r="37" spans="1:2" x14ac:dyDescent="0.2">
      <c r="A37" s="5" t="s">
        <v>536</v>
      </c>
      <c r="B37" s="17">
        <v>6</v>
      </c>
    </row>
    <row r="38" spans="1:2" x14ac:dyDescent="0.2">
      <c r="A38" s="5" t="s">
        <v>526</v>
      </c>
      <c r="B38" s="17">
        <v>5</v>
      </c>
    </row>
    <row r="39" spans="1:2" x14ac:dyDescent="0.2">
      <c r="A39" s="5" t="s">
        <v>31</v>
      </c>
      <c r="B39" s="17">
        <v>103</v>
      </c>
    </row>
    <row r="40" spans="1:2" x14ac:dyDescent="0.2">
      <c r="A40" s="5" t="s">
        <v>50</v>
      </c>
      <c r="B40" s="17">
        <v>2</v>
      </c>
    </row>
    <row r="41" spans="1:2" x14ac:dyDescent="0.2">
      <c r="A41" s="5" t="s">
        <v>584</v>
      </c>
      <c r="B41" s="17">
        <v>1</v>
      </c>
    </row>
    <row r="42" spans="1:2" x14ac:dyDescent="0.2">
      <c r="A42" s="5" t="s">
        <v>590</v>
      </c>
      <c r="B42" s="17">
        <v>8</v>
      </c>
    </row>
    <row r="43" spans="1:2" x14ac:dyDescent="0.2">
      <c r="A43" s="5" t="s">
        <v>252</v>
      </c>
      <c r="B43" s="17">
        <v>2</v>
      </c>
    </row>
    <row r="44" spans="1:2" x14ac:dyDescent="0.2">
      <c r="A44" s="5" t="s">
        <v>681</v>
      </c>
      <c r="B44" s="17">
        <v>1</v>
      </c>
    </row>
    <row r="45" spans="1:2" x14ac:dyDescent="0.2">
      <c r="A45" s="5" t="s">
        <v>79</v>
      </c>
      <c r="B45" s="17">
        <v>1</v>
      </c>
    </row>
    <row r="46" spans="1:2" x14ac:dyDescent="0.2">
      <c r="A46" s="5" t="s">
        <v>553</v>
      </c>
      <c r="B46" s="17">
        <v>1</v>
      </c>
    </row>
    <row r="47" spans="1:2" x14ac:dyDescent="0.2">
      <c r="A47" s="5" t="s">
        <v>551</v>
      </c>
      <c r="B47" s="17">
        <v>1</v>
      </c>
    </row>
    <row r="48" spans="1:2" x14ac:dyDescent="0.2">
      <c r="A48" s="5" t="s">
        <v>168</v>
      </c>
      <c r="B48" s="17">
        <v>1</v>
      </c>
    </row>
    <row r="49" spans="1:2" x14ac:dyDescent="0.2">
      <c r="A49" s="5" t="s">
        <v>280</v>
      </c>
      <c r="B49" s="17">
        <v>1</v>
      </c>
    </row>
    <row r="50" spans="1:2" x14ac:dyDescent="0.2">
      <c r="A50" s="5" t="s">
        <v>165</v>
      </c>
      <c r="B50" s="17">
        <v>6</v>
      </c>
    </row>
    <row r="51" spans="1:2" x14ac:dyDescent="0.2">
      <c r="A51" s="5" t="s">
        <v>507</v>
      </c>
      <c r="B51" s="17">
        <v>1</v>
      </c>
    </row>
    <row r="52" spans="1:2" x14ac:dyDescent="0.2">
      <c r="A52" s="5" t="s">
        <v>603</v>
      </c>
      <c r="B52" s="17">
        <v>1</v>
      </c>
    </row>
    <row r="53" spans="1:2" x14ac:dyDescent="0.2">
      <c r="A53" s="5" t="s">
        <v>147</v>
      </c>
      <c r="B53" s="17">
        <v>1</v>
      </c>
    </row>
    <row r="54" spans="1:2" x14ac:dyDescent="0.2">
      <c r="A54" s="5" t="s">
        <v>469</v>
      </c>
      <c r="B54" s="17">
        <v>1</v>
      </c>
    </row>
    <row r="55" spans="1:2" x14ac:dyDescent="0.2">
      <c r="A55" s="5" t="s">
        <v>267</v>
      </c>
      <c r="B55" s="17">
        <v>2</v>
      </c>
    </row>
    <row r="56" spans="1:2" x14ac:dyDescent="0.2">
      <c r="A56" s="5" t="s">
        <v>336</v>
      </c>
      <c r="B56" s="17">
        <v>1</v>
      </c>
    </row>
    <row r="57" spans="1:2" x14ac:dyDescent="0.2">
      <c r="A57" s="5" t="s">
        <v>108</v>
      </c>
      <c r="B57" s="17">
        <v>1</v>
      </c>
    </row>
    <row r="58" spans="1:2" x14ac:dyDescent="0.2">
      <c r="A58" s="5" t="s">
        <v>42</v>
      </c>
      <c r="B58" s="17">
        <v>1</v>
      </c>
    </row>
    <row r="59" spans="1:2" x14ac:dyDescent="0.2">
      <c r="A59" s="5" t="s">
        <v>17</v>
      </c>
      <c r="B59" s="17">
        <v>1</v>
      </c>
    </row>
    <row r="60" spans="1:2" x14ac:dyDescent="0.2">
      <c r="A60" s="5" t="s">
        <v>15</v>
      </c>
      <c r="B60" s="17">
        <v>7</v>
      </c>
    </row>
    <row r="61" spans="1:2" x14ac:dyDescent="0.2">
      <c r="A61" s="5" t="s">
        <v>744</v>
      </c>
      <c r="B61" s="17">
        <v>1</v>
      </c>
    </row>
    <row r="62" spans="1:2" x14ac:dyDescent="0.2">
      <c r="A62" s="5" t="s">
        <v>360</v>
      </c>
      <c r="B62" s="17">
        <v>1</v>
      </c>
    </row>
    <row r="63" spans="1:2" x14ac:dyDescent="0.2">
      <c r="A63" s="5" t="s">
        <v>305</v>
      </c>
      <c r="B63" s="17">
        <v>18</v>
      </c>
    </row>
    <row r="64" spans="1:2" x14ac:dyDescent="0.2">
      <c r="A64" s="5" t="s">
        <v>247</v>
      </c>
      <c r="B64" s="17">
        <v>1</v>
      </c>
    </row>
    <row r="65" spans="1:2" x14ac:dyDescent="0.2">
      <c r="A65" s="5" t="s">
        <v>522</v>
      </c>
      <c r="B65" s="17">
        <v>3</v>
      </c>
    </row>
    <row r="66" spans="1:2" x14ac:dyDescent="0.2">
      <c r="A66" s="5" t="s">
        <v>323</v>
      </c>
      <c r="B66" s="17">
        <v>8</v>
      </c>
    </row>
    <row r="67" spans="1:2" x14ac:dyDescent="0.2">
      <c r="A67" s="5" t="s">
        <v>705</v>
      </c>
      <c r="B67" s="17">
        <v>1</v>
      </c>
    </row>
    <row r="68" spans="1:2" x14ac:dyDescent="0.2">
      <c r="A68" s="5" t="s">
        <v>112</v>
      </c>
      <c r="B68" s="17">
        <v>3</v>
      </c>
    </row>
    <row r="69" spans="1:2" x14ac:dyDescent="0.2">
      <c r="A69" s="5" t="s">
        <v>89</v>
      </c>
      <c r="B69" s="17">
        <v>62</v>
      </c>
    </row>
    <row r="70" spans="1:2" x14ac:dyDescent="0.2">
      <c r="A70" s="5" t="s">
        <v>34</v>
      </c>
      <c r="B70" s="17">
        <v>108</v>
      </c>
    </row>
    <row r="71" spans="1:2" x14ac:dyDescent="0.2">
      <c r="A71" s="5" t="s">
        <v>68</v>
      </c>
      <c r="B71" s="17">
        <v>2</v>
      </c>
    </row>
    <row r="72" spans="1:2" x14ac:dyDescent="0.2">
      <c r="A72" s="5" t="s">
        <v>86</v>
      </c>
      <c r="B72" s="17">
        <v>4</v>
      </c>
    </row>
    <row r="73" spans="1:2" x14ac:dyDescent="0.2">
      <c r="A73" s="5" t="s">
        <v>135</v>
      </c>
      <c r="B73" s="17">
        <v>6</v>
      </c>
    </row>
    <row r="74" spans="1:2" x14ac:dyDescent="0.2">
      <c r="A74" s="5" t="s">
        <v>257</v>
      </c>
      <c r="B74" s="17">
        <v>1</v>
      </c>
    </row>
    <row r="75" spans="1:2" x14ac:dyDescent="0.2">
      <c r="A75" s="5" t="s">
        <v>137</v>
      </c>
      <c r="B75" s="17">
        <v>1</v>
      </c>
    </row>
    <row r="76" spans="1:2" x14ac:dyDescent="0.2">
      <c r="A76" s="5" t="s">
        <v>60</v>
      </c>
      <c r="B76" s="17">
        <v>67</v>
      </c>
    </row>
    <row r="77" spans="1:2" x14ac:dyDescent="0.2">
      <c r="A77" s="5" t="s">
        <v>175</v>
      </c>
      <c r="B77" s="17">
        <v>1</v>
      </c>
    </row>
    <row r="78" spans="1:2" x14ac:dyDescent="0.2">
      <c r="A78" s="5" t="s">
        <v>152</v>
      </c>
      <c r="B78" s="17">
        <v>3</v>
      </c>
    </row>
    <row r="79" spans="1:2" x14ac:dyDescent="0.2">
      <c r="A79" s="5" t="s">
        <v>325</v>
      </c>
      <c r="B79" s="17">
        <v>6</v>
      </c>
    </row>
    <row r="80" spans="1:2" x14ac:dyDescent="0.2">
      <c r="A80" s="5" t="s">
        <v>716</v>
      </c>
      <c r="B80" s="17">
        <v>1</v>
      </c>
    </row>
    <row r="81" spans="1:2" x14ac:dyDescent="0.2">
      <c r="A81" s="5" t="s">
        <v>517</v>
      </c>
      <c r="B81" s="17">
        <v>1</v>
      </c>
    </row>
    <row r="82" spans="1:2" x14ac:dyDescent="0.2">
      <c r="A82" s="5" t="s">
        <v>188</v>
      </c>
      <c r="B82" s="17">
        <v>2</v>
      </c>
    </row>
    <row r="83" spans="1:2" x14ac:dyDescent="0.2">
      <c r="A83" s="5" t="s">
        <v>477</v>
      </c>
      <c r="B83" s="17">
        <v>1</v>
      </c>
    </row>
    <row r="84" spans="1:2" x14ac:dyDescent="0.2">
      <c r="A84" s="5" t="s">
        <v>70</v>
      </c>
      <c r="B84" s="17">
        <v>13</v>
      </c>
    </row>
    <row r="85" spans="1:2" x14ac:dyDescent="0.2">
      <c r="A85" s="5" t="s">
        <v>383</v>
      </c>
      <c r="B85" s="17">
        <v>1</v>
      </c>
    </row>
    <row r="86" spans="1:2" x14ac:dyDescent="0.2">
      <c r="A86" s="5" t="s">
        <v>367</v>
      </c>
      <c r="B86" s="17">
        <v>12</v>
      </c>
    </row>
    <row r="87" spans="1:2" x14ac:dyDescent="0.2">
      <c r="A87" s="5" t="s">
        <v>409</v>
      </c>
      <c r="B87" s="17">
        <v>1</v>
      </c>
    </row>
    <row r="88" spans="1:2" x14ac:dyDescent="0.2">
      <c r="A88" s="5" t="s">
        <v>401</v>
      </c>
      <c r="B88" s="17">
        <v>11</v>
      </c>
    </row>
    <row r="89" spans="1:2" x14ac:dyDescent="0.2">
      <c r="A89" s="5" t="s">
        <v>128</v>
      </c>
      <c r="B89" s="17">
        <v>4</v>
      </c>
    </row>
    <row r="90" spans="1:2" x14ac:dyDescent="0.2">
      <c r="A90" s="5" t="s">
        <v>582</v>
      </c>
      <c r="B90" s="17">
        <v>42</v>
      </c>
    </row>
    <row r="91" spans="1:2" x14ac:dyDescent="0.2">
      <c r="A91" s="5" t="s">
        <v>829</v>
      </c>
      <c r="B91" s="17">
        <v>1087</v>
      </c>
    </row>
    <row r="92" spans="1:2" x14ac:dyDescent="0.2">
      <c r="A92" s="5" t="s">
        <v>853</v>
      </c>
      <c r="B92" s="17">
        <v>1</v>
      </c>
    </row>
    <row r="93" spans="1:2" x14ac:dyDescent="0.2">
      <c r="A93" s="5" t="s">
        <v>859</v>
      </c>
      <c r="B93" s="17">
        <v>3</v>
      </c>
    </row>
    <row r="94" spans="1:2" x14ac:dyDescent="0.2">
      <c r="A94" s="5" t="s">
        <v>874</v>
      </c>
      <c r="B94" s="17">
        <v>6</v>
      </c>
    </row>
    <row r="95" spans="1:2" x14ac:dyDescent="0.2">
      <c r="A95" s="5" t="s">
        <v>878</v>
      </c>
      <c r="B95" s="17">
        <v>3</v>
      </c>
    </row>
    <row r="96" spans="1:2" x14ac:dyDescent="0.2">
      <c r="A96" s="5" t="s">
        <v>880</v>
      </c>
      <c r="B96" s="17">
        <v>1</v>
      </c>
    </row>
    <row r="97" spans="1:2" x14ac:dyDescent="0.2">
      <c r="A97" s="5" t="s">
        <v>907</v>
      </c>
      <c r="B97" s="17">
        <v>1</v>
      </c>
    </row>
    <row r="98" spans="1:2" x14ac:dyDescent="0.2">
      <c r="A98" s="5" t="s">
        <v>910</v>
      </c>
      <c r="B98" s="17">
        <v>1</v>
      </c>
    </row>
    <row r="99" spans="1:2" x14ac:dyDescent="0.2">
      <c r="A99" s="5" t="s">
        <v>920</v>
      </c>
      <c r="B99" s="17">
        <v>3</v>
      </c>
    </row>
    <row r="100" spans="1:2" x14ac:dyDescent="0.2">
      <c r="A100" s="5" t="s">
        <v>939</v>
      </c>
      <c r="B100" s="17">
        <v>1</v>
      </c>
    </row>
    <row r="101" spans="1:2" x14ac:dyDescent="0.2">
      <c r="A101" s="5" t="s">
        <v>968</v>
      </c>
      <c r="B101" s="17">
        <v>1</v>
      </c>
    </row>
    <row r="102" spans="1:2" x14ac:dyDescent="0.2">
      <c r="A102" s="5" t="s">
        <v>973</v>
      </c>
      <c r="B102" s="17">
        <v>2</v>
      </c>
    </row>
    <row r="103" spans="1:2" x14ac:dyDescent="0.2">
      <c r="A103" s="5" t="s">
        <v>990</v>
      </c>
      <c r="B103" s="17">
        <v>2</v>
      </c>
    </row>
    <row r="104" spans="1:2" x14ac:dyDescent="0.2">
      <c r="A104" s="5" t="s">
        <v>1000</v>
      </c>
      <c r="B104" s="17">
        <v>1</v>
      </c>
    </row>
    <row r="105" spans="1:2" x14ac:dyDescent="0.2">
      <c r="A105" s="5" t="s">
        <v>1071</v>
      </c>
      <c r="B105" s="17">
        <v>1</v>
      </c>
    </row>
    <row r="106" spans="1:2" x14ac:dyDescent="0.2">
      <c r="A106" s="5" t="s">
        <v>1073</v>
      </c>
      <c r="B106" s="17">
        <v>1</v>
      </c>
    </row>
    <row r="107" spans="1:2" x14ac:dyDescent="0.2">
      <c r="A107" s="5" t="s">
        <v>1086</v>
      </c>
      <c r="B107" s="17">
        <v>1</v>
      </c>
    </row>
    <row r="108" spans="1:2" x14ac:dyDescent="0.2">
      <c r="A108" s="5" t="s">
        <v>1088</v>
      </c>
      <c r="B108" s="17">
        <v>2</v>
      </c>
    </row>
    <row r="109" spans="1:2" x14ac:dyDescent="0.2">
      <c r="A109" s="5" t="s">
        <v>1097</v>
      </c>
      <c r="B109" s="17">
        <v>1</v>
      </c>
    </row>
    <row r="110" spans="1:2" x14ac:dyDescent="0.2">
      <c r="A110" s="5" t="s">
        <v>1099</v>
      </c>
      <c r="B110" s="17">
        <v>2</v>
      </c>
    </row>
    <row r="111" spans="1:2" x14ac:dyDescent="0.2">
      <c r="A111" s="5" t="s">
        <v>1101</v>
      </c>
      <c r="B111" s="17">
        <v>2</v>
      </c>
    </row>
    <row r="112" spans="1:2" x14ac:dyDescent="0.2">
      <c r="A112" s="5" t="s">
        <v>1112</v>
      </c>
      <c r="B112" s="17">
        <v>1</v>
      </c>
    </row>
    <row r="113" spans="1:2" x14ac:dyDescent="0.2">
      <c r="A113" s="5" t="s">
        <v>1115</v>
      </c>
      <c r="B113" s="17">
        <v>10</v>
      </c>
    </row>
    <row r="114" spans="1:2" x14ac:dyDescent="0.2">
      <c r="A114" s="5" t="s">
        <v>1130</v>
      </c>
      <c r="B114" s="17">
        <v>1</v>
      </c>
    </row>
    <row r="115" spans="1:2" x14ac:dyDescent="0.2">
      <c r="A115" s="5" t="s">
        <v>1139</v>
      </c>
      <c r="B115" s="17">
        <v>5</v>
      </c>
    </row>
    <row r="116" spans="1:2" x14ac:dyDescent="0.2">
      <c r="A116" s="5" t="s">
        <v>1151</v>
      </c>
      <c r="B116" s="17">
        <v>2</v>
      </c>
    </row>
    <row r="117" spans="1:2" x14ac:dyDescent="0.2">
      <c r="A117" s="5" t="s">
        <v>1180</v>
      </c>
      <c r="B117" s="17">
        <v>1</v>
      </c>
    </row>
    <row r="118" spans="1:2" x14ac:dyDescent="0.2">
      <c r="A118" s="5" t="s">
        <v>1294</v>
      </c>
      <c r="B118" s="17">
        <v>1</v>
      </c>
    </row>
    <row r="119" spans="1:2" x14ac:dyDescent="0.2">
      <c r="A119" s="5" t="s">
        <v>1302</v>
      </c>
      <c r="B119" s="17">
        <v>1</v>
      </c>
    </row>
    <row r="120" spans="1:2" x14ac:dyDescent="0.2">
      <c r="A120" s="5" t="s">
        <v>1334</v>
      </c>
      <c r="B120" s="17">
        <v>1</v>
      </c>
    </row>
    <row r="121" spans="1:2" x14ac:dyDescent="0.2">
      <c r="A121" s="5" t="s">
        <v>1379</v>
      </c>
      <c r="B121" s="17">
        <v>2</v>
      </c>
    </row>
    <row r="122" spans="1:2" x14ac:dyDescent="0.2">
      <c r="A122" s="5" t="s">
        <v>1385</v>
      </c>
      <c r="B122" s="17">
        <v>1</v>
      </c>
    </row>
    <row r="123" spans="1:2" x14ac:dyDescent="0.2">
      <c r="A123" s="5" t="s">
        <v>1394</v>
      </c>
      <c r="B123" s="17">
        <v>1</v>
      </c>
    </row>
    <row r="124" spans="1:2" x14ac:dyDescent="0.2">
      <c r="A124" s="5" t="s">
        <v>1396</v>
      </c>
      <c r="B124" s="17">
        <v>1</v>
      </c>
    </row>
    <row r="125" spans="1:2" x14ac:dyDescent="0.2">
      <c r="A125" s="5" t="s">
        <v>1413</v>
      </c>
      <c r="B125" s="17">
        <v>2</v>
      </c>
    </row>
    <row r="126" spans="1:2" x14ac:dyDescent="0.2">
      <c r="A126" s="5" t="s">
        <v>1415</v>
      </c>
      <c r="B126" s="17">
        <v>2</v>
      </c>
    </row>
    <row r="127" spans="1:2" x14ac:dyDescent="0.2">
      <c r="A127" s="5" t="s">
        <v>1426</v>
      </c>
      <c r="B127" s="17">
        <v>1</v>
      </c>
    </row>
    <row r="128" spans="1:2" x14ac:dyDescent="0.2">
      <c r="A128" s="5" t="s">
        <v>1452</v>
      </c>
      <c r="B128" s="17">
        <v>2</v>
      </c>
    </row>
    <row r="129" spans="1:2" x14ac:dyDescent="0.2">
      <c r="A129" s="5" t="s">
        <v>1467</v>
      </c>
      <c r="B129" s="17">
        <v>3</v>
      </c>
    </row>
    <row r="130" spans="1:2" x14ac:dyDescent="0.2">
      <c r="A130" s="5" t="s">
        <v>1472</v>
      </c>
      <c r="B130" s="17">
        <v>1</v>
      </c>
    </row>
    <row r="131" spans="1:2" x14ac:dyDescent="0.2">
      <c r="A131" s="5" t="s">
        <v>1476</v>
      </c>
      <c r="B131" s="17">
        <v>1</v>
      </c>
    </row>
    <row r="132" spans="1:2" x14ac:dyDescent="0.2">
      <c r="A132" s="5" t="s">
        <v>1489</v>
      </c>
      <c r="B132" s="17">
        <v>3</v>
      </c>
    </row>
    <row r="133" spans="1:2" x14ac:dyDescent="0.2">
      <c r="A133" s="5" t="s">
        <v>1494</v>
      </c>
      <c r="B133" s="17">
        <v>3</v>
      </c>
    </row>
    <row r="134" spans="1:2" x14ac:dyDescent="0.2">
      <c r="A134" s="5" t="s">
        <v>1502</v>
      </c>
      <c r="B134" s="17">
        <v>1</v>
      </c>
    </row>
    <row r="135" spans="1:2" x14ac:dyDescent="0.2">
      <c r="A135" s="5" t="s">
        <v>1534</v>
      </c>
      <c r="B135" s="17">
        <v>1</v>
      </c>
    </row>
    <row r="136" spans="1:2" x14ac:dyDescent="0.2">
      <c r="A136" s="5" t="s">
        <v>1558</v>
      </c>
      <c r="B136" s="17">
        <v>1</v>
      </c>
    </row>
    <row r="137" spans="1:2" x14ac:dyDescent="0.2">
      <c r="A137" s="5" t="s">
        <v>1561</v>
      </c>
      <c r="B137" s="17">
        <v>2</v>
      </c>
    </row>
    <row r="138" spans="1:2" x14ac:dyDescent="0.2">
      <c r="A138" s="5" t="s">
        <v>1579</v>
      </c>
      <c r="B138" s="17">
        <v>1</v>
      </c>
    </row>
    <row r="139" spans="1:2" x14ac:dyDescent="0.2">
      <c r="A139" s="5" t="s">
        <v>1582</v>
      </c>
      <c r="B139" s="17">
        <v>2</v>
      </c>
    </row>
    <row r="140" spans="1:2" x14ac:dyDescent="0.2">
      <c r="A140" s="5" t="s">
        <v>1587</v>
      </c>
      <c r="B140" s="17">
        <v>1</v>
      </c>
    </row>
    <row r="141" spans="1:2" x14ac:dyDescent="0.2">
      <c r="A141" s="5" t="s">
        <v>1589</v>
      </c>
      <c r="B141" s="17">
        <v>1</v>
      </c>
    </row>
    <row r="142" spans="1:2" x14ac:dyDescent="0.2">
      <c r="A142" s="5" t="s">
        <v>1631</v>
      </c>
      <c r="B142" s="17">
        <v>1</v>
      </c>
    </row>
    <row r="143" spans="1:2" x14ac:dyDescent="0.2">
      <c r="A143" s="5" t="s">
        <v>1633</v>
      </c>
      <c r="B143" s="17">
        <v>1</v>
      </c>
    </row>
    <row r="144" spans="1:2" x14ac:dyDescent="0.2">
      <c r="A144" s="5" t="s">
        <v>1635</v>
      </c>
      <c r="B144" s="17">
        <v>1</v>
      </c>
    </row>
    <row r="145" spans="1:2" x14ac:dyDescent="0.2">
      <c r="A145" s="5" t="s">
        <v>1649</v>
      </c>
      <c r="B145" s="17">
        <v>4</v>
      </c>
    </row>
    <row r="146" spans="1:2" x14ac:dyDescent="0.2">
      <c r="A146" s="5" t="s">
        <v>1668</v>
      </c>
      <c r="B146" s="17">
        <v>1</v>
      </c>
    </row>
    <row r="147" spans="1:2" x14ac:dyDescent="0.2">
      <c r="A147" s="5" t="s">
        <v>1734</v>
      </c>
      <c r="B147" s="17">
        <v>3</v>
      </c>
    </row>
    <row r="148" spans="1:2" x14ac:dyDescent="0.2">
      <c r="A148" s="5" t="s">
        <v>1752</v>
      </c>
      <c r="B148" s="17">
        <v>2</v>
      </c>
    </row>
    <row r="149" spans="1:2" x14ac:dyDescent="0.2">
      <c r="A149" s="5" t="s">
        <v>1774</v>
      </c>
      <c r="B149" s="17">
        <v>1</v>
      </c>
    </row>
    <row r="150" spans="1:2" x14ac:dyDescent="0.2">
      <c r="A150" s="5" t="s">
        <v>1797</v>
      </c>
      <c r="B150" s="17">
        <v>1</v>
      </c>
    </row>
    <row r="151" spans="1:2" x14ac:dyDescent="0.2">
      <c r="A151" s="5" t="s">
        <v>1824</v>
      </c>
      <c r="B151" s="17">
        <v>1</v>
      </c>
    </row>
    <row r="152" spans="1:2" x14ac:dyDescent="0.2">
      <c r="A152" s="5" t="s">
        <v>1837</v>
      </c>
      <c r="B152" s="17">
        <v>2</v>
      </c>
    </row>
    <row r="153" spans="1:2" x14ac:dyDescent="0.2">
      <c r="A153" s="5" t="s">
        <v>1888</v>
      </c>
      <c r="B153" s="17">
        <v>1</v>
      </c>
    </row>
    <row r="154" spans="1:2" x14ac:dyDescent="0.2">
      <c r="A154" s="5" t="s">
        <v>1915</v>
      </c>
      <c r="B154" s="17">
        <v>1</v>
      </c>
    </row>
    <row r="155" spans="1:2" x14ac:dyDescent="0.2">
      <c r="A155" s="5" t="s">
        <v>1935</v>
      </c>
      <c r="B155" s="17">
        <v>1</v>
      </c>
    </row>
    <row r="156" spans="1:2" x14ac:dyDescent="0.2">
      <c r="A156" s="5" t="s">
        <v>1941</v>
      </c>
      <c r="B156" s="17">
        <v>1</v>
      </c>
    </row>
    <row r="157" spans="1:2" x14ac:dyDescent="0.2">
      <c r="A157" s="5" t="s">
        <v>1943</v>
      </c>
      <c r="B157" s="17">
        <v>2</v>
      </c>
    </row>
    <row r="158" spans="1:2" x14ac:dyDescent="0.2">
      <c r="A158" s="5" t="s">
        <v>1953</v>
      </c>
      <c r="B158" s="17">
        <v>2</v>
      </c>
    </row>
    <row r="159" spans="1:2" x14ac:dyDescent="0.2">
      <c r="A159" s="5" t="s">
        <v>1980</v>
      </c>
      <c r="B159" s="17">
        <v>1</v>
      </c>
    </row>
    <row r="160" spans="1:2" x14ac:dyDescent="0.2">
      <c r="A160" s="5" t="s">
        <v>1984</v>
      </c>
      <c r="B160" s="17">
        <v>1</v>
      </c>
    </row>
    <row r="161" spans="1:2" x14ac:dyDescent="0.2">
      <c r="A161" s="5" t="s">
        <v>1998</v>
      </c>
      <c r="B161" s="17">
        <v>2</v>
      </c>
    </row>
    <row r="162" spans="1:2" x14ac:dyDescent="0.2">
      <c r="A162" s="5" t="s">
        <v>2012</v>
      </c>
      <c r="B162" s="17">
        <v>2</v>
      </c>
    </row>
    <row r="163" spans="1:2" x14ac:dyDescent="0.2">
      <c r="A163" s="5" t="s">
        <v>2027</v>
      </c>
      <c r="B163" s="17">
        <v>1</v>
      </c>
    </row>
    <row r="164" spans="1:2" x14ac:dyDescent="0.2">
      <c r="A164" s="5" t="s">
        <v>2029</v>
      </c>
      <c r="B164" s="17">
        <v>1</v>
      </c>
    </row>
    <row r="165" spans="1:2" x14ac:dyDescent="0.2">
      <c r="A165" s="5" t="s">
        <v>2031</v>
      </c>
      <c r="B165" s="17">
        <v>1</v>
      </c>
    </row>
    <row r="166" spans="1:2" x14ac:dyDescent="0.2">
      <c r="A166" s="5" t="s">
        <v>2037</v>
      </c>
      <c r="B166" s="17">
        <v>3</v>
      </c>
    </row>
    <row r="167" spans="1:2" x14ac:dyDescent="0.2">
      <c r="A167" s="5" t="s">
        <v>2054</v>
      </c>
      <c r="B167" s="17">
        <v>1</v>
      </c>
    </row>
    <row r="168" spans="1:2" x14ac:dyDescent="0.2">
      <c r="A168" s="5" t="s">
        <v>2070</v>
      </c>
      <c r="B168" s="17">
        <v>3</v>
      </c>
    </row>
    <row r="169" spans="1:2" x14ac:dyDescent="0.2">
      <c r="A169" s="5" t="s">
        <v>2078</v>
      </c>
      <c r="B169" s="17">
        <v>1</v>
      </c>
    </row>
    <row r="170" spans="1:2" x14ac:dyDescent="0.2">
      <c r="A170" s="5" t="s">
        <v>2092</v>
      </c>
      <c r="B170" s="17">
        <v>1</v>
      </c>
    </row>
    <row r="171" spans="1:2" x14ac:dyDescent="0.2">
      <c r="A171" s="5" t="s">
        <v>2095</v>
      </c>
      <c r="B171" s="17">
        <v>1</v>
      </c>
    </row>
    <row r="172" spans="1:2" x14ac:dyDescent="0.2">
      <c r="A172" s="5" t="s">
        <v>2107</v>
      </c>
      <c r="B172" s="17">
        <v>2</v>
      </c>
    </row>
    <row r="173" spans="1:2" x14ac:dyDescent="0.2">
      <c r="A173" s="5" t="s">
        <v>2112</v>
      </c>
      <c r="B173" s="17">
        <v>2</v>
      </c>
    </row>
    <row r="174" spans="1:2" x14ac:dyDescent="0.2">
      <c r="A174" s="5" t="s">
        <v>2137</v>
      </c>
      <c r="B174" s="17">
        <v>1</v>
      </c>
    </row>
    <row r="175" spans="1:2" x14ac:dyDescent="0.2">
      <c r="A175" s="5" t="s">
        <v>2180</v>
      </c>
      <c r="B175" s="17">
        <v>1</v>
      </c>
    </row>
    <row r="176" spans="1:2" x14ac:dyDescent="0.2">
      <c r="A176" s="5" t="s">
        <v>2184</v>
      </c>
      <c r="B176" s="17">
        <v>2</v>
      </c>
    </row>
    <row r="177" spans="1:2" x14ac:dyDescent="0.2">
      <c r="A177" s="5" t="s">
        <v>2203</v>
      </c>
      <c r="B177" s="17">
        <v>1</v>
      </c>
    </row>
    <row r="178" spans="1:2" x14ac:dyDescent="0.2">
      <c r="A178" s="5" t="s">
        <v>2210</v>
      </c>
      <c r="B178" s="17">
        <v>1</v>
      </c>
    </row>
    <row r="179" spans="1:2" x14ac:dyDescent="0.2">
      <c r="A179" s="5" t="s">
        <v>2212</v>
      </c>
      <c r="B179" s="17">
        <v>1</v>
      </c>
    </row>
    <row r="180" spans="1:2" x14ac:dyDescent="0.2">
      <c r="A180" s="5" t="s">
        <v>2218</v>
      </c>
      <c r="B180" s="17">
        <v>1</v>
      </c>
    </row>
    <row r="181" spans="1:2" x14ac:dyDescent="0.2">
      <c r="A181" s="5" t="s">
        <v>2220</v>
      </c>
      <c r="B181" s="17">
        <v>1</v>
      </c>
    </row>
    <row r="182" spans="1:2" x14ac:dyDescent="0.2">
      <c r="A182" s="5" t="s">
        <v>2224</v>
      </c>
      <c r="B182" s="17">
        <v>1</v>
      </c>
    </row>
    <row r="183" spans="1:2" x14ac:dyDescent="0.2">
      <c r="A183" s="5" t="s">
        <v>2228</v>
      </c>
      <c r="B183" s="17">
        <v>1</v>
      </c>
    </row>
    <row r="184" spans="1:2" x14ac:dyDescent="0.2">
      <c r="A184" s="5" t="s">
        <v>2231</v>
      </c>
      <c r="B184" s="17">
        <v>1</v>
      </c>
    </row>
    <row r="185" spans="1:2" x14ac:dyDescent="0.2">
      <c r="A185" s="5" t="s">
        <v>2233</v>
      </c>
      <c r="B185" s="17">
        <v>3</v>
      </c>
    </row>
    <row r="186" spans="1:2" x14ac:dyDescent="0.2">
      <c r="A186" s="5" t="s">
        <v>2246</v>
      </c>
      <c r="B186" s="17">
        <v>1</v>
      </c>
    </row>
    <row r="187" spans="1:2" x14ac:dyDescent="0.2">
      <c r="A187" s="5" t="s">
        <v>2260</v>
      </c>
      <c r="B187" s="17">
        <v>1</v>
      </c>
    </row>
    <row r="188" spans="1:2" x14ac:dyDescent="0.2">
      <c r="A188" s="5" t="s">
        <v>2278</v>
      </c>
      <c r="B188" s="17">
        <v>2</v>
      </c>
    </row>
    <row r="189" spans="1:2" x14ac:dyDescent="0.2">
      <c r="A189" s="5" t="s">
        <v>2281</v>
      </c>
      <c r="B189" s="17">
        <v>1</v>
      </c>
    </row>
    <row r="190" spans="1:2" x14ac:dyDescent="0.2">
      <c r="A190" s="5" t="s">
        <v>2284</v>
      </c>
      <c r="B190" s="17">
        <v>1</v>
      </c>
    </row>
    <row r="191" spans="1:2" x14ac:dyDescent="0.2">
      <c r="A191" s="5" t="s">
        <v>2294</v>
      </c>
      <c r="B191" s="17">
        <v>1</v>
      </c>
    </row>
    <row r="192" spans="1:2" x14ac:dyDescent="0.2">
      <c r="A192" s="5" t="s">
        <v>2299</v>
      </c>
      <c r="B192" s="17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S25"/>
  <sheetViews>
    <sheetView workbookViewId="0">
      <selection activeCell="J33" sqref="J33"/>
    </sheetView>
  </sheetViews>
  <sheetFormatPr baseColWidth="10" defaultRowHeight="15" x14ac:dyDescent="0.2"/>
  <cols>
    <col min="1" max="1" width="16" bestFit="1" customWidth="1"/>
    <col min="2" max="2" width="9.6640625" bestFit="1" customWidth="1"/>
    <col min="3" max="3" width="11.1640625" bestFit="1" customWidth="1"/>
    <col min="4" max="4" width="7" bestFit="1" customWidth="1"/>
    <col min="18" max="18" width="16" bestFit="1" customWidth="1"/>
  </cols>
  <sheetData>
    <row r="1" spans="1:19" x14ac:dyDescent="0.2">
      <c r="A1" s="9" t="s">
        <v>6</v>
      </c>
      <c r="B1" s="9" t="s">
        <v>1013</v>
      </c>
      <c r="C1" s="9" t="s">
        <v>1014</v>
      </c>
      <c r="D1" s="9" t="s">
        <v>1015</v>
      </c>
      <c r="R1" s="8" t="s">
        <v>2301</v>
      </c>
      <c r="S1">
        <f>SUM(B2:B25)</f>
        <v>806</v>
      </c>
    </row>
    <row r="2" spans="1:19" x14ac:dyDescent="0.2">
      <c r="A2" s="11" t="s">
        <v>1017</v>
      </c>
      <c r="B2">
        <f>COUNTIFS('Search Audit'!I:I,1,'Search Audit'!E:E,"&lt;&gt;")</f>
        <v>45</v>
      </c>
      <c r="C2">
        <f>COUNTIFS('Search Audit'!I:I,1,'Search Audit'!E:E,"")</f>
        <v>59</v>
      </c>
      <c r="D2" s="10">
        <f t="shared" ref="D2:D25" si="0">IF((B2+C2)=0,0,C2/(B2+C2))</f>
        <v>0.56730769230769229</v>
      </c>
    </row>
    <row r="3" spans="1:19" x14ac:dyDescent="0.2">
      <c r="A3" s="11" t="s">
        <v>1029</v>
      </c>
      <c r="B3">
        <f>COUNTIFS('Search Audit'!I:I,13,'Search Audit'!E:E,"&lt;&gt;")</f>
        <v>35</v>
      </c>
      <c r="C3">
        <f>COUNTIFS('Search Audit'!I:I,13,'Search Audit'!E:E,"")</f>
        <v>40</v>
      </c>
      <c r="D3" s="10">
        <f t="shared" si="0"/>
        <v>0.53333333333333333</v>
      </c>
      <c r="R3" s="8" t="s">
        <v>2302</v>
      </c>
      <c r="S3">
        <f>SUM(C2:C25)</f>
        <v>1087</v>
      </c>
    </row>
    <row r="4" spans="1:19" x14ac:dyDescent="0.2">
      <c r="A4" s="11" t="s">
        <v>1026</v>
      </c>
      <c r="B4">
        <f>COUNTIFS('Search Audit'!I:I,10,'Search Audit'!E:E,"&lt;&gt;")</f>
        <v>52</v>
      </c>
      <c r="C4">
        <f>COUNTIFS('Search Audit'!I:I,10,'Search Audit'!E:E,"")</f>
        <v>60</v>
      </c>
      <c r="D4" s="10">
        <f t="shared" si="0"/>
        <v>0.5357142857142857</v>
      </c>
    </row>
    <row r="5" spans="1:19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12</v>
      </c>
      <c r="D5" s="10">
        <f t="shared" si="0"/>
        <v>0.54545454545454541</v>
      </c>
      <c r="R5" s="8" t="s">
        <v>2303</v>
      </c>
      <c r="S5" s="10">
        <f>AVERAGE(D2:D25)</f>
        <v>0.58917737300574158</v>
      </c>
    </row>
    <row r="6" spans="1:19" x14ac:dyDescent="0.2">
      <c r="A6" s="11" t="s">
        <v>1027</v>
      </c>
      <c r="B6">
        <f>COUNTIFS('Search Audit'!I:I,11,'Search Audit'!E:E,"&lt;&gt;")</f>
        <v>32</v>
      </c>
      <c r="C6">
        <f>COUNTIFS('Search Audit'!I:I,11,'Search Audit'!E:E,"")</f>
        <v>36</v>
      </c>
      <c r="D6" s="10">
        <f t="shared" si="0"/>
        <v>0.52941176470588236</v>
      </c>
    </row>
    <row r="7" spans="1:19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28</v>
      </c>
      <c r="D7" s="10">
        <f t="shared" si="0"/>
        <v>0.84848484848484851</v>
      </c>
      <c r="R7" s="8" t="s">
        <v>752</v>
      </c>
      <c r="S7">
        <f>SUM(B2:C25)</f>
        <v>1893</v>
      </c>
    </row>
    <row r="8" spans="1:19" x14ac:dyDescent="0.2">
      <c r="A8" s="11" t="s">
        <v>1016</v>
      </c>
      <c r="B8">
        <f>COUNTIFS('Search Audit'!I:I,0,'Search Audit'!E:E,"&lt;&gt;")</f>
        <v>23</v>
      </c>
      <c r="C8">
        <f>COUNTIFS('Search Audit'!I:I,0,'Search Audit'!E:E,"")</f>
        <v>48</v>
      </c>
      <c r="D8" s="10">
        <f t="shared" si="0"/>
        <v>0.676056338028169</v>
      </c>
    </row>
    <row r="9" spans="1:19" x14ac:dyDescent="0.2">
      <c r="A9" s="11" t="s">
        <v>1028</v>
      </c>
      <c r="B9">
        <f>COUNTIFS('Search Audit'!I:I,12,'Search Audit'!E:E,"&lt;&gt;")</f>
        <v>27</v>
      </c>
      <c r="C9">
        <f>COUNTIFS('Search Audit'!I:I,12,'Search Audit'!E:E,"")</f>
        <v>49</v>
      </c>
      <c r="D9" s="10">
        <f t="shared" si="0"/>
        <v>0.64473684210526316</v>
      </c>
    </row>
    <row r="10" spans="1:19" x14ac:dyDescent="0.2">
      <c r="A10" s="11" t="s">
        <v>1018</v>
      </c>
      <c r="B10">
        <f>COUNTIFS('Search Audit'!I:I,2,'Search Audit'!E:E,"&lt;&gt;")</f>
        <v>56</v>
      </c>
      <c r="C10">
        <f>COUNTIFS('Search Audit'!I:I,2,'Search Audit'!E:E,"")</f>
        <v>67</v>
      </c>
      <c r="D10" s="10">
        <f t="shared" si="0"/>
        <v>0.54471544715447151</v>
      </c>
    </row>
    <row r="11" spans="1:19" x14ac:dyDescent="0.2">
      <c r="A11" s="11" t="s">
        <v>1030</v>
      </c>
      <c r="B11">
        <f>COUNTIFS('Search Audit'!I:I,14,'Search Audit'!E:E,"&lt;&gt;")</f>
        <v>42</v>
      </c>
      <c r="C11">
        <f>COUNTIFS('Search Audit'!I:I,14,'Search Audit'!E:E,"")</f>
        <v>37</v>
      </c>
      <c r="D11" s="10">
        <f t="shared" si="0"/>
        <v>0.46835443037974683</v>
      </c>
    </row>
    <row r="12" spans="1:19" x14ac:dyDescent="0.2">
      <c r="A12" s="11" t="s">
        <v>1019</v>
      </c>
      <c r="B12">
        <f>COUNTIFS('Search Audit'!I:I,3,'Search Audit'!E:E,"&lt;&gt;")</f>
        <v>65</v>
      </c>
      <c r="C12">
        <f>COUNTIFS('Search Audit'!I:I,3,'Search Audit'!E:E,"")</f>
        <v>85</v>
      </c>
      <c r="D12" s="10">
        <f t="shared" si="0"/>
        <v>0.56666666666666665</v>
      </c>
    </row>
    <row r="13" spans="1:19" x14ac:dyDescent="0.2">
      <c r="A13" s="11" t="s">
        <v>1031</v>
      </c>
      <c r="B13">
        <f>COUNTIFS('Search Audit'!I:I,15,'Search Audit'!E:E,"&lt;&gt;")</f>
        <v>33</v>
      </c>
      <c r="C13">
        <f>COUNTIFS('Search Audit'!I:I,15,'Search Audit'!E:E,"")</f>
        <v>33</v>
      </c>
      <c r="D13" s="10">
        <f t="shared" si="0"/>
        <v>0.5</v>
      </c>
    </row>
    <row r="14" spans="1:19" x14ac:dyDescent="0.2">
      <c r="A14" s="11" t="s">
        <v>1020</v>
      </c>
      <c r="B14">
        <f>COUNTIFS('Search Audit'!I:I,4,'Search Audit'!E:E,"&lt;&gt;")</f>
        <v>61</v>
      </c>
      <c r="C14">
        <f>COUNTIFS('Search Audit'!I:I,4,'Search Audit'!E:E,"")</f>
        <v>90</v>
      </c>
      <c r="D14" s="10">
        <f t="shared" si="0"/>
        <v>0.59602649006622521</v>
      </c>
    </row>
    <row r="15" spans="1:19" x14ac:dyDescent="0.2">
      <c r="A15" s="11" t="s">
        <v>1032</v>
      </c>
      <c r="B15">
        <f>COUNTIFS('Search Audit'!I:I,16,'Search Audit'!E:E,"&lt;&gt;")</f>
        <v>16</v>
      </c>
      <c r="C15">
        <f>COUNTIFS('Search Audit'!I:I,16,'Search Audit'!E:E,"")</f>
        <v>19</v>
      </c>
      <c r="D15" s="10">
        <f t="shared" si="0"/>
        <v>0.54285714285714282</v>
      </c>
    </row>
    <row r="16" spans="1:19" x14ac:dyDescent="0.2">
      <c r="A16" s="11" t="s">
        <v>1021</v>
      </c>
      <c r="B16">
        <f>COUNTIFS('Search Audit'!I:I,5,'Search Audit'!E:E,"&lt;&gt;")</f>
        <v>40</v>
      </c>
      <c r="C16">
        <f>COUNTIFS('Search Audit'!I:I,5,'Search Audit'!E:E,"")</f>
        <v>75</v>
      </c>
      <c r="D16" s="10">
        <f t="shared" si="0"/>
        <v>0.65217391304347827</v>
      </c>
    </row>
    <row r="17" spans="1:4" x14ac:dyDescent="0.2">
      <c r="A17" s="11" t="s">
        <v>1033</v>
      </c>
      <c r="B17">
        <f>COUNTIFS('Search Audit'!I:I,17,'Search Audit'!E:E,"&lt;&gt;")</f>
        <v>17</v>
      </c>
      <c r="C17">
        <f>COUNTIFS('Search Audit'!I:I,17,'Search Audit'!E:E,"")</f>
        <v>17</v>
      </c>
      <c r="D17" s="10">
        <f t="shared" si="0"/>
        <v>0.5</v>
      </c>
    </row>
    <row r="18" spans="1:4" x14ac:dyDescent="0.2">
      <c r="A18" s="11" t="s">
        <v>1022</v>
      </c>
      <c r="B18">
        <f>COUNTIFS('Search Audit'!I:I,6,'Search Audit'!E:E,"&lt;&gt;")</f>
        <v>46</v>
      </c>
      <c r="C18">
        <f>COUNTIFS('Search Audit'!I:I,6,'Search Audit'!E:E,"")</f>
        <v>70</v>
      </c>
      <c r="D18" s="10">
        <f t="shared" si="0"/>
        <v>0.60344827586206895</v>
      </c>
    </row>
    <row r="19" spans="1:4" x14ac:dyDescent="0.2">
      <c r="A19" s="11" t="s">
        <v>1034</v>
      </c>
      <c r="B19">
        <f>COUNTIFS('Search Audit'!I:I,18,'Search Audit'!E:E,"&lt;&gt;")</f>
        <v>12</v>
      </c>
      <c r="C19">
        <f>COUNTIFS('Search Audit'!I:I,18,'Search Audit'!E:E,"")</f>
        <v>16</v>
      </c>
      <c r="D19" s="10">
        <f t="shared" si="0"/>
        <v>0.5714285714285714</v>
      </c>
    </row>
    <row r="20" spans="1:4" x14ac:dyDescent="0.2">
      <c r="A20" s="11" t="s">
        <v>1023</v>
      </c>
      <c r="B20">
        <f>COUNTIFS('Search Audit'!I:I,7,'Search Audit'!E:E,"&lt;&gt;")</f>
        <v>63</v>
      </c>
      <c r="C20">
        <f>COUNTIFS('Search Audit'!I:I,7,'Search Audit'!E:E,"")</f>
        <v>76</v>
      </c>
      <c r="D20" s="10">
        <f t="shared" si="0"/>
        <v>0.5467625899280576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15</v>
      </c>
      <c r="D21" s="10">
        <f t="shared" si="0"/>
        <v>0.625</v>
      </c>
    </row>
    <row r="22" spans="1:4" x14ac:dyDescent="0.2">
      <c r="A22" s="11" t="s">
        <v>1024</v>
      </c>
      <c r="B22">
        <f>COUNTIFS('Search Audit'!I:I,8,'Search Audit'!E:E,"&lt;&gt;")</f>
        <v>57</v>
      </c>
      <c r="C22">
        <f>COUNTIFS('Search Audit'!I:I,8,'Search Audit'!E:E,"")</f>
        <v>72</v>
      </c>
      <c r="D22" s="10">
        <f t="shared" si="0"/>
        <v>0.55813953488372092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15</v>
      </c>
      <c r="D23" s="10">
        <f t="shared" si="0"/>
        <v>0.75</v>
      </c>
    </row>
    <row r="24" spans="1:4" x14ac:dyDescent="0.2">
      <c r="A24" s="11" t="s">
        <v>1025</v>
      </c>
      <c r="B24">
        <f>COUNTIFS('Search Audit'!I:I,9,'Search Audit'!E:E,"&lt;&gt;")</f>
        <v>50</v>
      </c>
      <c r="C24">
        <f>COUNTIFS('Search Audit'!I:I,9,'Search Audit'!E:E,"")</f>
        <v>56</v>
      </c>
      <c r="D24" s="10">
        <f t="shared" si="0"/>
        <v>0.52830188679245282</v>
      </c>
    </row>
    <row r="25" spans="1:4" x14ac:dyDescent="0.2">
      <c r="A25" s="11" t="s">
        <v>1037</v>
      </c>
      <c r="B25">
        <f>COUNTIFS('Search Audit'!I:I,21,'Search Audit'!E:E,"&lt;&gt;")</f>
        <v>5</v>
      </c>
      <c r="C25">
        <f>COUNTIFS('Search Audit'!I:I,21,'Search Audit'!E:E,"")</f>
        <v>12</v>
      </c>
      <c r="D25" s="10">
        <f t="shared" si="0"/>
        <v>0.70588235294117652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F37" sqref="F37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71</v>
      </c>
      <c r="F2" s="6"/>
    </row>
    <row r="3" spans="1:6" x14ac:dyDescent="0.2">
      <c r="A3">
        <v>1</v>
      </c>
      <c r="B3">
        <f>COUNTIF('Search Audit'!I:I,1)</f>
        <v>104</v>
      </c>
    </row>
    <row r="4" spans="1:6" x14ac:dyDescent="0.2">
      <c r="A4">
        <v>2</v>
      </c>
      <c r="B4">
        <f>COUNTIF('Search Audit'!I:I,2)</f>
        <v>123</v>
      </c>
    </row>
    <row r="5" spans="1:6" x14ac:dyDescent="0.2">
      <c r="A5">
        <v>3</v>
      </c>
      <c r="B5">
        <f>COUNTIF('Search Audit'!I:I,3)</f>
        <v>150</v>
      </c>
    </row>
    <row r="6" spans="1:6" x14ac:dyDescent="0.2">
      <c r="A6">
        <v>4</v>
      </c>
      <c r="B6">
        <f>COUNTIF('Search Audit'!I:I,4)</f>
        <v>151</v>
      </c>
    </row>
    <row r="7" spans="1:6" x14ac:dyDescent="0.2">
      <c r="A7">
        <v>5</v>
      </c>
      <c r="B7">
        <f>COUNTIF('Search Audit'!I:I,5)</f>
        <v>115</v>
      </c>
    </row>
    <row r="8" spans="1:6" x14ac:dyDescent="0.2">
      <c r="A8">
        <v>6</v>
      </c>
      <c r="B8">
        <f>COUNTIF('Search Audit'!I:I,6)</f>
        <v>116</v>
      </c>
    </row>
    <row r="9" spans="1:6" x14ac:dyDescent="0.2">
      <c r="A9">
        <v>7</v>
      </c>
      <c r="B9">
        <f>COUNTIF('Search Audit'!I:I,7)</f>
        <v>139</v>
      </c>
    </row>
    <row r="10" spans="1:6" x14ac:dyDescent="0.2">
      <c r="A10">
        <v>8</v>
      </c>
      <c r="B10">
        <f>COUNTIF('Search Audit'!I:I,8)</f>
        <v>129</v>
      </c>
    </row>
    <row r="11" spans="1:6" x14ac:dyDescent="0.2">
      <c r="A11">
        <v>9</v>
      </c>
      <c r="B11">
        <f>COUNTIF('Search Audit'!I:I,9)</f>
        <v>106</v>
      </c>
    </row>
    <row r="12" spans="1:6" x14ac:dyDescent="0.2">
      <c r="A12">
        <v>10</v>
      </c>
      <c r="B12">
        <f>COUNTIF('Search Audit'!I:I,10)</f>
        <v>112</v>
      </c>
    </row>
    <row r="13" spans="1:6" x14ac:dyDescent="0.2">
      <c r="A13">
        <v>11</v>
      </c>
      <c r="B13">
        <f>COUNTIF('Search Audit'!I:I,11)</f>
        <v>68</v>
      </c>
    </row>
    <row r="14" spans="1:6" x14ac:dyDescent="0.2">
      <c r="A14">
        <v>12</v>
      </c>
      <c r="B14">
        <f>COUNTIF('Search Audit'!I:I,12)</f>
        <v>76</v>
      </c>
    </row>
    <row r="15" spans="1:6" x14ac:dyDescent="0.2">
      <c r="A15">
        <v>13</v>
      </c>
      <c r="B15">
        <f>COUNTIF('Search Audit'!I:I,13)</f>
        <v>75</v>
      </c>
    </row>
    <row r="16" spans="1:6" x14ac:dyDescent="0.2">
      <c r="A16">
        <v>14</v>
      </c>
      <c r="B16">
        <f>COUNTIF('Search Audit'!I:I,14)</f>
        <v>79</v>
      </c>
    </row>
    <row r="17" spans="1:2" x14ac:dyDescent="0.2">
      <c r="A17">
        <v>15</v>
      </c>
      <c r="B17">
        <f>COUNTIF('Search Audit'!I:I,15)</f>
        <v>66</v>
      </c>
    </row>
    <row r="18" spans="1:2" x14ac:dyDescent="0.2">
      <c r="A18">
        <v>16</v>
      </c>
      <c r="B18">
        <f>COUNTIF('Search Audit'!I:I,16)</f>
        <v>35</v>
      </c>
    </row>
    <row r="19" spans="1:2" x14ac:dyDescent="0.2">
      <c r="A19">
        <v>17</v>
      </c>
      <c r="B19">
        <f>COUNTIF('Search Audit'!I:I,17)</f>
        <v>34</v>
      </c>
    </row>
    <row r="20" spans="1:2" x14ac:dyDescent="0.2">
      <c r="A20">
        <v>18</v>
      </c>
      <c r="B20">
        <f>COUNTIF('Search Audit'!I:I,18)</f>
        <v>28</v>
      </c>
    </row>
    <row r="21" spans="1:2" x14ac:dyDescent="0.2">
      <c r="A21">
        <v>19</v>
      </c>
      <c r="B21">
        <f>COUNTIF('Search Audit'!I:I,19)</f>
        <v>24</v>
      </c>
    </row>
    <row r="22" spans="1:2" x14ac:dyDescent="0.2">
      <c r="A22">
        <v>20</v>
      </c>
      <c r="B22">
        <f>COUNTIF('Search Audit'!I:I,20)</f>
        <v>20</v>
      </c>
    </row>
    <row r="23" spans="1:2" x14ac:dyDescent="0.2">
      <c r="A23">
        <v>21</v>
      </c>
      <c r="B23">
        <f>COUNTIF('Search Audit'!I:I,21)</f>
        <v>17</v>
      </c>
    </row>
    <row r="24" spans="1:2" x14ac:dyDescent="0.2">
      <c r="A24">
        <v>22</v>
      </c>
      <c r="B24">
        <f>COUNTIF('Search Audit'!I:I,22)</f>
        <v>22</v>
      </c>
    </row>
    <row r="25" spans="1:2" x14ac:dyDescent="0.2">
      <c r="A25">
        <v>23</v>
      </c>
      <c r="B25">
        <f>COUNTIF('Search Audit'!I:I,23)</f>
        <v>33</v>
      </c>
    </row>
    <row r="28" spans="1:2" x14ac:dyDescent="0.2">
      <c r="A28" s="8" t="s">
        <v>1012</v>
      </c>
      <c r="B28">
        <f>SUM(B2:B25)</f>
        <v>1893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475</v>
      </c>
      <c r="C5">
        <f>COUNTIFS('Search Audit'!D:D,A5,'Search Audit'!E:E,"")</f>
        <v>249</v>
      </c>
      <c r="D5">
        <f t="shared" si="0"/>
        <v>226</v>
      </c>
      <c r="E5" s="10">
        <f t="shared" si="1"/>
        <v>0.52421052631578946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77</v>
      </c>
      <c r="C9">
        <f>COUNTIFS('Search Audit'!D:D,A9,'Search Audit'!E:E,"")</f>
        <v>45</v>
      </c>
      <c r="D9">
        <f t="shared" si="0"/>
        <v>32</v>
      </c>
      <c r="E9" s="10">
        <f t="shared" si="1"/>
        <v>0.58441558441558439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31</v>
      </c>
      <c r="C15">
        <f>COUNTIFS('Search Audit'!D:D,A15,'Search Audit'!E:E,"")</f>
        <v>21</v>
      </c>
      <c r="D15">
        <f t="shared" si="0"/>
        <v>10</v>
      </c>
      <c r="E15" s="10">
        <f t="shared" si="1"/>
        <v>0.67741935483870963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8</v>
      </c>
      <c r="C25">
        <f>COUNTIFS('Search Audit'!D:D,A25,'Search Audit'!E:E,"")</f>
        <v>2</v>
      </c>
      <c r="D25">
        <f t="shared" si="0"/>
        <v>6</v>
      </c>
      <c r="E25" s="10">
        <f t="shared" si="1"/>
        <v>0.25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1569</v>
      </c>
      <c r="C35" s="13">
        <f>SUM(C4:C34)</f>
        <v>869</v>
      </c>
      <c r="D35" s="13">
        <f>SUM(D4:D34)</f>
        <v>700</v>
      </c>
      <c r="E35" s="14">
        <f t="shared" si="1"/>
        <v>0.55385595920968766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226</v>
      </c>
      <c r="C41">
        <f t="shared" si="3"/>
        <v>249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32</v>
      </c>
      <c r="C45">
        <f t="shared" si="3"/>
        <v>45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0.52421052631578946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0.58441558441558439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894"/>
  <sheetViews>
    <sheetView workbookViewId="0">
      <pane xSplit="3" ySplit="1" topLeftCell="D2021" activePane="bottomRight" state="frozen"/>
      <selection pane="topRight" activeCell="D1" sqref="D1"/>
      <selection pane="bottomLeft" activeCell="A2" sqref="A2"/>
      <selection pane="bottomRight" activeCell="A1630" sqref="A1630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s="17" t="s">
        <v>9</v>
      </c>
      <c r="B2" s="17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s="17" t="s">
        <v>12</v>
      </c>
      <c r="B3" s="17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s="17" t="s">
        <v>13</v>
      </c>
      <c r="B4" s="17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s="17" t="s">
        <v>14</v>
      </c>
      <c r="B5" s="17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s="17" t="s">
        <v>16</v>
      </c>
      <c r="B6" s="17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s="17" t="s">
        <v>18</v>
      </c>
      <c r="B7" s="17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s="17" t="s">
        <v>19</v>
      </c>
      <c r="B8" s="17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s="17" t="s">
        <v>20</v>
      </c>
      <c r="B9" s="17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s="17" t="s">
        <v>21</v>
      </c>
      <c r="B10" s="17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s="17" t="s">
        <v>22</v>
      </c>
      <c r="B11" s="17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s="17" t="s">
        <v>23</v>
      </c>
      <c r="B12" s="17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s="17" t="s">
        <v>24</v>
      </c>
      <c r="B13" s="17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s="17" t="s">
        <v>25</v>
      </c>
      <c r="B14" s="17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s="17" t="s">
        <v>26</v>
      </c>
      <c r="B15" s="17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s="17" t="s">
        <v>27</v>
      </c>
      <c r="B16" s="17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s="17" t="s">
        <v>29</v>
      </c>
      <c r="B17" s="17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s="17" t="s">
        <v>30</v>
      </c>
      <c r="B18" s="17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s="17" t="s">
        <v>32</v>
      </c>
      <c r="B19" s="17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s="17" t="s">
        <v>33</v>
      </c>
      <c r="B20" s="17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s="17" t="s">
        <v>35</v>
      </c>
      <c r="B21" s="17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s="17" t="s">
        <v>36</v>
      </c>
      <c r="B22" s="17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s="17" t="s">
        <v>37</v>
      </c>
      <c r="B23" s="17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s="17" t="s">
        <v>38</v>
      </c>
      <c r="B24" s="17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s="17" t="s">
        <v>39</v>
      </c>
      <c r="B25" s="17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s="17" t="s">
        <v>40</v>
      </c>
      <c r="B26" s="17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s="17" t="s">
        <v>41</v>
      </c>
      <c r="B27" s="17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s="17" t="s">
        <v>43</v>
      </c>
      <c r="B28" s="17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s="17" t="s">
        <v>44</v>
      </c>
      <c r="B29" s="17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s="17" t="s">
        <v>46</v>
      </c>
      <c r="B30" s="17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s="17" t="s">
        <v>47</v>
      </c>
      <c r="B31" s="17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s="17" t="s">
        <v>48</v>
      </c>
      <c r="B32" s="17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s="17" t="s">
        <v>49</v>
      </c>
      <c r="B33" s="17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s="17" t="s">
        <v>51</v>
      </c>
      <c r="B34" s="17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s="17" t="s">
        <v>52</v>
      </c>
      <c r="B35" s="17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s="17" t="s">
        <v>53</v>
      </c>
      <c r="B36" s="17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s="17" t="s">
        <v>54</v>
      </c>
      <c r="B37" s="17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s="17" t="s">
        <v>55</v>
      </c>
      <c r="B38" s="17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s="17" t="s">
        <v>56</v>
      </c>
      <c r="B39" s="17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s="17" t="s">
        <v>57</v>
      </c>
      <c r="B40" s="17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s="17" t="s">
        <v>58</v>
      </c>
      <c r="B41" s="17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s="17" t="s">
        <v>59</v>
      </c>
      <c r="B42" s="17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s="17" t="s">
        <v>61</v>
      </c>
      <c r="B43" s="17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s="17" t="s">
        <v>62</v>
      </c>
      <c r="B44" s="17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s="17" t="s">
        <v>64</v>
      </c>
      <c r="B45" s="17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s="17" t="s">
        <v>65</v>
      </c>
      <c r="B46" s="17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s="17" t="s">
        <v>66</v>
      </c>
      <c r="B47" s="17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s="17" t="s">
        <v>67</v>
      </c>
      <c r="B48" s="17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s="17" t="s">
        <v>69</v>
      </c>
      <c r="B49" s="17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s="17" t="s">
        <v>71</v>
      </c>
      <c r="B50" s="17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s="17" t="s">
        <v>72</v>
      </c>
      <c r="B51" s="17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s="17" t="s">
        <v>73</v>
      </c>
      <c r="B52" s="17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s="17" t="s">
        <v>74</v>
      </c>
      <c r="B53" s="17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s="17" t="s">
        <v>75</v>
      </c>
      <c r="B54" s="17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s="17" t="s">
        <v>76</v>
      </c>
      <c r="B55" s="17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s="17" t="s">
        <v>77</v>
      </c>
      <c r="B56" s="17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s="17" t="s">
        <v>78</v>
      </c>
      <c r="B57" s="17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s="17" t="s">
        <v>80</v>
      </c>
      <c r="B58" s="17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s="17" t="s">
        <v>82</v>
      </c>
      <c r="B59" s="17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s="17" t="s">
        <v>84</v>
      </c>
      <c r="B60" s="17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s="17" t="s">
        <v>85</v>
      </c>
      <c r="B61" s="17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s="17" t="s">
        <v>87</v>
      </c>
      <c r="B62" s="17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s="17" t="s">
        <v>88</v>
      </c>
      <c r="B63" s="17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s="17" t="s">
        <v>90</v>
      </c>
      <c r="B64" s="17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s="17" t="s">
        <v>91</v>
      </c>
      <c r="B65" s="17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s="17" t="s">
        <v>92</v>
      </c>
      <c r="B66" s="17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s="17" t="s">
        <v>93</v>
      </c>
      <c r="B67" s="17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s="17" t="s">
        <v>94</v>
      </c>
      <c r="B68" s="17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s="17" t="s">
        <v>96</v>
      </c>
      <c r="B69" s="17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s="17" t="s">
        <v>97</v>
      </c>
      <c r="B70" s="17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s="17" t="s">
        <v>98</v>
      </c>
      <c r="B71" s="17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s="17" t="s">
        <v>99</v>
      </c>
      <c r="B72" s="17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s="17" t="s">
        <v>101</v>
      </c>
      <c r="B73" s="17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s="17" t="s">
        <v>102</v>
      </c>
      <c r="B74" s="17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s="17" t="s">
        <v>103</v>
      </c>
      <c r="B75" s="17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s="17" t="s">
        <v>105</v>
      </c>
      <c r="B76" s="17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s="17" t="s">
        <v>106</v>
      </c>
      <c r="B77" s="17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s="17" t="s">
        <v>107</v>
      </c>
      <c r="B78" s="17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s="17" t="s">
        <v>109</v>
      </c>
      <c r="B79" s="17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s="17" t="s">
        <v>110</v>
      </c>
      <c r="B80" s="17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s="17" t="s">
        <v>111</v>
      </c>
      <c r="B81" s="17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s="17" t="s">
        <v>113</v>
      </c>
      <c r="B82" s="17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s="17" t="s">
        <v>114</v>
      </c>
      <c r="B83" s="17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s="17" t="s">
        <v>116</v>
      </c>
      <c r="B84" s="17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s="17" t="s">
        <v>117</v>
      </c>
      <c r="B85" s="17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s="17" t="s">
        <v>118</v>
      </c>
      <c r="B86" s="17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s="17" t="s">
        <v>119</v>
      </c>
      <c r="B87" s="17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s="17" t="s">
        <v>122</v>
      </c>
      <c r="B88" s="17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s="17" t="s">
        <v>123</v>
      </c>
      <c r="B89" s="17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s="17" t="s">
        <v>124</v>
      </c>
      <c r="B90" s="17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s="17" t="s">
        <v>126</v>
      </c>
      <c r="B91" s="17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s="17" t="s">
        <v>127</v>
      </c>
      <c r="B92" s="17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s="17" t="s">
        <v>129</v>
      </c>
      <c r="B93" s="17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s="17" t="s">
        <v>130</v>
      </c>
      <c r="B94" s="17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s="17" t="s">
        <v>131</v>
      </c>
      <c r="B95" s="17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s="17" t="s">
        <v>132</v>
      </c>
      <c r="B96" s="17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s="17" t="s">
        <v>133</v>
      </c>
      <c r="B97" s="17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s="17" t="s">
        <v>134</v>
      </c>
      <c r="B98" s="17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s="17" t="s">
        <v>136</v>
      </c>
      <c r="B99" s="17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s="17" t="s">
        <v>138</v>
      </c>
      <c r="B100" s="17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s="17" t="s">
        <v>139</v>
      </c>
      <c r="B101" s="17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s="17" t="s">
        <v>141</v>
      </c>
      <c r="B102" s="17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s="17" t="s">
        <v>142</v>
      </c>
      <c r="B103" s="17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s="17" t="s">
        <v>143</v>
      </c>
      <c r="B104" s="17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s="17" t="s">
        <v>144</v>
      </c>
      <c r="B105" s="17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s="17" t="s">
        <v>145</v>
      </c>
      <c r="B106" s="17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s="17" t="s">
        <v>146</v>
      </c>
      <c r="B107" s="17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s="17" t="s">
        <v>148</v>
      </c>
      <c r="B108" s="17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s="17" t="s">
        <v>149</v>
      </c>
      <c r="B109" s="17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s="17" t="s">
        <v>151</v>
      </c>
      <c r="B110" s="17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s="17" t="s">
        <v>153</v>
      </c>
      <c r="B111" s="17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s="17" t="s">
        <v>154</v>
      </c>
      <c r="B112" s="17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s="17" t="s">
        <v>155</v>
      </c>
      <c r="B113" s="17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s="17" t="s">
        <v>156</v>
      </c>
      <c r="B114" s="17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s="17" t="s">
        <v>157</v>
      </c>
      <c r="B115" s="17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s="17" t="s">
        <v>158</v>
      </c>
      <c r="B116" s="17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s="17" t="s">
        <v>159</v>
      </c>
      <c r="B117" s="17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s="17" t="s">
        <v>160</v>
      </c>
      <c r="B118" s="17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s="17" t="s">
        <v>161</v>
      </c>
      <c r="B119" s="17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s="17" t="s">
        <v>162</v>
      </c>
      <c r="B120" s="17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s="17" t="s">
        <v>163</v>
      </c>
      <c r="B121" s="17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s="17" t="s">
        <v>164</v>
      </c>
      <c r="B122" s="17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s="17" t="s">
        <v>166</v>
      </c>
      <c r="B123" s="17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s="17" t="s">
        <v>167</v>
      </c>
      <c r="B124" s="17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s="17" t="s">
        <v>169</v>
      </c>
      <c r="B125" s="17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s="17" t="s">
        <v>170</v>
      </c>
      <c r="B126" s="17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s="17" t="s">
        <v>171</v>
      </c>
      <c r="B127" s="17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s="17" t="s">
        <v>172</v>
      </c>
      <c r="B128" s="17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s="17" t="s">
        <v>173</v>
      </c>
      <c r="B129" s="17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s="17" t="s">
        <v>174</v>
      </c>
      <c r="B130" s="17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s="17" t="s">
        <v>176</v>
      </c>
      <c r="B131" s="17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s="17" t="s">
        <v>177</v>
      </c>
      <c r="B132" s="17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s="17" t="s">
        <v>178</v>
      </c>
      <c r="B133" s="17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s="17" t="s">
        <v>179</v>
      </c>
      <c r="B134" s="17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s="17" t="s">
        <v>180</v>
      </c>
      <c r="B135" s="17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s="17" t="s">
        <v>181</v>
      </c>
      <c r="B136" s="17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s="17" t="s">
        <v>182</v>
      </c>
      <c r="B137" s="17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s="17" t="s">
        <v>183</v>
      </c>
      <c r="B138" s="17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s="17" t="s">
        <v>184</v>
      </c>
      <c r="B139" s="17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s="17" t="s">
        <v>185</v>
      </c>
      <c r="B140" s="17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s="17" t="s">
        <v>186</v>
      </c>
      <c r="B141" s="17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s="17" t="s">
        <v>187</v>
      </c>
      <c r="B142" s="17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s="17" t="s">
        <v>189</v>
      </c>
      <c r="B143" s="17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s="17" t="s">
        <v>191</v>
      </c>
      <c r="B144" s="17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s="17" t="s">
        <v>192</v>
      </c>
      <c r="B145" s="17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s="17" t="s">
        <v>193</v>
      </c>
      <c r="B146" s="17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s="17" t="s">
        <v>194</v>
      </c>
      <c r="B147" s="17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s="17" t="s">
        <v>195</v>
      </c>
      <c r="B148" s="17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s="17" t="s">
        <v>196</v>
      </c>
      <c r="B149" s="17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s="17" t="s">
        <v>197</v>
      </c>
      <c r="B150" s="17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s="17" t="s">
        <v>198</v>
      </c>
      <c r="B151" s="17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s="17" t="s">
        <v>199</v>
      </c>
      <c r="B152" s="17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s="17" t="s">
        <v>200</v>
      </c>
      <c r="B153" s="17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s="17" t="s">
        <v>201</v>
      </c>
      <c r="B154" s="17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s="17" t="s">
        <v>202</v>
      </c>
      <c r="B155" s="17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s="17" t="s">
        <v>203</v>
      </c>
      <c r="B156" s="17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s="17" t="s">
        <v>788</v>
      </c>
      <c r="B157" s="17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s="17" t="s">
        <v>204</v>
      </c>
      <c r="B158" s="17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s="17" t="s">
        <v>205</v>
      </c>
      <c r="B159" s="17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s="17" t="s">
        <v>206</v>
      </c>
      <c r="B160" s="17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s="17" t="s">
        <v>207</v>
      </c>
      <c r="B161" s="17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s="17" t="s">
        <v>208</v>
      </c>
      <c r="B162" s="17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s="17" t="s">
        <v>209</v>
      </c>
      <c r="B163" s="17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s="17" t="s">
        <v>210</v>
      </c>
      <c r="B164" s="17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s="17" t="s">
        <v>789</v>
      </c>
      <c r="B165" s="17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s="17" t="s">
        <v>211</v>
      </c>
      <c r="B166" s="17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s="17" t="s">
        <v>212</v>
      </c>
      <c r="B167" s="17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s="17" t="s">
        <v>213</v>
      </c>
      <c r="B168" s="17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s="17" t="s">
        <v>214</v>
      </c>
      <c r="B169" s="17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s="17" t="s">
        <v>215</v>
      </c>
      <c r="B170" s="17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s="17" t="s">
        <v>216</v>
      </c>
      <c r="B171" s="17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s="17" t="s">
        <v>217</v>
      </c>
      <c r="B172" s="17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s="17" t="s">
        <v>218</v>
      </c>
      <c r="B173" s="17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s="17" t="s">
        <v>219</v>
      </c>
      <c r="B174" s="17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s="17" t="s">
        <v>220</v>
      </c>
      <c r="B175" s="17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s="17" t="s">
        <v>221</v>
      </c>
      <c r="B176" s="17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s="17" t="s">
        <v>222</v>
      </c>
      <c r="B177" s="17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s="17" t="s">
        <v>223</v>
      </c>
      <c r="B178" s="17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s="17" t="s">
        <v>224</v>
      </c>
      <c r="B179" s="17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s="17" t="s">
        <v>225</v>
      </c>
      <c r="B180" s="17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s="17" t="s">
        <v>226</v>
      </c>
      <c r="B181" s="17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s="17" t="s">
        <v>227</v>
      </c>
      <c r="B182" s="17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s="17" t="s">
        <v>228</v>
      </c>
      <c r="B183" s="17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s="17" t="s">
        <v>229</v>
      </c>
      <c r="B184" s="17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s="17" t="s">
        <v>230</v>
      </c>
      <c r="B185" s="17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s="17" t="s">
        <v>231</v>
      </c>
      <c r="B186" s="17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s="17" t="s">
        <v>232</v>
      </c>
      <c r="B187" s="17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s="17" t="s">
        <v>233</v>
      </c>
      <c r="B188" s="17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s="17" t="s">
        <v>234</v>
      </c>
      <c r="B189" s="17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s="17" t="s">
        <v>235</v>
      </c>
      <c r="B190" s="17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s="17" t="s">
        <v>236</v>
      </c>
      <c r="B191" s="17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s="17" t="s">
        <v>237</v>
      </c>
      <c r="B192" s="17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s="17" t="s">
        <v>238</v>
      </c>
      <c r="B193" s="17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s="17" t="s">
        <v>239</v>
      </c>
      <c r="B194" s="17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s="17" t="s">
        <v>240</v>
      </c>
      <c r="B195" s="17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s="17" t="s">
        <v>242</v>
      </c>
      <c r="B196" s="17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s="17" t="s">
        <v>243</v>
      </c>
      <c r="B197" s="17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s="17" t="s">
        <v>244</v>
      </c>
      <c r="B198" s="17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s="17" t="s">
        <v>245</v>
      </c>
      <c r="B199" s="17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s="17" t="s">
        <v>246</v>
      </c>
      <c r="B200" s="17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s="17" t="s">
        <v>248</v>
      </c>
      <c r="B201" s="17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s="17" t="s">
        <v>249</v>
      </c>
      <c r="B202" s="17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s="17" t="s">
        <v>250</v>
      </c>
      <c r="B203" s="17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s="17" t="s">
        <v>251</v>
      </c>
      <c r="B204" s="17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s="17" t="s">
        <v>253</v>
      </c>
      <c r="B205" s="17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s="17" t="s">
        <v>254</v>
      </c>
      <c r="B206" s="17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s="17" t="s">
        <v>255</v>
      </c>
      <c r="B207" s="17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s="17" t="s">
        <v>256</v>
      </c>
      <c r="B208" s="17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s="17" t="s">
        <v>258</v>
      </c>
      <c r="B209" s="17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s="17" t="s">
        <v>259</v>
      </c>
      <c r="B210" s="17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s="17" t="s">
        <v>261</v>
      </c>
      <c r="B211" s="17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s="17" t="s">
        <v>262</v>
      </c>
      <c r="B212" s="17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s="17" t="s">
        <v>263</v>
      </c>
      <c r="B213" s="17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s="17" t="s">
        <v>264</v>
      </c>
      <c r="B214" s="17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s="17" t="s">
        <v>265</v>
      </c>
      <c r="B215" s="17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s="17" t="s">
        <v>266</v>
      </c>
      <c r="B216" s="17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s="17" t="s">
        <v>268</v>
      </c>
      <c r="B217" s="17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s="17" t="s">
        <v>269</v>
      </c>
      <c r="B218" s="17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s="17" t="s">
        <v>270</v>
      </c>
      <c r="B219" s="17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s="17" t="s">
        <v>271</v>
      </c>
      <c r="B220" s="17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s="17" t="s">
        <v>272</v>
      </c>
      <c r="B221" s="17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s="17" t="s">
        <v>273</v>
      </c>
      <c r="B222" s="17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s="17" t="s">
        <v>274</v>
      </c>
      <c r="B223" s="17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s="17" t="s">
        <v>854</v>
      </c>
      <c r="B224" s="17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s="17" t="s">
        <v>276</v>
      </c>
      <c r="B225" s="17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s="17" t="s">
        <v>277</v>
      </c>
      <c r="B226" s="17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s="17" t="s">
        <v>278</v>
      </c>
      <c r="B227" s="17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s="17" t="s">
        <v>279</v>
      </c>
      <c r="B228" s="17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s="17" t="s">
        <v>281</v>
      </c>
      <c r="B229" s="17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s="17" t="s">
        <v>282</v>
      </c>
      <c r="B230" s="17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s="17" t="s">
        <v>283</v>
      </c>
      <c r="B231" s="17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s="17" t="s">
        <v>284</v>
      </c>
      <c r="B232" s="17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s="17" t="s">
        <v>285</v>
      </c>
      <c r="B233" s="17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s="17" t="s">
        <v>286</v>
      </c>
      <c r="B234" s="17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s="17" t="s">
        <v>287</v>
      </c>
      <c r="B235" s="17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s="17" t="s">
        <v>288</v>
      </c>
      <c r="B236" s="17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s="17" t="s">
        <v>290</v>
      </c>
      <c r="B237" s="17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s="17" t="s">
        <v>291</v>
      </c>
      <c r="B238" s="17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s="17" t="s">
        <v>292</v>
      </c>
      <c r="B239" s="17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s="17" t="s">
        <v>293</v>
      </c>
      <c r="B240" s="17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s="17" t="s">
        <v>294</v>
      </c>
      <c r="B241" s="17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s="17" t="s">
        <v>295</v>
      </c>
      <c r="B242" s="17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s="17" t="s">
        <v>296</v>
      </c>
      <c r="B243" s="17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s="17" t="s">
        <v>298</v>
      </c>
      <c r="B244" s="17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s="17" t="s">
        <v>299</v>
      </c>
      <c r="B245" s="17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s="17" t="s">
        <v>300</v>
      </c>
      <c r="B246" s="17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s="17" t="s">
        <v>302</v>
      </c>
      <c r="B247" s="17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s="17" t="s">
        <v>303</v>
      </c>
      <c r="B248" s="17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s="17" t="s">
        <v>304</v>
      </c>
      <c r="B249" s="17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s="17" t="s">
        <v>306</v>
      </c>
      <c r="B250" s="17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s="17" t="s">
        <v>307</v>
      </c>
      <c r="B251" s="17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s="17" t="s">
        <v>308</v>
      </c>
      <c r="B252" s="17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s="17" t="s">
        <v>309</v>
      </c>
      <c r="B253" s="17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s="17" t="s">
        <v>310</v>
      </c>
      <c r="B254" s="17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s="17" t="s">
        <v>311</v>
      </c>
      <c r="B255" s="17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s="17" t="s">
        <v>312</v>
      </c>
      <c r="B256" s="17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s="17" t="s">
        <v>313</v>
      </c>
      <c r="B257" s="17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s="17" t="s">
        <v>314</v>
      </c>
      <c r="B258" s="17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s="17" t="s">
        <v>315</v>
      </c>
      <c r="B259" s="17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s="17" t="s">
        <v>316</v>
      </c>
      <c r="B260" s="17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s="17" t="s">
        <v>317</v>
      </c>
      <c r="B261" s="17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s="17" t="s">
        <v>318</v>
      </c>
      <c r="B262" s="17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s="17" t="s">
        <v>319</v>
      </c>
      <c r="B263" s="17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s="17" t="s">
        <v>320</v>
      </c>
      <c r="B264" s="17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s="17" t="s">
        <v>321</v>
      </c>
      <c r="B265" s="17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s="17" t="s">
        <v>322</v>
      </c>
      <c r="B266" s="17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s="17" t="s">
        <v>324</v>
      </c>
      <c r="B267" s="17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s="17" t="s">
        <v>894</v>
      </c>
      <c r="B268" s="17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s="17" t="s">
        <v>326</v>
      </c>
      <c r="B269" s="17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s="17" t="s">
        <v>327</v>
      </c>
      <c r="B270" s="17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s="17" t="s">
        <v>328</v>
      </c>
      <c r="B271" s="17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s="17" t="s">
        <v>329</v>
      </c>
      <c r="B272" s="17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s="17" t="s">
        <v>330</v>
      </c>
      <c r="B273" s="17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s="17" t="s">
        <v>331</v>
      </c>
      <c r="B274" s="17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s="17" t="s">
        <v>332</v>
      </c>
      <c r="B275" s="17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s="17" t="s">
        <v>333</v>
      </c>
      <c r="B276" s="17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s="17" t="s">
        <v>334</v>
      </c>
      <c r="B277" s="17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s="17" t="s">
        <v>335</v>
      </c>
      <c r="B278" s="17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s="17" t="s">
        <v>337</v>
      </c>
      <c r="B279" s="17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s="17" t="s">
        <v>867</v>
      </c>
      <c r="B280" s="17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s="17" t="s">
        <v>868</v>
      </c>
      <c r="B281" s="17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s="17" t="s">
        <v>869</v>
      </c>
      <c r="B282" s="17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s="17" t="s">
        <v>338</v>
      </c>
      <c r="B283" s="17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s="17" t="s">
        <v>339</v>
      </c>
      <c r="B284" s="17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s="17" t="s">
        <v>340</v>
      </c>
      <c r="B285" s="17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s="17" t="s">
        <v>341</v>
      </c>
      <c r="B286" s="17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s="17" t="s">
        <v>342</v>
      </c>
      <c r="B287" s="17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s="17" t="s">
        <v>343</v>
      </c>
      <c r="B288" s="17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s="17" t="s">
        <v>344</v>
      </c>
      <c r="B289" s="17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s="17" t="s">
        <v>345</v>
      </c>
      <c r="B290" s="17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s="17" t="s">
        <v>346</v>
      </c>
      <c r="B291" s="17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s="17" t="s">
        <v>347</v>
      </c>
      <c r="B292" s="17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s="17" t="s">
        <v>348</v>
      </c>
      <c r="B293" s="17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s="17" t="s">
        <v>349</v>
      </c>
      <c r="B294" s="17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s="17" t="s">
        <v>350</v>
      </c>
      <c r="B295" s="17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s="17" t="s">
        <v>351</v>
      </c>
      <c r="B296" s="17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s="17" t="s">
        <v>352</v>
      </c>
      <c r="B297" s="17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s="17" t="s">
        <v>353</v>
      </c>
      <c r="B298" s="17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s="17" t="s">
        <v>354</v>
      </c>
      <c r="B299" s="17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s="17" t="s">
        <v>355</v>
      </c>
      <c r="B300" s="17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s="17" t="s">
        <v>356</v>
      </c>
      <c r="B301" s="17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s="17" t="s">
        <v>357</v>
      </c>
      <c r="B302" s="17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s="17" t="s">
        <v>358</v>
      </c>
      <c r="B303" s="17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s="17" t="s">
        <v>359</v>
      </c>
      <c r="B304" s="17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s="17" t="s">
        <v>361</v>
      </c>
      <c r="B305" s="17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s="17" t="s">
        <v>362</v>
      </c>
      <c r="B306" s="17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s="17" t="s">
        <v>363</v>
      </c>
      <c r="B307" s="17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s="17" t="s">
        <v>364</v>
      </c>
      <c r="B308" s="17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s="17" t="s">
        <v>365</v>
      </c>
      <c r="B309" s="17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s="17" t="s">
        <v>366</v>
      </c>
      <c r="B310" s="17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s="17" t="s">
        <v>943</v>
      </c>
      <c r="B311" s="17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s="17" t="s">
        <v>368</v>
      </c>
      <c r="B312" s="17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s="17" t="s">
        <v>369</v>
      </c>
      <c r="B313" s="17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s="17" t="s">
        <v>370</v>
      </c>
      <c r="B314" s="17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s="17" t="s">
        <v>371</v>
      </c>
      <c r="B315" s="17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s="17" t="s">
        <v>372</v>
      </c>
      <c r="B316" s="17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s="17" t="s">
        <v>373</v>
      </c>
      <c r="B317" s="17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s="17" t="s">
        <v>374</v>
      </c>
      <c r="B318" s="17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s="17" t="s">
        <v>375</v>
      </c>
      <c r="B319" s="17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s="17" t="s">
        <v>376</v>
      </c>
      <c r="B320" s="17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s="17" t="s">
        <v>377</v>
      </c>
      <c r="B321" s="17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s="17" t="s">
        <v>378</v>
      </c>
      <c r="B322" s="17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s="17" t="s">
        <v>379</v>
      </c>
      <c r="B323" s="17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s="17" t="s">
        <v>380</v>
      </c>
      <c r="B324" s="17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s="17" t="s">
        <v>790</v>
      </c>
      <c r="B325" s="17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s="17" t="s">
        <v>381</v>
      </c>
      <c r="B326" s="17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s="17" t="s">
        <v>382</v>
      </c>
      <c r="B327" s="17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s="17" t="s">
        <v>384</v>
      </c>
      <c r="B328" s="17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s="17" t="s">
        <v>386</v>
      </c>
      <c r="B329" s="17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s="17" t="s">
        <v>387</v>
      </c>
      <c r="B330" s="17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s="17" t="s">
        <v>388</v>
      </c>
      <c r="B331" s="17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s="17" t="s">
        <v>389</v>
      </c>
      <c r="B332" s="17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s="17" t="s">
        <v>390</v>
      </c>
      <c r="B333" s="17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s="17" t="s">
        <v>392</v>
      </c>
      <c r="B334" s="17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s="17" t="s">
        <v>393</v>
      </c>
      <c r="B335" s="17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s="17" t="s">
        <v>394</v>
      </c>
      <c r="B336" s="17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s="17" t="s">
        <v>395</v>
      </c>
      <c r="B337" s="17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s="17" t="s">
        <v>396</v>
      </c>
      <c r="B338" s="17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s="17" t="s">
        <v>398</v>
      </c>
      <c r="B339" s="17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s="17" t="s">
        <v>399</v>
      </c>
      <c r="B340" s="17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s="17" t="s">
        <v>400</v>
      </c>
      <c r="B341" s="17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s="17" t="s">
        <v>402</v>
      </c>
      <c r="B342" s="17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s="17" t="s">
        <v>403</v>
      </c>
      <c r="B343" s="17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s="17" t="s">
        <v>895</v>
      </c>
      <c r="B344" s="17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s="17" t="s">
        <v>896</v>
      </c>
      <c r="B345" s="17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s="17" t="s">
        <v>404</v>
      </c>
      <c r="B346" s="17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s="17" t="s">
        <v>405</v>
      </c>
      <c r="B347" s="17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s="17" t="s">
        <v>406</v>
      </c>
      <c r="B348" s="17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s="17" t="s">
        <v>407</v>
      </c>
      <c r="B349" s="17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s="17" t="s">
        <v>855</v>
      </c>
      <c r="B350" s="17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s="17" t="s">
        <v>856</v>
      </c>
      <c r="B351" s="17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s="17" t="s">
        <v>1152</v>
      </c>
      <c r="B352" s="17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s="17" t="s">
        <v>1153</v>
      </c>
      <c r="B353" s="17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s="17" t="s">
        <v>1154</v>
      </c>
      <c r="B354" s="17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s="17" t="s">
        <v>408</v>
      </c>
      <c r="B355" s="17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s="17" t="s">
        <v>944</v>
      </c>
      <c r="B356" s="17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s="17" t="s">
        <v>945</v>
      </c>
      <c r="B357" s="17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s="17" t="s">
        <v>410</v>
      </c>
      <c r="B358" s="17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s="17" t="s">
        <v>411</v>
      </c>
      <c r="B359" s="17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s="17" t="s">
        <v>1261</v>
      </c>
      <c r="B360" s="17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s="17" t="s">
        <v>830</v>
      </c>
      <c r="B361" s="17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s="17" t="s">
        <v>831</v>
      </c>
      <c r="B362" s="17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s="17" t="s">
        <v>412</v>
      </c>
      <c r="B363" s="17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s="17" t="s">
        <v>413</v>
      </c>
      <c r="B364" s="17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s="17" t="s">
        <v>414</v>
      </c>
      <c r="B365" s="17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s="17" t="s">
        <v>415</v>
      </c>
      <c r="B366" s="17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s="17" t="s">
        <v>416</v>
      </c>
      <c r="B367" s="17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s="17" t="s">
        <v>417</v>
      </c>
      <c r="B368" s="17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s="17" t="s">
        <v>418</v>
      </c>
      <c r="B369" s="17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s="17" t="s">
        <v>799</v>
      </c>
      <c r="B370" s="17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s="17" t="s">
        <v>800</v>
      </c>
      <c r="B371" s="17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s="17" t="s">
        <v>801</v>
      </c>
      <c r="B372" s="17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s="17" t="s">
        <v>802</v>
      </c>
      <c r="B373" s="17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s="17" t="s">
        <v>803</v>
      </c>
      <c r="B374" s="17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s="17" t="s">
        <v>419</v>
      </c>
      <c r="B375" s="17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s="17" t="s">
        <v>805</v>
      </c>
      <c r="B376" s="17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s="17" t="s">
        <v>420</v>
      </c>
      <c r="B377" s="17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s="17" t="s">
        <v>421</v>
      </c>
      <c r="B378" s="17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s="17" t="s">
        <v>422</v>
      </c>
      <c r="B379" s="17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s="17" t="s">
        <v>423</v>
      </c>
      <c r="B380" s="17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s="17" t="s">
        <v>424</v>
      </c>
      <c r="B381" s="17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s="17" t="s">
        <v>425</v>
      </c>
      <c r="B382" s="17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s="17" t="s">
        <v>1059</v>
      </c>
      <c r="B383" s="17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s="17" t="s">
        <v>426</v>
      </c>
      <c r="B384" s="17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s="17" t="s">
        <v>1060</v>
      </c>
      <c r="B385" s="17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s="17" t="s">
        <v>1061</v>
      </c>
      <c r="B386" s="17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s="17" t="s">
        <v>1062</v>
      </c>
      <c r="B387" s="17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s="17" t="s">
        <v>427</v>
      </c>
      <c r="B388" s="17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s="17" t="s">
        <v>1080</v>
      </c>
      <c r="B389" s="17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s="17" t="s">
        <v>428</v>
      </c>
      <c r="B390" s="17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s="17" t="s">
        <v>430</v>
      </c>
      <c r="B391" s="17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s="17" t="s">
        <v>431</v>
      </c>
      <c r="B392" s="17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s="17" t="s">
        <v>432</v>
      </c>
      <c r="B393" s="17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s="17" t="s">
        <v>433</v>
      </c>
      <c r="B394" s="17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s="17" t="s">
        <v>434</v>
      </c>
      <c r="B395" s="17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s="17" t="s">
        <v>435</v>
      </c>
      <c r="B396" s="17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s="17" t="s">
        <v>436</v>
      </c>
      <c r="B397" s="17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s="17" t="s">
        <v>437</v>
      </c>
      <c r="B398" s="17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s="17" t="s">
        <v>438</v>
      </c>
      <c r="B399" s="17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s="17" t="s">
        <v>439</v>
      </c>
      <c r="B400" s="17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s="17" t="s">
        <v>440</v>
      </c>
      <c r="B401" s="17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s="17" t="s">
        <v>441</v>
      </c>
      <c r="B402" s="17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s="17" t="s">
        <v>442</v>
      </c>
      <c r="B403" s="17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s="17" t="s">
        <v>443</v>
      </c>
      <c r="B404" s="17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s="17" t="s">
        <v>444</v>
      </c>
      <c r="B405" s="17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s="17" t="s">
        <v>445</v>
      </c>
      <c r="B406" s="17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s="17" t="s">
        <v>446</v>
      </c>
      <c r="B407" s="17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s="17" t="s">
        <v>447</v>
      </c>
      <c r="B408" s="17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s="17" t="s">
        <v>448</v>
      </c>
      <c r="B409" s="17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s="17" t="s">
        <v>449</v>
      </c>
      <c r="B410" s="17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s="17" t="s">
        <v>450</v>
      </c>
      <c r="B411" s="17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s="17" t="s">
        <v>451</v>
      </c>
      <c r="B412" s="17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s="17" t="s">
        <v>453</v>
      </c>
      <c r="B413" s="17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s="17" t="s">
        <v>454</v>
      </c>
      <c r="B414" s="17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s="17" t="s">
        <v>455</v>
      </c>
      <c r="B415" s="17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s="17" t="s">
        <v>791</v>
      </c>
      <c r="B416" s="17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s="17" t="s">
        <v>456</v>
      </c>
      <c r="B417" s="17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s="17" t="s">
        <v>457</v>
      </c>
      <c r="B418" s="17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s="17" t="s">
        <v>458</v>
      </c>
      <c r="B419" s="17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s="17" t="s">
        <v>459</v>
      </c>
      <c r="B420" s="17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s="17" t="s">
        <v>460</v>
      </c>
      <c r="B421" s="17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s="17" t="s">
        <v>461</v>
      </c>
      <c r="B422" s="17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s="17" t="s">
        <v>462</v>
      </c>
      <c r="B423" s="17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s="17" t="s">
        <v>463</v>
      </c>
      <c r="B424" s="17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s="17" t="s">
        <v>464</v>
      </c>
      <c r="B425" s="17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s="17" t="s">
        <v>465</v>
      </c>
      <c r="B426" s="17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s="17" t="s">
        <v>466</v>
      </c>
      <c r="B427" s="17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s="17" t="s">
        <v>468</v>
      </c>
      <c r="B428" s="17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s="17" t="s">
        <v>470</v>
      </c>
      <c r="B429" s="17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s="17" t="s">
        <v>471</v>
      </c>
      <c r="B430" s="17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s="17" t="s">
        <v>472</v>
      </c>
      <c r="B431" s="17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s="17" t="s">
        <v>473</v>
      </c>
      <c r="B432" s="17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s="17" t="s">
        <v>474</v>
      </c>
      <c r="B433" s="17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s="17" t="s">
        <v>475</v>
      </c>
      <c r="B434" s="17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s="17" t="s">
        <v>476</v>
      </c>
      <c r="B435" s="17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s="17" t="s">
        <v>478</v>
      </c>
      <c r="B436" s="17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s="17" t="s">
        <v>479</v>
      </c>
      <c r="B437" s="17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s="17" t="s">
        <v>480</v>
      </c>
      <c r="B438" s="17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s="17" t="s">
        <v>481</v>
      </c>
      <c r="B439" s="17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s="17" t="s">
        <v>1262</v>
      </c>
      <c r="B440" s="17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s="17" t="s">
        <v>482</v>
      </c>
      <c r="B441" s="17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s="17" t="s">
        <v>483</v>
      </c>
      <c r="B442" s="17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s="17" t="s">
        <v>946</v>
      </c>
      <c r="B443" s="17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s="17" t="s">
        <v>484</v>
      </c>
      <c r="B444" s="17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s="17" t="s">
        <v>485</v>
      </c>
      <c r="B445" s="17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s="17" t="s">
        <v>486</v>
      </c>
      <c r="B446" s="17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s="17" t="s">
        <v>487</v>
      </c>
      <c r="B447" s="17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s="17" t="s">
        <v>488</v>
      </c>
      <c r="B448" s="17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s="17" t="s">
        <v>489</v>
      </c>
      <c r="B449" s="17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s="17" t="s">
        <v>490</v>
      </c>
      <c r="B450" s="17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s="17" t="s">
        <v>491</v>
      </c>
      <c r="B451" s="17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s="17" t="s">
        <v>492</v>
      </c>
      <c r="B452" s="17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s="17" t="s">
        <v>493</v>
      </c>
      <c r="B453" s="17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s="17" t="s">
        <v>494</v>
      </c>
      <c r="B454" s="17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s="17" t="s">
        <v>495</v>
      </c>
      <c r="B455" s="17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s="17" t="s">
        <v>496</v>
      </c>
      <c r="B456" s="17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s="17" t="s">
        <v>1081</v>
      </c>
      <c r="B457" s="17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s="17" t="s">
        <v>1275</v>
      </c>
      <c r="B458" s="17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s="17" t="s">
        <v>897</v>
      </c>
      <c r="B459" s="17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s="17" t="s">
        <v>497</v>
      </c>
      <c r="B460" s="17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s="17" t="s">
        <v>498</v>
      </c>
      <c r="B461" s="17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s="17" t="s">
        <v>499</v>
      </c>
      <c r="B462" s="17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s="17" t="s">
        <v>500</v>
      </c>
      <c r="B463" s="17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s="17" t="s">
        <v>792</v>
      </c>
      <c r="B464" s="17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s="17" t="s">
        <v>501</v>
      </c>
      <c r="B465" s="17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s="17" t="s">
        <v>502</v>
      </c>
      <c r="B466" s="17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s="17" t="s">
        <v>503</v>
      </c>
      <c r="B467" s="17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s="17" t="s">
        <v>505</v>
      </c>
      <c r="B468" s="17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s="17" t="s">
        <v>506</v>
      </c>
      <c r="B469" s="17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s="17" t="s">
        <v>508</v>
      </c>
      <c r="B470" s="17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s="17" t="s">
        <v>509</v>
      </c>
      <c r="B471" s="17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s="17" t="s">
        <v>510</v>
      </c>
      <c r="B472" s="17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s="17" t="s">
        <v>511</v>
      </c>
      <c r="B473" s="17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s="17" t="s">
        <v>512</v>
      </c>
      <c r="B474" s="17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s="17" t="s">
        <v>513</v>
      </c>
      <c r="B475" s="17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s="17" t="s">
        <v>514</v>
      </c>
      <c r="B476" s="17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s="17" t="s">
        <v>515</v>
      </c>
      <c r="B477" s="17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s="17" t="s">
        <v>516</v>
      </c>
      <c r="B478" s="17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s="17" t="s">
        <v>518</v>
      </c>
      <c r="B479" s="17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s="17" t="s">
        <v>519</v>
      </c>
      <c r="B480" s="17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s="17" t="s">
        <v>520</v>
      </c>
      <c r="B481" s="17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s="17" t="s">
        <v>521</v>
      </c>
      <c r="B482" s="17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s="17" t="s">
        <v>523</v>
      </c>
      <c r="B483" s="17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s="17" t="s">
        <v>524</v>
      </c>
      <c r="B484" s="17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s="17" t="s">
        <v>525</v>
      </c>
      <c r="B485" s="17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s="17" t="s">
        <v>527</v>
      </c>
      <c r="B486" s="17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s="17" t="s">
        <v>528</v>
      </c>
      <c r="B487" s="17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s="17" t="s">
        <v>832</v>
      </c>
      <c r="B488" s="17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s="17" t="s">
        <v>529</v>
      </c>
      <c r="B489" s="17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s="17" t="s">
        <v>530</v>
      </c>
      <c r="B490" s="17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s="17" t="s">
        <v>531</v>
      </c>
      <c r="B491" s="17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s="17" t="s">
        <v>532</v>
      </c>
      <c r="B492" s="17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s="17" t="s">
        <v>533</v>
      </c>
      <c r="B493" s="17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s="17" t="s">
        <v>534</v>
      </c>
      <c r="B494" s="17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s="17" t="s">
        <v>535</v>
      </c>
      <c r="B495" s="17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s="17" t="s">
        <v>1155</v>
      </c>
      <c r="B496" s="17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s="17" t="s">
        <v>537</v>
      </c>
      <c r="B497" s="17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s="17" t="s">
        <v>538</v>
      </c>
      <c r="B498" s="17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s="17" t="s">
        <v>539</v>
      </c>
      <c r="B499" s="17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s="17" t="s">
        <v>540</v>
      </c>
      <c r="B500" s="17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s="17" t="s">
        <v>541</v>
      </c>
      <c r="B501" s="17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s="17" t="s">
        <v>542</v>
      </c>
      <c r="B502" s="17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s="17" t="s">
        <v>1439</v>
      </c>
      <c r="B503" s="17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s="17" t="s">
        <v>543</v>
      </c>
      <c r="B504" s="17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s="17" t="s">
        <v>544</v>
      </c>
      <c r="B505" s="17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s="17" t="s">
        <v>545</v>
      </c>
      <c r="B506" s="17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s="17" t="s">
        <v>546</v>
      </c>
      <c r="B507" s="17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s="17" t="s">
        <v>898</v>
      </c>
      <c r="B508" s="17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s="17" t="s">
        <v>547</v>
      </c>
      <c r="B509" s="17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s="17" t="s">
        <v>548</v>
      </c>
      <c r="B510" s="17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s="17" t="s">
        <v>947</v>
      </c>
      <c r="B511" s="17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s="17" t="s">
        <v>549</v>
      </c>
      <c r="B512" s="17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s="17" t="s">
        <v>550</v>
      </c>
      <c r="B513" s="17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s="17" t="s">
        <v>552</v>
      </c>
      <c r="B514" s="17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s="17" t="s">
        <v>554</v>
      </c>
      <c r="B515" s="17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s="17" t="s">
        <v>555</v>
      </c>
      <c r="B516" s="17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s="17" t="s">
        <v>556</v>
      </c>
      <c r="B517" s="17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s="17" t="s">
        <v>557</v>
      </c>
      <c r="B518" s="17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s="17" t="s">
        <v>558</v>
      </c>
      <c r="B519" s="17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s="17" t="s">
        <v>559</v>
      </c>
      <c r="B520" s="17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s="17" t="s">
        <v>560</v>
      </c>
      <c r="B521" s="17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s="17" t="s">
        <v>562</v>
      </c>
      <c r="B522" s="17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s="17" t="s">
        <v>563</v>
      </c>
      <c r="B523" s="17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s="17" t="s">
        <v>564</v>
      </c>
      <c r="B524" s="17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s="17" t="s">
        <v>565</v>
      </c>
      <c r="B525" s="17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s="17" t="s">
        <v>1276</v>
      </c>
      <c r="B526" s="17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s="17" t="s">
        <v>567</v>
      </c>
      <c r="B527" s="17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s="17" t="s">
        <v>833</v>
      </c>
      <c r="B528" s="17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s="17" t="s">
        <v>568</v>
      </c>
      <c r="B529" s="17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s="17" t="s">
        <v>569</v>
      </c>
      <c r="B530" s="17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s="17" t="s">
        <v>570</v>
      </c>
      <c r="B531" s="17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s="17" t="s">
        <v>1371</v>
      </c>
      <c r="B532" s="17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s="17" t="s">
        <v>571</v>
      </c>
      <c r="B533" s="17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s="17" t="s">
        <v>572</v>
      </c>
      <c r="B534" s="17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s="17" t="s">
        <v>573</v>
      </c>
      <c r="B535" s="17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s="17" t="s">
        <v>574</v>
      </c>
      <c r="B536" s="17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s="17" t="s">
        <v>575</v>
      </c>
      <c r="B537" s="17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s="17" t="s">
        <v>576</v>
      </c>
      <c r="B538" s="17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s="17" t="s">
        <v>577</v>
      </c>
      <c r="B539" s="17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s="17" t="s">
        <v>579</v>
      </c>
      <c r="B540" s="17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s="17" t="s">
        <v>580</v>
      </c>
      <c r="B541" s="17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s="17" t="s">
        <v>581</v>
      </c>
      <c r="B542" s="17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s="17" t="s">
        <v>583</v>
      </c>
      <c r="B543" s="17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s="17" t="s">
        <v>585</v>
      </c>
      <c r="B544" s="17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s="17" t="s">
        <v>586</v>
      </c>
      <c r="B545" s="17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s="17" t="s">
        <v>587</v>
      </c>
      <c r="B546" s="17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s="17" t="s">
        <v>588</v>
      </c>
      <c r="B547" s="17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s="17" t="s">
        <v>793</v>
      </c>
      <c r="B548" s="17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s="17" t="s">
        <v>589</v>
      </c>
      <c r="B549" s="17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s="17" t="s">
        <v>591</v>
      </c>
      <c r="B550" s="17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s="17" t="s">
        <v>592</v>
      </c>
      <c r="B551" s="17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s="17" t="s">
        <v>593</v>
      </c>
      <c r="B552" s="17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s="17" t="s">
        <v>594</v>
      </c>
      <c r="B553" s="17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s="17" t="s">
        <v>595</v>
      </c>
      <c r="B554" s="17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s="17" t="s">
        <v>899</v>
      </c>
      <c r="B555" s="17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s="17" t="s">
        <v>596</v>
      </c>
      <c r="B556" s="17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s="17" t="s">
        <v>597</v>
      </c>
      <c r="B557" s="17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s="17" t="s">
        <v>598</v>
      </c>
      <c r="B558" s="17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s="17" t="s">
        <v>834</v>
      </c>
      <c r="B559" s="17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s="17" t="s">
        <v>599</v>
      </c>
      <c r="B560" s="17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s="17" t="s">
        <v>600</v>
      </c>
      <c r="B561" s="17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s="17" t="s">
        <v>601</v>
      </c>
      <c r="B562" s="17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s="17" t="s">
        <v>602</v>
      </c>
      <c r="B563" s="17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s="17" t="s">
        <v>604</v>
      </c>
      <c r="B564" s="17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s="17" t="s">
        <v>606</v>
      </c>
      <c r="B565" s="17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s="17" t="s">
        <v>607</v>
      </c>
      <c r="B566" s="17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s="17" t="s">
        <v>608</v>
      </c>
      <c r="B567" s="17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s="17" t="s">
        <v>609</v>
      </c>
      <c r="B568" s="17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s="17" t="s">
        <v>610</v>
      </c>
      <c r="B569" s="17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s="17" t="s">
        <v>611</v>
      </c>
      <c r="B570" s="17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s="17" t="s">
        <v>612</v>
      </c>
      <c r="B571" s="17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s="17" t="s">
        <v>614</v>
      </c>
      <c r="B572" s="17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s="17" t="s">
        <v>1525</v>
      </c>
      <c r="B573" s="17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s="17" t="s">
        <v>615</v>
      </c>
      <c r="B574" s="17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s="17" t="s">
        <v>616</v>
      </c>
      <c r="B575" s="17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s="17" t="s">
        <v>617</v>
      </c>
      <c r="B576" s="17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s="17" t="s">
        <v>618</v>
      </c>
      <c r="B577" s="17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s="17" t="s">
        <v>619</v>
      </c>
      <c r="B578" s="17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s="17" t="s">
        <v>621</v>
      </c>
      <c r="B579" s="17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s="17" t="s">
        <v>622</v>
      </c>
      <c r="B580" s="17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s="17" t="s">
        <v>623</v>
      </c>
      <c r="B581" s="17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s="17" t="s">
        <v>624</v>
      </c>
      <c r="B582" s="17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s="17" t="s">
        <v>626</v>
      </c>
      <c r="B583" s="17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s="17" t="s">
        <v>1156</v>
      </c>
      <c r="B584" s="17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s="17" t="s">
        <v>1341</v>
      </c>
      <c r="B585" s="17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s="17" t="s">
        <v>1063</v>
      </c>
      <c r="B586" s="17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s="17" t="s">
        <v>627</v>
      </c>
      <c r="B587" s="17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s="17" t="s">
        <v>628</v>
      </c>
      <c r="B588" s="17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s="17" t="s">
        <v>629</v>
      </c>
      <c r="B589" s="17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s="17" t="s">
        <v>630</v>
      </c>
      <c r="B590" s="17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s="17" t="s">
        <v>631</v>
      </c>
      <c r="B591" s="17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s="17" t="s">
        <v>794</v>
      </c>
      <c r="B592" s="17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s="17" t="s">
        <v>795</v>
      </c>
      <c r="B593" s="17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s="17" t="s">
        <v>796</v>
      </c>
      <c r="B594" s="17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s="17" t="s">
        <v>797</v>
      </c>
      <c r="B595" s="17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s="17" t="s">
        <v>632</v>
      </c>
      <c r="B596" s="17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s="17" t="s">
        <v>633</v>
      </c>
      <c r="B597" s="17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s="17" t="s">
        <v>857</v>
      </c>
      <c r="B598" s="17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s="17" t="s">
        <v>798</v>
      </c>
      <c r="B599" s="17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s="17" t="s">
        <v>806</v>
      </c>
      <c r="B600" s="17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s="17" t="s">
        <v>1387</v>
      </c>
      <c r="B601" s="17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s="17" t="s">
        <v>634</v>
      </c>
      <c r="B602" s="17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s="17" t="s">
        <v>1157</v>
      </c>
      <c r="B603" s="17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s="17" t="s">
        <v>635</v>
      </c>
      <c r="B604" s="17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s="17" t="s">
        <v>1064</v>
      </c>
      <c r="B605" s="17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s="17" t="s">
        <v>636</v>
      </c>
      <c r="B606" s="17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s="17" t="s">
        <v>835</v>
      </c>
      <c r="B607" s="17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s="17" t="s">
        <v>637</v>
      </c>
      <c r="B608" s="17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s="17" t="s">
        <v>638</v>
      </c>
      <c r="B609" s="17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s="17" t="s">
        <v>1526</v>
      </c>
      <c r="B610" s="17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s="17" t="s">
        <v>639</v>
      </c>
      <c r="B611" s="17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s="17" t="s">
        <v>640</v>
      </c>
      <c r="B612" s="17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s="17" t="s">
        <v>641</v>
      </c>
      <c r="B613" s="17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s="17" t="s">
        <v>642</v>
      </c>
      <c r="B614" s="17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s="17" t="s">
        <v>643</v>
      </c>
      <c r="B615" s="17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s="17" t="s">
        <v>644</v>
      </c>
      <c r="B616" s="17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s="17" t="s">
        <v>645</v>
      </c>
      <c r="B617" s="17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s="17" t="s">
        <v>646</v>
      </c>
      <c r="B618" s="17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s="17" t="s">
        <v>647</v>
      </c>
      <c r="B619" s="17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s="17" t="s">
        <v>648</v>
      </c>
      <c r="B620" s="17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s="17" t="s">
        <v>649</v>
      </c>
      <c r="B621" s="17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s="17" t="s">
        <v>650</v>
      </c>
      <c r="B622" s="17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s="17" t="s">
        <v>652</v>
      </c>
      <c r="B623" s="17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s="17" t="s">
        <v>653</v>
      </c>
      <c r="B624" s="17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s="17" t="s">
        <v>654</v>
      </c>
      <c r="B625" s="17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s="17" t="s">
        <v>655</v>
      </c>
      <c r="B626" s="17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s="17" t="s">
        <v>656</v>
      </c>
      <c r="B627" s="17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s="17" t="s">
        <v>657</v>
      </c>
      <c r="B628" s="17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s="17" t="s">
        <v>658</v>
      </c>
      <c r="B629" s="17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s="17" t="s">
        <v>659</v>
      </c>
      <c r="B630" s="17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s="17" t="s">
        <v>660</v>
      </c>
      <c r="B631" s="17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s="17" t="s">
        <v>661</v>
      </c>
      <c r="B632" s="17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s="17" t="s">
        <v>662</v>
      </c>
      <c r="B633" s="17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s="17" t="s">
        <v>663</v>
      </c>
      <c r="B634" s="17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s="17" t="s">
        <v>664</v>
      </c>
      <c r="B635" s="17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s="17" t="s">
        <v>665</v>
      </c>
      <c r="B636" s="17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s="17" t="s">
        <v>666</v>
      </c>
      <c r="B637" s="17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s="17" t="s">
        <v>667</v>
      </c>
      <c r="B638" s="17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s="17" t="s">
        <v>668</v>
      </c>
      <c r="B639" s="17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s="17" t="s">
        <v>669</v>
      </c>
      <c r="B640" s="17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s="17" t="s">
        <v>670</v>
      </c>
      <c r="B641" s="17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s="17" t="s">
        <v>671</v>
      </c>
      <c r="B642" s="17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s="17" t="s">
        <v>672</v>
      </c>
      <c r="B643" s="17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s="17" t="s">
        <v>673</v>
      </c>
      <c r="B644" s="17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s="17" t="s">
        <v>674</v>
      </c>
      <c r="B645" s="17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s="17" t="s">
        <v>675</v>
      </c>
      <c r="B646" s="17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s="17" t="s">
        <v>676</v>
      </c>
      <c r="B647" s="17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s="17" t="s">
        <v>677</v>
      </c>
      <c r="B648" s="17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s="17" t="s">
        <v>678</v>
      </c>
      <c r="B649" s="17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s="17" t="s">
        <v>679</v>
      </c>
      <c r="B650" s="17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s="17" t="s">
        <v>680</v>
      </c>
      <c r="B651" s="17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s="17" t="s">
        <v>682</v>
      </c>
      <c r="B652" s="17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s="17" t="s">
        <v>684</v>
      </c>
      <c r="B653" s="17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s="17" t="s">
        <v>685</v>
      </c>
      <c r="B654" s="17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s="17" t="s">
        <v>686</v>
      </c>
      <c r="B655" s="17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s="17" t="s">
        <v>687</v>
      </c>
      <c r="B656" s="17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s="17" t="s">
        <v>689</v>
      </c>
      <c r="B657" s="17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s="17" t="s">
        <v>690</v>
      </c>
      <c r="B658" s="17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s="17" t="s">
        <v>1315</v>
      </c>
      <c r="B659" s="17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s="17" t="s">
        <v>691</v>
      </c>
      <c r="B660" s="17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s="17" t="s">
        <v>692</v>
      </c>
      <c r="B661" s="17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s="17" t="s">
        <v>693</v>
      </c>
      <c r="B662" s="17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s="17" t="s">
        <v>694</v>
      </c>
      <c r="B663" s="17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s="17" t="s">
        <v>695</v>
      </c>
      <c r="B664" s="17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s="17" t="s">
        <v>1403</v>
      </c>
      <c r="B665" s="17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s="17" t="s">
        <v>1404</v>
      </c>
      <c r="B666" s="17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s="17" t="s">
        <v>696</v>
      </c>
      <c r="B667" s="17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s="17" t="s">
        <v>1158</v>
      </c>
      <c r="B668" s="17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s="17" t="s">
        <v>1159</v>
      </c>
      <c r="B669" s="17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s="17" t="s">
        <v>698</v>
      </c>
      <c r="B670" s="17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s="17" t="s">
        <v>699</v>
      </c>
      <c r="B671" s="17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s="17" t="s">
        <v>858</v>
      </c>
      <c r="B672" s="17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s="17" t="s">
        <v>700</v>
      </c>
      <c r="B673" s="17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s="17" t="s">
        <v>701</v>
      </c>
      <c r="B674" s="17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s="17" t="s">
        <v>702</v>
      </c>
      <c r="B675" s="17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s="17" t="s">
        <v>703</v>
      </c>
      <c r="B676" s="17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s="17" t="s">
        <v>704</v>
      </c>
      <c r="B677" s="17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s="17" t="s">
        <v>706</v>
      </c>
      <c r="B678" s="17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s="17" t="s">
        <v>708</v>
      </c>
      <c r="B679" s="17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s="17" t="s">
        <v>710</v>
      </c>
      <c r="B680" s="17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s="17" t="s">
        <v>711</v>
      </c>
      <c r="B681" s="17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s="17" t="s">
        <v>712</v>
      </c>
      <c r="B682" s="17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s="17" t="s">
        <v>713</v>
      </c>
      <c r="B683" s="17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s="17" t="s">
        <v>714</v>
      </c>
      <c r="B684" s="17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s="17" t="s">
        <v>715</v>
      </c>
      <c r="B685" s="17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s="17" t="s">
        <v>717</v>
      </c>
      <c r="B686" s="17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s="17" t="s">
        <v>718</v>
      </c>
      <c r="B687" s="17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s="17" t="s">
        <v>719</v>
      </c>
      <c r="B688" s="17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s="17" t="s">
        <v>860</v>
      </c>
      <c r="B689" s="17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s="17" t="s">
        <v>720</v>
      </c>
      <c r="B690" s="17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s="17" t="s">
        <v>721</v>
      </c>
      <c r="B691" s="17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s="17" t="s">
        <v>722</v>
      </c>
      <c r="B692" s="17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s="17" t="s">
        <v>723</v>
      </c>
      <c r="B693" s="17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s="17" t="s">
        <v>724</v>
      </c>
      <c r="B694" s="17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s="17" t="s">
        <v>725</v>
      </c>
      <c r="B695" s="17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s="17" t="s">
        <v>726</v>
      </c>
      <c r="B696" s="17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s="17" t="s">
        <v>727</v>
      </c>
      <c r="B697" s="17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s="17" t="s">
        <v>729</v>
      </c>
      <c r="B698" s="17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s="17" t="s">
        <v>730</v>
      </c>
      <c r="B699" s="17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s="17" t="s">
        <v>731</v>
      </c>
      <c r="B700" s="17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s="17" t="s">
        <v>732</v>
      </c>
      <c r="B701" s="17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s="17" t="s">
        <v>1405</v>
      </c>
      <c r="B702" s="17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s="17" t="s">
        <v>861</v>
      </c>
      <c r="B703" s="17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s="17" t="s">
        <v>862</v>
      </c>
      <c r="B704" s="17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s="17" t="s">
        <v>733</v>
      </c>
      <c r="B705" s="17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s="17" t="s">
        <v>1263</v>
      </c>
      <c r="B706" s="17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s="17" t="s">
        <v>836</v>
      </c>
      <c r="B707" s="17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s="17" t="s">
        <v>734</v>
      </c>
      <c r="B708" s="17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s="17" t="s">
        <v>735</v>
      </c>
      <c r="B709" s="17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s="17" t="s">
        <v>900</v>
      </c>
      <c r="B710" s="17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s="17" t="s">
        <v>736</v>
      </c>
      <c r="B711" s="17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s="17" t="s">
        <v>737</v>
      </c>
      <c r="B712" s="17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s="17" t="s">
        <v>738</v>
      </c>
      <c r="B713" s="17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s="17" t="s">
        <v>739</v>
      </c>
      <c r="B714" s="17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s="17" t="s">
        <v>740</v>
      </c>
      <c r="B715" s="17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s="17" t="s">
        <v>741</v>
      </c>
      <c r="B716" s="17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s="17" t="s">
        <v>742</v>
      </c>
      <c r="B717" s="17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s="17" t="s">
        <v>743</v>
      </c>
      <c r="B718" s="17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s="17" t="s">
        <v>870</v>
      </c>
      <c r="B719" s="17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s="17" t="s">
        <v>745</v>
      </c>
      <c r="B720" s="17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s="17" t="s">
        <v>746</v>
      </c>
      <c r="B721" s="17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s="17" t="s">
        <v>747</v>
      </c>
      <c r="B722" s="17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s="17" t="s">
        <v>748</v>
      </c>
      <c r="B723" s="17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s="17" t="s">
        <v>749</v>
      </c>
      <c r="B724" s="17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s="17" t="s">
        <v>1482</v>
      </c>
      <c r="B725" s="17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s="17" t="s">
        <v>1418</v>
      </c>
      <c r="B726" s="17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s="17" t="s">
        <v>1082</v>
      </c>
      <c r="B727" s="17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s="17" t="s">
        <v>750</v>
      </c>
      <c r="B728" s="17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s="17" t="s">
        <v>1316</v>
      </c>
      <c r="B729" s="17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s="17" t="s">
        <v>753</v>
      </c>
      <c r="B730" s="17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s="17" t="s">
        <v>754</v>
      </c>
      <c r="B731" s="17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s="17" t="s">
        <v>755</v>
      </c>
      <c r="B732" s="17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s="17" t="s">
        <v>756</v>
      </c>
      <c r="B733" s="17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s="17" t="s">
        <v>757</v>
      </c>
      <c r="B734" s="17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s="17" t="s">
        <v>758</v>
      </c>
      <c r="B735" s="17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s="17" t="s">
        <v>759</v>
      </c>
      <c r="B736" s="17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s="17" t="s">
        <v>760</v>
      </c>
      <c r="B737" s="17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s="17" t="s">
        <v>761</v>
      </c>
      <c r="B738" s="17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s="17" t="s">
        <v>1636</v>
      </c>
      <c r="B739" s="17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s="17" t="s">
        <v>762</v>
      </c>
      <c r="B740" s="17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s="17" t="s">
        <v>763</v>
      </c>
      <c r="B741" s="17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s="17" t="s">
        <v>764</v>
      </c>
      <c r="B742" s="17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s="17" t="s">
        <v>765</v>
      </c>
      <c r="B743" s="17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s="17" t="s">
        <v>766</v>
      </c>
      <c r="B744" s="17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s="17" t="s">
        <v>767</v>
      </c>
      <c r="B745" s="17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s="17" t="s">
        <v>871</v>
      </c>
      <c r="B746" s="17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s="17" t="s">
        <v>769</v>
      </c>
      <c r="B747" s="17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s="17" t="s">
        <v>770</v>
      </c>
      <c r="B748" s="17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s="17" t="s">
        <v>771</v>
      </c>
      <c r="B749" s="17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s="17" t="s">
        <v>772</v>
      </c>
      <c r="B750" s="17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s="17" t="s">
        <v>1440</v>
      </c>
      <c r="B751" s="17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s="17" t="s">
        <v>773</v>
      </c>
      <c r="B752" s="17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s="17" t="s">
        <v>774</v>
      </c>
      <c r="B753" s="17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s="17" t="s">
        <v>775</v>
      </c>
      <c r="B754" s="17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s="17" t="s">
        <v>776</v>
      </c>
      <c r="B755" s="17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s="17" t="s">
        <v>777</v>
      </c>
      <c r="B756" s="17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s="17" t="s">
        <v>1568</v>
      </c>
      <c r="B757" s="17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s="17" t="s">
        <v>778</v>
      </c>
      <c r="B758" s="17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s="17" t="s">
        <v>779</v>
      </c>
      <c r="B759" s="17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s="17" t="s">
        <v>901</v>
      </c>
      <c r="B760" s="17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s="17" t="s">
        <v>780</v>
      </c>
      <c r="B761" s="17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s="17" t="s">
        <v>781</v>
      </c>
      <c r="B762" s="17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s="17" t="s">
        <v>782</v>
      </c>
      <c r="B763" s="17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s="17" t="s">
        <v>783</v>
      </c>
      <c r="B764" s="17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s="17" t="s">
        <v>784</v>
      </c>
      <c r="B765" s="17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s="17" t="s">
        <v>785</v>
      </c>
      <c r="B766" s="17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s="17" t="s">
        <v>902</v>
      </c>
      <c r="B767" s="17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s="17" t="s">
        <v>786</v>
      </c>
      <c r="B768" s="17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s="17" t="s">
        <v>1654</v>
      </c>
      <c r="B769" s="17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s="17" t="s">
        <v>787</v>
      </c>
      <c r="B770" s="17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s="17" t="s">
        <v>807</v>
      </c>
      <c r="B771" s="17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s="17" t="s">
        <v>808</v>
      </c>
      <c r="B772" s="17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s="17" t="s">
        <v>809</v>
      </c>
      <c r="B773" s="17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s="17" t="s">
        <v>810</v>
      </c>
      <c r="B774" s="17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s="17" t="s">
        <v>811</v>
      </c>
      <c r="B775" s="17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s="17" t="s">
        <v>812</v>
      </c>
      <c r="B776" s="17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s="17" t="s">
        <v>813</v>
      </c>
      <c r="B777" s="17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s="17" t="s">
        <v>814</v>
      </c>
      <c r="B778" s="17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s="17" t="s">
        <v>815</v>
      </c>
      <c r="B779" s="17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s="17" t="s">
        <v>816</v>
      </c>
      <c r="B780" s="17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s="17" t="s">
        <v>817</v>
      </c>
      <c r="B781" s="17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s="17" t="s">
        <v>818</v>
      </c>
      <c r="B782" s="17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s="17" t="s">
        <v>819</v>
      </c>
      <c r="B783" s="17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s="17" t="s">
        <v>820</v>
      </c>
      <c r="B784" s="17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s="17" t="s">
        <v>821</v>
      </c>
      <c r="B785" s="17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s="17" t="s">
        <v>822</v>
      </c>
      <c r="B786" s="17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s="17" t="s">
        <v>823</v>
      </c>
      <c r="B787" s="17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s="17" t="s">
        <v>824</v>
      </c>
      <c r="B788" s="17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s="17" t="s">
        <v>825</v>
      </c>
      <c r="B789" s="17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s="17" t="s">
        <v>826</v>
      </c>
      <c r="B790" s="17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s="17" t="s">
        <v>827</v>
      </c>
      <c r="B791" s="17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s="17" t="s">
        <v>828</v>
      </c>
      <c r="B792" s="17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s="17" t="s">
        <v>837</v>
      </c>
      <c r="B793" s="17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s="17" t="s">
        <v>838</v>
      </c>
      <c r="B794" s="17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s="17" t="s">
        <v>1065</v>
      </c>
      <c r="B795" s="17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s="17" t="s">
        <v>1317</v>
      </c>
      <c r="B796" s="17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s="17" t="s">
        <v>839</v>
      </c>
      <c r="B797" s="17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s="17" t="s">
        <v>1264</v>
      </c>
      <c r="B798" s="17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s="17" t="s">
        <v>840</v>
      </c>
      <c r="B799" s="17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s="17" t="s">
        <v>841</v>
      </c>
      <c r="B800" s="17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s="17" t="s">
        <v>842</v>
      </c>
      <c r="B801" s="17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s="17" t="s">
        <v>843</v>
      </c>
      <c r="B802" s="17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s="17" t="s">
        <v>903</v>
      </c>
      <c r="B803" s="17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s="17" t="s">
        <v>844</v>
      </c>
      <c r="B804" s="17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s="17" t="s">
        <v>845</v>
      </c>
      <c r="B805" s="17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s="17" t="s">
        <v>846</v>
      </c>
      <c r="B806" s="17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s="17" t="s">
        <v>847</v>
      </c>
      <c r="B807" s="17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s="17" t="s">
        <v>848</v>
      </c>
      <c r="B808" s="17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s="17" t="s">
        <v>849</v>
      </c>
      <c r="B809" s="17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s="17" t="s">
        <v>850</v>
      </c>
      <c r="B810" s="17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s="17" t="s">
        <v>978</v>
      </c>
      <c r="B811" s="17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s="17" t="s">
        <v>1265</v>
      </c>
      <c r="B812" s="17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s="17" t="s">
        <v>1160</v>
      </c>
      <c r="B813" s="17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s="17" t="s">
        <v>1419</v>
      </c>
      <c r="B814" s="17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s="17" t="s">
        <v>851</v>
      </c>
      <c r="B815" s="17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s="17" t="s">
        <v>852</v>
      </c>
      <c r="B816" s="17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s="17" t="s">
        <v>904</v>
      </c>
      <c r="B817" s="17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s="17" t="s">
        <v>863</v>
      </c>
      <c r="B818" s="17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s="17" t="s">
        <v>864</v>
      </c>
      <c r="B819" s="17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s="17" t="s">
        <v>865</v>
      </c>
      <c r="B820" s="17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s="17" t="s">
        <v>866</v>
      </c>
      <c r="B821" s="17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s="17" t="s">
        <v>872</v>
      </c>
      <c r="B822" s="17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s="17" t="s">
        <v>873</v>
      </c>
      <c r="B823" s="17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s="17" t="s">
        <v>875</v>
      </c>
      <c r="B824" s="17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s="17" t="s">
        <v>876</v>
      </c>
      <c r="B825" s="17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s="17" t="s">
        <v>877</v>
      </c>
      <c r="B826" s="17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s="17" t="s">
        <v>879</v>
      </c>
      <c r="B827" s="17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s="17" t="s">
        <v>881</v>
      </c>
      <c r="B828" s="17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s="17" t="s">
        <v>882</v>
      </c>
      <c r="B829" s="17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s="17" t="s">
        <v>883</v>
      </c>
      <c r="B830" s="17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s="17" t="s">
        <v>884</v>
      </c>
      <c r="B831" s="17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s="17" t="s">
        <v>885</v>
      </c>
      <c r="B832" s="17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s="17" t="s">
        <v>886</v>
      </c>
      <c r="B833" s="17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s="17" t="s">
        <v>887</v>
      </c>
      <c r="B834" s="17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s="17" t="s">
        <v>888</v>
      </c>
      <c r="B835" s="17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s="17" t="s">
        <v>889</v>
      </c>
      <c r="B836" s="17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s="17" t="s">
        <v>890</v>
      </c>
      <c r="B837" s="17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s="17" t="s">
        <v>891</v>
      </c>
      <c r="B838" s="17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s="17" t="s">
        <v>892</v>
      </c>
      <c r="B839" s="17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s="17" t="s">
        <v>893</v>
      </c>
      <c r="B840" s="17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s="17" t="s">
        <v>905</v>
      </c>
      <c r="B841" s="17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s="17" t="s">
        <v>906</v>
      </c>
      <c r="B842" s="17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s="17" t="s">
        <v>908</v>
      </c>
      <c r="B843" s="17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s="17" t="s">
        <v>909</v>
      </c>
      <c r="B844" s="17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s="17" t="s">
        <v>911</v>
      </c>
      <c r="B845" s="17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s="17" t="s">
        <v>912</v>
      </c>
      <c r="B846" s="17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s="17" t="s">
        <v>913</v>
      </c>
      <c r="B847" s="17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s="17" t="s">
        <v>914</v>
      </c>
      <c r="B848" s="17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s="17" t="s">
        <v>915</v>
      </c>
      <c r="B849" s="17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s="17" t="s">
        <v>916</v>
      </c>
      <c r="B850" s="17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s="17" t="s">
        <v>917</v>
      </c>
      <c r="B851" s="17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s="17" t="s">
        <v>918</v>
      </c>
      <c r="B852" s="17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s="17" t="s">
        <v>919</v>
      </c>
      <c r="B853" s="17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s="17" t="s">
        <v>921</v>
      </c>
      <c r="B854" s="17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s="17" t="s">
        <v>1716</v>
      </c>
      <c r="B855" s="17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s="17" t="s">
        <v>922</v>
      </c>
      <c r="B856" s="17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s="17" t="s">
        <v>948</v>
      </c>
      <c r="B857" s="17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s="17" t="s">
        <v>1372</v>
      </c>
      <c r="B858" s="17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s="17" t="s">
        <v>923</v>
      </c>
      <c r="B859" s="17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s="17" t="s">
        <v>1363</v>
      </c>
      <c r="B860" s="17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s="17" t="s">
        <v>924</v>
      </c>
      <c r="B861" s="17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s="17" t="s">
        <v>925</v>
      </c>
      <c r="B862" s="17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s="17" t="s">
        <v>926</v>
      </c>
      <c r="B863" s="17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s="17" t="s">
        <v>927</v>
      </c>
      <c r="B864" s="17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s="17" t="s">
        <v>1545</v>
      </c>
      <c r="B865" s="17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s="17" t="s">
        <v>928</v>
      </c>
      <c r="B866" s="17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s="17" t="s">
        <v>929</v>
      </c>
      <c r="B867" s="17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s="17" t="s">
        <v>930</v>
      </c>
      <c r="B868" s="17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s="17" t="s">
        <v>1527</v>
      </c>
      <c r="B869" s="17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s="17" t="s">
        <v>1569</v>
      </c>
      <c r="B870" s="17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s="17" t="s">
        <v>1570</v>
      </c>
      <c r="B871" s="17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s="17" t="s">
        <v>1601</v>
      </c>
      <c r="B872" s="17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s="17" t="s">
        <v>931</v>
      </c>
      <c r="B873" s="17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s="17" t="s">
        <v>1460</v>
      </c>
      <c r="B874" s="17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s="17" t="s">
        <v>932</v>
      </c>
      <c r="B875" s="17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s="17" t="s">
        <v>933</v>
      </c>
      <c r="B876" s="17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s="17" t="s">
        <v>934</v>
      </c>
      <c r="B877" s="17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s="17" t="s">
        <v>935</v>
      </c>
      <c r="B878" s="17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s="17" t="s">
        <v>936</v>
      </c>
      <c r="B879" s="17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s="17" t="s">
        <v>937</v>
      </c>
      <c r="B880" s="17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s="17" t="s">
        <v>938</v>
      </c>
      <c r="B881" s="17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s="17" t="s">
        <v>940</v>
      </c>
      <c r="B882" s="17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s="17" t="s">
        <v>1717</v>
      </c>
      <c r="B883" s="17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s="17" t="s">
        <v>941</v>
      </c>
      <c r="B884" s="17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s="17" t="s">
        <v>1066</v>
      </c>
      <c r="B885" s="17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s="17" t="s">
        <v>942</v>
      </c>
      <c r="B886" s="17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s="17" t="s">
        <v>949</v>
      </c>
      <c r="B887" s="17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s="17" t="s">
        <v>950</v>
      </c>
      <c r="B888" s="17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s="17" t="s">
        <v>951</v>
      </c>
      <c r="B889" s="17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s="17" t="s">
        <v>952</v>
      </c>
      <c r="B890" s="17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s="17" t="s">
        <v>953</v>
      </c>
      <c r="B891" s="17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s="17" t="s">
        <v>1161</v>
      </c>
      <c r="B892" s="17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s="17" t="s">
        <v>954</v>
      </c>
      <c r="B893" s="17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s="17" t="s">
        <v>1461</v>
      </c>
      <c r="B894" s="17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s="17" t="s">
        <v>955</v>
      </c>
      <c r="B895" s="17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s="17" t="s">
        <v>956</v>
      </c>
      <c r="B896" s="17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s="17" t="s">
        <v>1718</v>
      </c>
      <c r="B897" s="17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s="17" t="s">
        <v>957</v>
      </c>
      <c r="B898" s="17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s="17" t="s">
        <v>958</v>
      </c>
      <c r="B899" s="17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s="17" t="s">
        <v>1406</v>
      </c>
      <c r="B900" s="17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s="17" t="s">
        <v>1373</v>
      </c>
      <c r="B901" s="17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s="17" t="s">
        <v>959</v>
      </c>
      <c r="B902" s="17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s="17" t="s">
        <v>960</v>
      </c>
      <c r="B903" s="17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s="17" t="s">
        <v>961</v>
      </c>
      <c r="B904" s="17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s="17" t="s">
        <v>1420</v>
      </c>
      <c r="B905" s="17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s="17" t="s">
        <v>1421</v>
      </c>
      <c r="B906" s="17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s="17" t="s">
        <v>1067</v>
      </c>
      <c r="B907" s="17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s="17" t="s">
        <v>962</v>
      </c>
      <c r="B908" s="17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s="17" t="s">
        <v>963</v>
      </c>
      <c r="B909" s="17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s="17" t="s">
        <v>964</v>
      </c>
      <c r="B910" s="17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s="17" t="s">
        <v>965</v>
      </c>
      <c r="B911" s="17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s="17" t="s">
        <v>966</v>
      </c>
      <c r="B912" s="17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s="17" t="s">
        <v>967</v>
      </c>
      <c r="B913" s="17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s="17" t="s">
        <v>969</v>
      </c>
      <c r="B914" s="17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s="17" t="s">
        <v>1462</v>
      </c>
      <c r="B915" s="17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s="17" t="s">
        <v>970</v>
      </c>
      <c r="B916" s="17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s="17" t="s">
        <v>971</v>
      </c>
      <c r="B917" s="17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s="17" t="s">
        <v>972</v>
      </c>
      <c r="B918" s="17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s="17" t="s">
        <v>974</v>
      </c>
      <c r="B919" s="17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s="17" t="s">
        <v>975</v>
      </c>
      <c r="B920" s="17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s="17" t="s">
        <v>976</v>
      </c>
      <c r="B921" s="17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s="17" t="s">
        <v>979</v>
      </c>
      <c r="B922" s="17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s="17" t="s">
        <v>980</v>
      </c>
      <c r="B923" s="17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s="17" t="s">
        <v>981</v>
      </c>
      <c r="B924" s="17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s="17" t="s">
        <v>1407</v>
      </c>
      <c r="B925" s="17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s="17" t="s">
        <v>982</v>
      </c>
      <c r="B926" s="17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s="17" t="s">
        <v>983</v>
      </c>
      <c r="B927" s="17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s="17" t="s">
        <v>984</v>
      </c>
      <c r="B928" s="17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s="17" t="s">
        <v>1277</v>
      </c>
      <c r="B929" s="17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s="17" t="s">
        <v>985</v>
      </c>
      <c r="B930" s="17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s="17" t="s">
        <v>1068</v>
      </c>
      <c r="B931" s="17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s="17" t="s">
        <v>986</v>
      </c>
      <c r="B932" s="17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s="17" t="s">
        <v>987</v>
      </c>
      <c r="B933" s="17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s="17" t="s">
        <v>988</v>
      </c>
      <c r="B934" s="17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s="17" t="s">
        <v>989</v>
      </c>
      <c r="B935" s="17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s="17" t="s">
        <v>991</v>
      </c>
      <c r="B936" s="17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s="17" t="s">
        <v>1528</v>
      </c>
      <c r="B937" s="17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s="17" t="s">
        <v>992</v>
      </c>
      <c r="B938" s="17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s="17" t="s">
        <v>993</v>
      </c>
      <c r="B939" s="17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s="17" t="s">
        <v>994</v>
      </c>
      <c r="B940" s="17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s="17" t="s">
        <v>995</v>
      </c>
      <c r="B941" s="17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s="17" t="s">
        <v>996</v>
      </c>
      <c r="B942" s="17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s="17" t="s">
        <v>997</v>
      </c>
      <c r="B943" s="17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s="17" t="s">
        <v>1342</v>
      </c>
      <c r="B944" s="17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s="17" t="s">
        <v>1318</v>
      </c>
      <c r="B945" s="17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s="17" t="s">
        <v>998</v>
      </c>
      <c r="B946" s="17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s="17" t="s">
        <v>999</v>
      </c>
      <c r="B947" s="17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s="17" t="s">
        <v>1001</v>
      </c>
      <c r="B948" s="17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s="17" t="s">
        <v>1571</v>
      </c>
      <c r="B949" s="17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s="17" t="s">
        <v>1002</v>
      </c>
      <c r="B950" s="17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s="17" t="s">
        <v>1003</v>
      </c>
      <c r="B951" s="17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s="17" t="s">
        <v>1602</v>
      </c>
      <c r="B952" s="17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s="17" t="s">
        <v>1004</v>
      </c>
      <c r="B953" s="17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s="17" t="s">
        <v>1005</v>
      </c>
      <c r="B954" s="17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s="17" t="s">
        <v>1006</v>
      </c>
      <c r="B955" s="17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s="17" t="s">
        <v>1007</v>
      </c>
      <c r="B956" s="17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s="17" t="s">
        <v>1008</v>
      </c>
      <c r="B957" s="17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s="17" t="s">
        <v>1719</v>
      </c>
      <c r="B958" s="17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s="17" t="s">
        <v>1009</v>
      </c>
      <c r="B959" s="17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s="17" t="s">
        <v>1010</v>
      </c>
      <c r="B960" s="17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s="17" t="s">
        <v>1011</v>
      </c>
      <c r="B961" s="17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s="17" t="s">
        <v>1069</v>
      </c>
      <c r="B962" s="17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s="17" t="s">
        <v>1070</v>
      </c>
      <c r="B963" s="17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s="17" t="s">
        <v>1072</v>
      </c>
      <c r="B964" s="17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s="17" t="s">
        <v>1074</v>
      </c>
      <c r="B965" s="17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s="17" t="s">
        <v>1075</v>
      </c>
      <c r="B966" s="17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s="17" t="s">
        <v>1076</v>
      </c>
      <c r="B967" s="17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s="17" t="s">
        <v>1077</v>
      </c>
      <c r="B968" s="17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s="17" t="s">
        <v>1078</v>
      </c>
      <c r="B969" s="17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s="17" t="s">
        <v>1079</v>
      </c>
      <c r="B970" s="17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s="17" t="s">
        <v>1083</v>
      </c>
      <c r="B971" s="17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s="17" t="s">
        <v>1084</v>
      </c>
      <c r="B972" s="17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s="17" t="s">
        <v>1085</v>
      </c>
      <c r="B973" s="17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s="17" t="s">
        <v>1087</v>
      </c>
      <c r="B974" s="17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s="17" t="s">
        <v>1089</v>
      </c>
      <c r="B975" s="17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s="17" t="s">
        <v>1090</v>
      </c>
      <c r="B976" s="17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s="17" t="s">
        <v>1091</v>
      </c>
      <c r="B977" s="17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s="17" t="s">
        <v>1092</v>
      </c>
      <c r="B978" s="17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s="17" t="s">
        <v>1093</v>
      </c>
      <c r="B979" s="17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s="17" t="s">
        <v>1162</v>
      </c>
      <c r="B980" s="17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s="17" t="s">
        <v>1094</v>
      </c>
      <c r="B981" s="17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s="17" t="s">
        <v>1095</v>
      </c>
      <c r="B982" s="17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s="17" t="s">
        <v>1603</v>
      </c>
      <c r="B983" s="17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s="17" t="s">
        <v>1163</v>
      </c>
      <c r="B984" s="17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s="17" t="s">
        <v>1096</v>
      </c>
      <c r="B985" s="17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s="17" t="s">
        <v>1098</v>
      </c>
      <c r="B986" s="17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s="17" t="s">
        <v>1100</v>
      </c>
      <c r="B987" s="17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s="17" t="s">
        <v>1102</v>
      </c>
      <c r="B988" s="17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s="17" t="s">
        <v>1604</v>
      </c>
      <c r="B989" s="17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s="17" t="s">
        <v>1103</v>
      </c>
      <c r="B990" s="17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s="17" t="s">
        <v>1104</v>
      </c>
      <c r="B991" s="17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s="17" t="s">
        <v>1105</v>
      </c>
      <c r="B992" s="17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s="17" t="s">
        <v>1106</v>
      </c>
      <c r="B993" s="17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s="17" t="s">
        <v>1483</v>
      </c>
      <c r="B994" s="17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s="17" t="s">
        <v>1266</v>
      </c>
      <c r="B995" s="17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s="17" t="s">
        <v>1107</v>
      </c>
      <c r="B996" s="17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s="17" t="s">
        <v>1108</v>
      </c>
      <c r="B997" s="17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s="17" t="s">
        <v>1637</v>
      </c>
      <c r="B998" s="17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s="17" t="s">
        <v>1109</v>
      </c>
      <c r="B999" s="17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s="17" t="s">
        <v>1110</v>
      </c>
      <c r="B1000" s="17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s="17" t="s">
        <v>1111</v>
      </c>
      <c r="B1001" s="17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s="17" t="s">
        <v>1113</v>
      </c>
      <c r="B1002" s="17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s="17" t="s">
        <v>1114</v>
      </c>
      <c r="B1003" s="17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s="17" t="s">
        <v>1116</v>
      </c>
      <c r="B1004" s="17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s="17" t="s">
        <v>1117</v>
      </c>
      <c r="B1005" s="17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s="17" t="s">
        <v>1118</v>
      </c>
      <c r="B1006" s="17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s="17" t="s">
        <v>1119</v>
      </c>
      <c r="B1007" s="17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s="17" t="s">
        <v>1120</v>
      </c>
      <c r="B1008" s="17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s="17" t="s">
        <v>1121</v>
      </c>
      <c r="B1009" s="17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s="17" t="s">
        <v>1122</v>
      </c>
      <c r="B1010" s="17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s="17" t="s">
        <v>1572</v>
      </c>
      <c r="B1011" s="17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s="17" t="s">
        <v>1720</v>
      </c>
      <c r="B1012" s="17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s="17" t="s">
        <v>1573</v>
      </c>
      <c r="B1013" s="17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s="17" t="s">
        <v>1123</v>
      </c>
      <c r="B1014" s="17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s="17" t="s">
        <v>1124</v>
      </c>
      <c r="B1015" s="17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s="17" t="s">
        <v>1125</v>
      </c>
      <c r="B1016" s="17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s="17" t="s">
        <v>1126</v>
      </c>
      <c r="B1017" s="17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s="17" t="s">
        <v>1127</v>
      </c>
      <c r="B1018" s="17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s="17" t="s">
        <v>1128</v>
      </c>
      <c r="B1019" s="17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s="17" t="s">
        <v>1129</v>
      </c>
      <c r="B1020" s="17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s="17" t="s">
        <v>1131</v>
      </c>
      <c r="B1021" s="17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s="17" t="s">
        <v>1132</v>
      </c>
      <c r="B1022" s="17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s="17" t="s">
        <v>1133</v>
      </c>
      <c r="B1023" s="17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s="17" t="s">
        <v>1134</v>
      </c>
      <c r="B1024" s="17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s="17" t="s">
        <v>1135</v>
      </c>
      <c r="B1025" s="17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s="17" t="s">
        <v>1136</v>
      </c>
      <c r="B1026" s="17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s="17" t="s">
        <v>1137</v>
      </c>
      <c r="B1027" s="17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s="17" t="s">
        <v>1138</v>
      </c>
      <c r="B1028" s="17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s="17" t="s">
        <v>1140</v>
      </c>
      <c r="B1029" s="17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s="17" t="s">
        <v>1141</v>
      </c>
      <c r="B1030" s="17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s="17" t="s">
        <v>1142</v>
      </c>
      <c r="B1031" s="17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s="17" t="s">
        <v>1143</v>
      </c>
      <c r="B1032" s="17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s="17" t="s">
        <v>1144</v>
      </c>
      <c r="B1033" s="17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s="17" t="s">
        <v>1145</v>
      </c>
      <c r="B1034" s="17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s="17" t="s">
        <v>1146</v>
      </c>
      <c r="B1035" s="17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s="17" t="s">
        <v>1422</v>
      </c>
      <c r="B1036" s="17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s="17" t="s">
        <v>1423</v>
      </c>
      <c r="B1037" s="17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s="17" t="s">
        <v>1147</v>
      </c>
      <c r="B1038" s="17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s="17" t="s">
        <v>1655</v>
      </c>
      <c r="B1039" s="17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s="17" t="s">
        <v>1148</v>
      </c>
      <c r="B1040" s="17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s="17" t="s">
        <v>1149</v>
      </c>
      <c r="B1041" s="17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s="17" t="s">
        <v>1150</v>
      </c>
      <c r="B1042" s="17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s="17" t="s">
        <v>1164</v>
      </c>
      <c r="B1043" s="17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s="17" t="s">
        <v>1165</v>
      </c>
      <c r="B1044" s="17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s="17" t="s">
        <v>1166</v>
      </c>
      <c r="B1045" s="17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s="17" t="s">
        <v>1167</v>
      </c>
      <c r="B1046" s="17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s="17" t="s">
        <v>1168</v>
      </c>
      <c r="B1047" s="17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s="17" t="s">
        <v>1169</v>
      </c>
      <c r="B1048" s="17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s="17" t="s">
        <v>1170</v>
      </c>
      <c r="B1049" s="17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s="17" t="s">
        <v>1171</v>
      </c>
      <c r="B1050" s="17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s="17" t="s">
        <v>1172</v>
      </c>
      <c r="B1051" s="17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s="17" t="s">
        <v>1173</v>
      </c>
      <c r="B1052" s="17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s="17" t="s">
        <v>1174</v>
      </c>
      <c r="B1053" s="17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s="17" t="s">
        <v>1176</v>
      </c>
      <c r="B1054" s="17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s="17" t="s">
        <v>1177</v>
      </c>
      <c r="B1055" s="17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s="17" t="s">
        <v>1178</v>
      </c>
      <c r="B1056" s="17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s="17" t="s">
        <v>1179</v>
      </c>
      <c r="B1057" s="17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s="17" t="s">
        <v>1267</v>
      </c>
      <c r="B1058" s="17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s="17" t="s">
        <v>1268</v>
      </c>
      <c r="B1059" s="17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s="17" t="s">
        <v>1269</v>
      </c>
      <c r="B1060" s="17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s="17" t="s">
        <v>1270</v>
      </c>
      <c r="B1061" s="17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s="17" t="s">
        <v>1271</v>
      </c>
      <c r="B1062" s="17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s="17" t="s">
        <v>1272</v>
      </c>
      <c r="B1063" s="17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s="17" t="s">
        <v>1273</v>
      </c>
      <c r="B1064" s="17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s="17" t="s">
        <v>1274</v>
      </c>
      <c r="B1065" s="17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s="17" t="s">
        <v>1278</v>
      </c>
      <c r="B1066" s="17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s="17" t="s">
        <v>1279</v>
      </c>
      <c r="B1067" s="17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s="17" t="s">
        <v>1281</v>
      </c>
      <c r="B1068" s="17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s="17" t="s">
        <v>1282</v>
      </c>
      <c r="B1069" s="17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s="17" t="s">
        <v>1283</v>
      </c>
      <c r="B1070" s="17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s="17" t="s">
        <v>1284</v>
      </c>
      <c r="B1071" s="17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s="17" t="s">
        <v>1285</v>
      </c>
      <c r="B1072" s="17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s="17" t="s">
        <v>1286</v>
      </c>
      <c r="B1073" s="17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s="17" t="s">
        <v>1287</v>
      </c>
      <c r="B1074" s="17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s="17" t="s">
        <v>1288</v>
      </c>
      <c r="B1075" s="17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s="17" t="s">
        <v>1289</v>
      </c>
      <c r="B1076" s="17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s="17" t="s">
        <v>1290</v>
      </c>
      <c r="B1077" s="17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s="17" t="s">
        <v>1291</v>
      </c>
      <c r="B1078" s="17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s="17" t="s">
        <v>1292</v>
      </c>
      <c r="B1079" s="17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s="17" t="s">
        <v>1627</v>
      </c>
      <c r="B1080" s="17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s="17" t="s">
        <v>1293</v>
      </c>
      <c r="B1081" s="17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s="17" t="s">
        <v>1295</v>
      </c>
      <c r="B1082" s="17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s="17" t="s">
        <v>1296</v>
      </c>
      <c r="B1083" s="17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s="17" t="s">
        <v>1297</v>
      </c>
      <c r="B1084" s="17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s="17" t="s">
        <v>1298</v>
      </c>
      <c r="B1085" s="17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s="17" t="s">
        <v>1299</v>
      </c>
      <c r="B1086" s="17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s="17" t="s">
        <v>1300</v>
      </c>
      <c r="B1087" s="17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s="17" t="s">
        <v>1301</v>
      </c>
      <c r="B1088" s="17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s="17" t="s">
        <v>1303</v>
      </c>
      <c r="B1089" s="17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s="17" t="s">
        <v>1304</v>
      </c>
      <c r="B1090" s="17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s="17" t="s">
        <v>1305</v>
      </c>
      <c r="B1091" s="17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s="17" t="s">
        <v>1306</v>
      </c>
      <c r="B1092" s="17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s="17" t="s">
        <v>1307</v>
      </c>
      <c r="B1093" s="17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s="17" t="s">
        <v>1308</v>
      </c>
      <c r="B1094" s="17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s="17" t="s">
        <v>1309</v>
      </c>
      <c r="B1095" s="17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s="17" t="s">
        <v>1310</v>
      </c>
      <c r="B1096" s="17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s="17" t="s">
        <v>1484</v>
      </c>
      <c r="B1097" s="17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s="17" t="s">
        <v>1721</v>
      </c>
      <c r="B1098" s="17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s="17" t="s">
        <v>1638</v>
      </c>
      <c r="B1099" s="17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s="17" t="s">
        <v>1311</v>
      </c>
      <c r="B1100" s="17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s="17" t="s">
        <v>1312</v>
      </c>
      <c r="B1101" s="17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s="17" t="s">
        <v>1313</v>
      </c>
      <c r="B1102" s="17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s="17" t="s">
        <v>1314</v>
      </c>
      <c r="B1103" s="17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s="17" t="s">
        <v>1319</v>
      </c>
      <c r="B1104" s="17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s="17" t="s">
        <v>1320</v>
      </c>
      <c r="B1105" s="17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s="17" t="s">
        <v>1321</v>
      </c>
      <c r="B1106" s="17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s="17" t="s">
        <v>1322</v>
      </c>
      <c r="B1107" s="17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s="17" t="s">
        <v>1323</v>
      </c>
      <c r="B1108" s="17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s="17" t="s">
        <v>1324</v>
      </c>
      <c r="B1109" s="17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s="17" t="s">
        <v>1325</v>
      </c>
      <c r="B1110" s="17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s="17" t="s">
        <v>1326</v>
      </c>
      <c r="B1111" s="17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s="17" t="s">
        <v>1327</v>
      </c>
      <c r="B1112" s="17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s="17" t="s">
        <v>1328</v>
      </c>
      <c r="B1113" s="17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s="17" t="s">
        <v>1329</v>
      </c>
      <c r="B1114" s="17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s="17" t="s">
        <v>1330</v>
      </c>
      <c r="B1115" s="17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s="17" t="s">
        <v>1331</v>
      </c>
      <c r="B1116" s="17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s="17" t="s">
        <v>1332</v>
      </c>
      <c r="B1117" s="17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s="17" t="s">
        <v>1333</v>
      </c>
      <c r="B1118" s="17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s="17" t="s">
        <v>1335</v>
      </c>
      <c r="B1119" s="17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s="17" t="s">
        <v>1336</v>
      </c>
      <c r="B1120" s="17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s="17" t="s">
        <v>1337</v>
      </c>
      <c r="B1121" s="17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s="17" t="s">
        <v>1338</v>
      </c>
      <c r="B1122" s="17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s="17" t="s">
        <v>1574</v>
      </c>
      <c r="B1123" s="17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s="17" t="s">
        <v>1339</v>
      </c>
      <c r="B1124" s="17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s="17" t="s">
        <v>1374</v>
      </c>
      <c r="B1125" s="17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s="17" t="s">
        <v>1340</v>
      </c>
      <c r="B1126" s="17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s="17" t="s">
        <v>1605</v>
      </c>
      <c r="B1127" s="17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s="17" t="s">
        <v>1343</v>
      </c>
      <c r="B1128" s="17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s="17" t="s">
        <v>1344</v>
      </c>
      <c r="B1129" s="17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s="17" t="s">
        <v>1722</v>
      </c>
      <c r="B1130" s="17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s="17" t="s">
        <v>1345</v>
      </c>
      <c r="B1131" s="17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s="17" t="s">
        <v>1346</v>
      </c>
      <c r="B1132" s="17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s="17" t="s">
        <v>1485</v>
      </c>
      <c r="B1133" s="17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s="17" t="s">
        <v>1347</v>
      </c>
      <c r="B1134" s="17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s="17" t="s">
        <v>1348</v>
      </c>
      <c r="B1135" s="17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s="17" t="s">
        <v>1349</v>
      </c>
      <c r="B1136" s="17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s="17" t="s">
        <v>1350</v>
      </c>
      <c r="B1137" s="17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s="17" t="s">
        <v>1351</v>
      </c>
      <c r="B1138" s="17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s="17" t="s">
        <v>1463</v>
      </c>
      <c r="B1139" s="17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s="17" t="s">
        <v>1352</v>
      </c>
      <c r="B1140" s="17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s="17" t="s">
        <v>1353</v>
      </c>
      <c r="B1141" s="17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s="17" t="s">
        <v>1354</v>
      </c>
      <c r="B1142" s="17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s="17" t="s">
        <v>1575</v>
      </c>
      <c r="B1143" s="17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s="17" t="s">
        <v>1355</v>
      </c>
      <c r="B1144" s="17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s="17" t="s">
        <v>1356</v>
      </c>
      <c r="B1145" s="17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s="17" t="s">
        <v>1357</v>
      </c>
      <c r="B1146" s="17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s="17" t="s">
        <v>1358</v>
      </c>
      <c r="B1147" s="17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s="17" t="s">
        <v>1359</v>
      </c>
      <c r="B1148" s="17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s="17" t="s">
        <v>1360</v>
      </c>
      <c r="B1149" s="17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s="17" t="s">
        <v>1364</v>
      </c>
      <c r="B1150" s="17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s="17" t="s">
        <v>1365</v>
      </c>
      <c r="B1151" s="17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s="17" t="s">
        <v>1366</v>
      </c>
      <c r="B1152" s="17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s="17" t="s">
        <v>1367</v>
      </c>
      <c r="B1153" s="17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s="17" t="s">
        <v>1368</v>
      </c>
      <c r="B1154" s="17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s="17" t="s">
        <v>1369</v>
      </c>
      <c r="B1155" s="17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s="17" t="s">
        <v>1370</v>
      </c>
      <c r="B1156" s="17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s="17" t="s">
        <v>1375</v>
      </c>
      <c r="B1157" s="17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s="17" t="s">
        <v>1376</v>
      </c>
      <c r="B1158" s="17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s="17" t="s">
        <v>1377</v>
      </c>
      <c r="B1159" s="17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s="17" t="s">
        <v>1378</v>
      </c>
      <c r="B1160" s="17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s="17" t="s">
        <v>1380</v>
      </c>
      <c r="B1161" s="17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s="17" t="s">
        <v>1381</v>
      </c>
      <c r="B1162" s="17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s="17" t="s">
        <v>1382</v>
      </c>
      <c r="B1163" s="17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s="17" t="s">
        <v>1383</v>
      </c>
      <c r="B1164" s="17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s="17" t="s">
        <v>1384</v>
      </c>
      <c r="B1165" s="17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s="17" t="s">
        <v>1386</v>
      </c>
      <c r="B1166" s="17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s="17" t="s">
        <v>1388</v>
      </c>
      <c r="B1167" s="17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s="17" t="s">
        <v>1389</v>
      </c>
      <c r="B1168" s="17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s="17" t="s">
        <v>1390</v>
      </c>
      <c r="B1169" s="17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s="17" t="s">
        <v>1392</v>
      </c>
      <c r="B1170" s="17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s="17" t="s">
        <v>1393</v>
      </c>
      <c r="B1171" s="17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s="17" t="s">
        <v>1395</v>
      </c>
      <c r="B1172" s="17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s="17" t="s">
        <v>1408</v>
      </c>
      <c r="B1173" s="17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s="17" t="s">
        <v>1409</v>
      </c>
      <c r="B1174" s="17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s="17" t="s">
        <v>1410</v>
      </c>
      <c r="B1175" s="17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s="17" t="s">
        <v>1411</v>
      </c>
      <c r="B1176" s="17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s="17" t="s">
        <v>1412</v>
      </c>
      <c r="B1177" s="17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s="17" t="s">
        <v>1414</v>
      </c>
      <c r="B1178" s="17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s="17" t="s">
        <v>1416</v>
      </c>
      <c r="B1179" s="17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s="17" t="s">
        <v>1417</v>
      </c>
      <c r="B1180" s="17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s="17" t="s">
        <v>1424</v>
      </c>
      <c r="B1181" s="17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s="17" t="s">
        <v>1425</v>
      </c>
      <c r="B1182" s="17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s="17" t="s">
        <v>1546</v>
      </c>
      <c r="B1183" s="17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s="17" t="s">
        <v>1427</v>
      </c>
      <c r="B1184" s="17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s="17" t="s">
        <v>1428</v>
      </c>
      <c r="B1185" s="17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s="17" t="s">
        <v>1429</v>
      </c>
      <c r="B1186" s="17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s="17" t="s">
        <v>1430</v>
      </c>
      <c r="B1187" s="17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s="17" t="s">
        <v>1431</v>
      </c>
      <c r="B1188" s="17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s="17" t="s">
        <v>1432</v>
      </c>
      <c r="B1189" s="17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s="17" t="s">
        <v>1433</v>
      </c>
      <c r="B1190" s="17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s="17" t="s">
        <v>1639</v>
      </c>
      <c r="B1191" s="17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s="17" t="s">
        <v>1434</v>
      </c>
      <c r="B1192" s="17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s="17" t="s">
        <v>1435</v>
      </c>
      <c r="B1193" s="17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s="17" t="s">
        <v>1436</v>
      </c>
      <c r="B1194" s="17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s="17" t="s">
        <v>1437</v>
      </c>
      <c r="B1195" s="17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s="17" t="s">
        <v>1438</v>
      </c>
      <c r="B1196" s="17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s="17" t="s">
        <v>1441</v>
      </c>
      <c r="B1197" s="17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s="17" t="s">
        <v>1442</v>
      </c>
      <c r="B1198" s="17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s="17" t="s">
        <v>1443</v>
      </c>
      <c r="B1199" s="17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s="17" t="s">
        <v>1444</v>
      </c>
      <c r="B1200" s="17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s="17" t="s">
        <v>1640</v>
      </c>
      <c r="B1201" s="17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s="17" t="s">
        <v>1445</v>
      </c>
      <c r="B1202" s="17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s="17" t="s">
        <v>1446</v>
      </c>
      <c r="B1203" s="17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s="17" t="s">
        <v>1447</v>
      </c>
      <c r="B1204" s="17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s="17" t="s">
        <v>1448</v>
      </c>
      <c r="B1205" s="17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s="17" t="s">
        <v>1449</v>
      </c>
      <c r="B1206" s="17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s="17" t="s">
        <v>1450</v>
      </c>
      <c r="B1207" s="17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s="17" t="s">
        <v>1451</v>
      </c>
      <c r="B1208" s="17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s="17" t="s">
        <v>1453</v>
      </c>
      <c r="B1209" s="17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s="17" t="s">
        <v>1454</v>
      </c>
      <c r="B1210" s="17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s="17" t="s">
        <v>1455</v>
      </c>
      <c r="B1211" s="17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s="17" t="s">
        <v>1456</v>
      </c>
      <c r="B1212" s="17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s="17" t="s">
        <v>1464</v>
      </c>
      <c r="B1213" s="17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s="17" t="s">
        <v>1457</v>
      </c>
      <c r="B1214" s="17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s="17" t="s">
        <v>1458</v>
      </c>
      <c r="B1215" s="17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s="17" t="s">
        <v>1547</v>
      </c>
      <c r="B1216" s="17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s="17" t="s">
        <v>1459</v>
      </c>
      <c r="B1217" s="17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s="17" t="s">
        <v>1465</v>
      </c>
      <c r="B1218" s="17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s="17" t="s">
        <v>1466</v>
      </c>
      <c r="B1219" s="17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s="17" t="s">
        <v>1548</v>
      </c>
      <c r="B1220" s="17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s="17" t="s">
        <v>1468</v>
      </c>
      <c r="B1221" s="17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s="17" t="s">
        <v>1469</v>
      </c>
      <c r="B1222" s="17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s="17" t="s">
        <v>1470</v>
      </c>
      <c r="B1223" s="17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s="17" t="s">
        <v>1529</v>
      </c>
      <c r="B1224" s="17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s="17" t="s">
        <v>1471</v>
      </c>
      <c r="B1225" s="17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s="17" t="s">
        <v>1473</v>
      </c>
      <c r="B1226" s="17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s="17" t="s">
        <v>1474</v>
      </c>
      <c r="B1227" s="17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s="17" t="s">
        <v>1475</v>
      </c>
      <c r="B1228" s="17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s="17" t="s">
        <v>1477</v>
      </c>
      <c r="B1229" s="17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s="17" t="s">
        <v>1478</v>
      </c>
      <c r="B1230" s="17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s="17" t="s">
        <v>1486</v>
      </c>
      <c r="B1231" s="17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s="17" t="s">
        <v>1479</v>
      </c>
      <c r="B1232" s="17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s="17" t="s">
        <v>1480</v>
      </c>
      <c r="B1233" s="17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s="17" t="s">
        <v>1481</v>
      </c>
      <c r="B1234" s="17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s="17" t="s">
        <v>1487</v>
      </c>
      <c r="B1235" s="17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s="17" t="s">
        <v>1488</v>
      </c>
      <c r="B1236" s="17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s="17" t="s">
        <v>1490</v>
      </c>
      <c r="B1237" s="17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s="17" t="s">
        <v>1491</v>
      </c>
      <c r="B1238" s="17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s="17" t="s">
        <v>1492</v>
      </c>
      <c r="B1239" s="17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s="17" t="s">
        <v>1493</v>
      </c>
      <c r="B1240" s="17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s="17" t="s">
        <v>1495</v>
      </c>
      <c r="B1241" s="17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s="17" t="s">
        <v>1496</v>
      </c>
      <c r="B1242" s="17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s="17" t="s">
        <v>1497</v>
      </c>
      <c r="B1243" s="17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s="17" t="s">
        <v>1498</v>
      </c>
      <c r="B1244" s="17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s="17" t="s">
        <v>1499</v>
      </c>
      <c r="B1245" s="17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s="17" t="s">
        <v>1500</v>
      </c>
      <c r="B1246" s="17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s="17" t="s">
        <v>1501</v>
      </c>
      <c r="B1247" s="17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s="17" t="s">
        <v>1503</v>
      </c>
      <c r="B1248" s="17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s="17" t="s">
        <v>1504</v>
      </c>
      <c r="B1249" s="17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s="17" t="s">
        <v>1505</v>
      </c>
      <c r="B1250" s="17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s="17" t="s">
        <v>1530</v>
      </c>
      <c r="B1251" s="17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s="17" t="s">
        <v>1531</v>
      </c>
      <c r="B1252" s="17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s="17" t="s">
        <v>1532</v>
      </c>
      <c r="B1253" s="17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s="17" t="s">
        <v>1533</v>
      </c>
      <c r="B1254" s="17" t="s">
        <v>10</v>
      </c>
      <c r="C1254" s="2">
        <v>46116.482318391201</v>
      </c>
      <c r="D1254">
        <v>2</v>
      </c>
      <c r="E1254" s="7" t="s">
        <v>1534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s="17" t="s">
        <v>1535</v>
      </c>
      <c r="B1255" s="17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s="17" t="s">
        <v>1536</v>
      </c>
      <c r="B1256" s="17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s="17" t="s">
        <v>1537</v>
      </c>
      <c r="B1257" s="17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s="17" t="s">
        <v>1538</v>
      </c>
      <c r="B1258" s="17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s="17" t="s">
        <v>1539</v>
      </c>
      <c r="B1259" s="17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s="17" t="s">
        <v>1549</v>
      </c>
      <c r="B1260" s="17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s="17" t="s">
        <v>1550</v>
      </c>
      <c r="B1261" s="17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s="17" t="s">
        <v>1551</v>
      </c>
      <c r="B1262" s="17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s="17" t="s">
        <v>1552</v>
      </c>
      <c r="B1263" s="17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s="17" t="s">
        <v>1553</v>
      </c>
      <c r="B1264" s="17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s="17" t="s">
        <v>1554</v>
      </c>
      <c r="B1265" s="17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s="17" t="s">
        <v>1555</v>
      </c>
      <c r="B1266" s="17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s="17" t="s">
        <v>1556</v>
      </c>
      <c r="B1267" s="17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s="17" t="s">
        <v>1557</v>
      </c>
      <c r="B1268" s="17" t="s">
        <v>10</v>
      </c>
      <c r="C1268" s="2">
        <v>46117.587941504629</v>
      </c>
      <c r="D1268">
        <v>3</v>
      </c>
      <c r="E1268" s="7" t="s">
        <v>1558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s="17" t="s">
        <v>1559</v>
      </c>
      <c r="B1269" s="17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s="17" t="s">
        <v>1560</v>
      </c>
      <c r="B1270" s="17" t="s">
        <v>10</v>
      </c>
      <c r="C1270" s="2">
        <v>46117.588802557868</v>
      </c>
      <c r="D1270">
        <v>3</v>
      </c>
      <c r="E1270" s="7" t="s">
        <v>1561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s="17" t="s">
        <v>1562</v>
      </c>
      <c r="B1271" s="17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s="17" t="s">
        <v>1563</v>
      </c>
      <c r="B1272" s="17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s="17" t="s">
        <v>1576</v>
      </c>
      <c r="B1273" s="17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s="17" t="s">
        <v>1577</v>
      </c>
      <c r="B1274" s="17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s="17" t="s">
        <v>1578</v>
      </c>
      <c r="B1275" s="17" t="s">
        <v>10</v>
      </c>
      <c r="C1275" s="2">
        <v>46117.854399490738</v>
      </c>
      <c r="D1275">
        <v>3</v>
      </c>
      <c r="E1275" s="7" t="s">
        <v>1579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s="17" t="s">
        <v>1580</v>
      </c>
      <c r="B1276" s="17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s="17" t="s">
        <v>1606</v>
      </c>
      <c r="B1277" s="17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s="17" t="s">
        <v>1581</v>
      </c>
      <c r="B1278" s="17" t="s">
        <v>10</v>
      </c>
      <c r="C1278" s="2">
        <v>46117.875437824077</v>
      </c>
      <c r="D1278">
        <v>2</v>
      </c>
      <c r="E1278" s="7" t="s">
        <v>1582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s="17" t="s">
        <v>1583</v>
      </c>
      <c r="B1279" s="17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s="17" t="s">
        <v>1584</v>
      </c>
      <c r="B1280" s="17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s="17" t="s">
        <v>1585</v>
      </c>
      <c r="B1281" s="17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s="17" t="s">
        <v>1586</v>
      </c>
      <c r="B1282" s="17" t="s">
        <v>10</v>
      </c>
      <c r="C1282" s="2">
        <v>46118.349659687497</v>
      </c>
      <c r="D1282">
        <v>3</v>
      </c>
      <c r="E1282" s="7" t="s">
        <v>1587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s="17" t="s">
        <v>1588</v>
      </c>
      <c r="B1283" s="17" t="s">
        <v>10</v>
      </c>
      <c r="C1283" s="2">
        <v>46118.349827048609</v>
      </c>
      <c r="D1283">
        <v>3</v>
      </c>
      <c r="E1283" s="7" t="s">
        <v>1589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s="17" t="s">
        <v>1590</v>
      </c>
      <c r="B1284" s="17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s="17" t="s">
        <v>1591</v>
      </c>
      <c r="B1285" s="17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s="17" t="s">
        <v>1592</v>
      </c>
      <c r="B1286" s="17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s="17" t="s">
        <v>1607</v>
      </c>
      <c r="B1287" s="17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s="17" t="s">
        <v>1608</v>
      </c>
      <c r="B1288" s="17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s="17" t="s">
        <v>1609</v>
      </c>
      <c r="B1289" s="17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s="17" t="s">
        <v>1610</v>
      </c>
      <c r="B1290" s="17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s="17" t="s">
        <v>1611</v>
      </c>
      <c r="B1291" s="17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s="17" t="s">
        <v>1612</v>
      </c>
      <c r="B1292" s="17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s="17" t="s">
        <v>1613</v>
      </c>
      <c r="B1293" s="17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s="17" t="s">
        <v>1614</v>
      </c>
      <c r="B1294" s="17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s="17" t="s">
        <v>1615</v>
      </c>
      <c r="B1295" s="17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s="17" t="s">
        <v>1616</v>
      </c>
      <c r="B1296" s="17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s="17" t="s">
        <v>1617</v>
      </c>
      <c r="B1297" s="17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s="17" t="s">
        <v>1618</v>
      </c>
      <c r="B1298" s="17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s="17" t="s">
        <v>1619</v>
      </c>
      <c r="B1299" s="17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s="17" t="s">
        <v>1620</v>
      </c>
      <c r="B1300" s="17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s="17" t="s">
        <v>1628</v>
      </c>
      <c r="B1301" s="17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s="17" t="s">
        <v>1629</v>
      </c>
      <c r="B1302" s="17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s="17" t="s">
        <v>1630</v>
      </c>
      <c r="B1303" s="17" t="s">
        <v>10</v>
      </c>
      <c r="C1303" s="2">
        <v>46120.427831805559</v>
      </c>
      <c r="D1303">
        <v>3</v>
      </c>
      <c r="E1303" s="7" t="s">
        <v>1631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s="17" t="s">
        <v>1632</v>
      </c>
      <c r="B1304" s="17" t="s">
        <v>10</v>
      </c>
      <c r="C1304" s="2">
        <v>46120.428160798612</v>
      </c>
      <c r="D1304">
        <v>3</v>
      </c>
      <c r="E1304" s="7" t="s">
        <v>1633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s="17" t="s">
        <v>1634</v>
      </c>
      <c r="B1305" s="17" t="s">
        <v>10</v>
      </c>
      <c r="C1305" s="2">
        <v>46120.439439247682</v>
      </c>
      <c r="D1305">
        <v>3</v>
      </c>
      <c r="E1305" s="7" t="s">
        <v>1635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s="17" t="s">
        <v>1641</v>
      </c>
      <c r="B1306" s="17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s="17" t="s">
        <v>1642</v>
      </c>
      <c r="B1307" s="17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s="17" t="s">
        <v>1643</v>
      </c>
      <c r="B1308" s="17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s="17" t="s">
        <v>1656</v>
      </c>
      <c r="B1309" s="17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s="17" t="s">
        <v>1644</v>
      </c>
      <c r="B1310" s="17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s="17" t="s">
        <v>1645</v>
      </c>
      <c r="B1311" s="17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s="17" t="s">
        <v>1646</v>
      </c>
      <c r="B1312" s="17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s="17" t="s">
        <v>1647</v>
      </c>
      <c r="B1313" s="17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s="17" t="s">
        <v>1648</v>
      </c>
      <c r="B1314" s="17" t="s">
        <v>10</v>
      </c>
      <c r="C1314" s="2">
        <v>46121.587885173612</v>
      </c>
      <c r="D1314">
        <v>3</v>
      </c>
      <c r="E1314" s="7" t="s">
        <v>1649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s="17" t="s">
        <v>1650</v>
      </c>
      <c r="B1315" s="17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s="17" t="s">
        <v>1651</v>
      </c>
      <c r="B1316" s="17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s="17" t="s">
        <v>1652</v>
      </c>
      <c r="B1317" s="17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s="17" t="s">
        <v>1653</v>
      </c>
      <c r="B1318" s="17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s="17" t="s">
        <v>1657</v>
      </c>
      <c r="B1319" s="17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s="17" t="s">
        <v>1658</v>
      </c>
      <c r="B1320" s="17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s="17" t="s">
        <v>1738</v>
      </c>
      <c r="B1321" s="17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s="17" t="s">
        <v>1659</v>
      </c>
      <c r="B1322" s="17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s="17" t="s">
        <v>1660</v>
      </c>
      <c r="B1323" s="17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s="17" t="s">
        <v>1661</v>
      </c>
      <c r="B1324" s="17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s="17" t="s">
        <v>1662</v>
      </c>
      <c r="B1325" s="17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s="17" t="s">
        <v>1663</v>
      </c>
      <c r="B1326" s="17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s="17" t="s">
        <v>1664</v>
      </c>
      <c r="B1327" s="17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s="17" t="s">
        <v>1665</v>
      </c>
      <c r="B1328" s="17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s="17" t="s">
        <v>1666</v>
      </c>
      <c r="B1329" s="17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s="17" t="s">
        <v>1667</v>
      </c>
      <c r="B1330" s="17" t="s">
        <v>10</v>
      </c>
      <c r="C1330" s="2">
        <v>46121.888651597219</v>
      </c>
      <c r="D1330">
        <v>3</v>
      </c>
      <c r="E1330" s="7" t="s">
        <v>1668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s="17" t="s">
        <v>1669</v>
      </c>
      <c r="B1331" s="17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s="17" t="s">
        <v>1670</v>
      </c>
      <c r="B1332" s="17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s="17" t="s">
        <v>1671</v>
      </c>
      <c r="B1333" s="17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s="17" t="s">
        <v>1672</v>
      </c>
      <c r="B1334" s="17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s="17" t="s">
        <v>1673</v>
      </c>
      <c r="B1335" s="17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s="17" t="s">
        <v>1674</v>
      </c>
      <c r="B1336" s="17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s="17" t="s">
        <v>1675</v>
      </c>
      <c r="B1337" s="17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s="17" t="s">
        <v>1676</v>
      </c>
      <c r="B1338" s="17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s="17" t="s">
        <v>1677</v>
      </c>
      <c r="B1339" s="17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s="17" t="s">
        <v>1678</v>
      </c>
      <c r="B1340" s="17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s="17" t="s">
        <v>1679</v>
      </c>
      <c r="B1341" s="17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s="17" t="s">
        <v>1680</v>
      </c>
      <c r="B1342" s="17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s="17" t="s">
        <v>1681</v>
      </c>
      <c r="B1343" s="17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s="17" t="s">
        <v>1682</v>
      </c>
      <c r="B1344" s="17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s="17" t="s">
        <v>1683</v>
      </c>
      <c r="B1345" s="17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s="17" t="s">
        <v>1684</v>
      </c>
      <c r="B1346" s="17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s="17" t="s">
        <v>1739</v>
      </c>
      <c r="B1347" s="17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s="17" t="s">
        <v>1685</v>
      </c>
      <c r="B1348" s="17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s="17" t="s">
        <v>1686</v>
      </c>
      <c r="B1349" s="17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s="17" t="s">
        <v>1687</v>
      </c>
      <c r="B1350" s="17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s="17" t="s">
        <v>1697</v>
      </c>
      <c r="B1351" s="17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s="17" t="s">
        <v>1698</v>
      </c>
      <c r="B1352" s="17" t="s">
        <v>10</v>
      </c>
      <c r="C1352" s="2">
        <v>46122.721413587962</v>
      </c>
      <c r="D1352">
        <v>530</v>
      </c>
      <c r="E1352" s="7" t="s">
        <v>1649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s="17" t="s">
        <v>1699</v>
      </c>
      <c r="B1353" s="17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s="17" t="s">
        <v>1700</v>
      </c>
      <c r="B1354" s="17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s="17" t="s">
        <v>1701</v>
      </c>
      <c r="B1355" s="17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s="17" t="s">
        <v>1702</v>
      </c>
      <c r="B1356" s="17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s="17" t="s">
        <v>1703</v>
      </c>
      <c r="B1357" s="17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s="17" t="s">
        <v>1704</v>
      </c>
      <c r="B1358" s="17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s="17" t="s">
        <v>1705</v>
      </c>
      <c r="B1359" s="17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s="17" t="s">
        <v>1706</v>
      </c>
      <c r="B1360" s="17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s="17" t="s">
        <v>1707</v>
      </c>
      <c r="B1361" s="17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s="17" t="s">
        <v>1708</v>
      </c>
      <c r="B1362" s="17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s="17" t="s">
        <v>1709</v>
      </c>
      <c r="B1363" s="17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s="17" t="s">
        <v>1710</v>
      </c>
      <c r="B1364" s="17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s="17" t="s">
        <v>1711</v>
      </c>
      <c r="B1365" s="17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s="17" t="s">
        <v>1712</v>
      </c>
      <c r="B1366" s="17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s="17" t="s">
        <v>1713</v>
      </c>
      <c r="B1367" s="17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s="17" t="s">
        <v>1714</v>
      </c>
      <c r="B1368" s="17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s="17" t="s">
        <v>1715</v>
      </c>
      <c r="B1369" s="17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s="17" t="s">
        <v>1723</v>
      </c>
      <c r="B1370" s="17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s="17" t="s">
        <v>1724</v>
      </c>
      <c r="B1371" s="17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s="17" t="s">
        <v>1725</v>
      </c>
      <c r="B1372" s="17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s="17" t="s">
        <v>1726</v>
      </c>
      <c r="B1373" s="17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s="17" t="s">
        <v>1727</v>
      </c>
      <c r="B1374" s="17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s="17" t="s">
        <v>1728</v>
      </c>
      <c r="B1375" s="17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s="17" t="s">
        <v>1729</v>
      </c>
      <c r="B1376" s="17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s="17" t="s">
        <v>1730</v>
      </c>
      <c r="B1377" s="17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s="17" t="s">
        <v>1731</v>
      </c>
      <c r="B1378" s="17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s="17" t="s">
        <v>1732</v>
      </c>
      <c r="B1379" s="17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s="17" t="s">
        <v>1733</v>
      </c>
      <c r="B1380" s="17" t="s">
        <v>10</v>
      </c>
      <c r="C1380" s="2">
        <v>46124.434859189816</v>
      </c>
      <c r="D1380">
        <v>3</v>
      </c>
      <c r="E1380" s="7" t="s">
        <v>1734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s="17" t="s">
        <v>1735</v>
      </c>
      <c r="B1381" s="17" t="s">
        <v>10</v>
      </c>
      <c r="C1381" s="2">
        <v>46124.46781519676</v>
      </c>
      <c r="D1381">
        <v>3</v>
      </c>
      <c r="E1381" s="7" t="s">
        <v>1734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s="17" t="s">
        <v>1736</v>
      </c>
      <c r="B1382" s="17" t="s">
        <v>10</v>
      </c>
      <c r="C1382" s="2">
        <v>46124.606284594905</v>
      </c>
      <c r="D1382">
        <v>3</v>
      </c>
      <c r="E1382" s="7" t="s">
        <v>1734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s="17" t="s">
        <v>1737</v>
      </c>
      <c r="B1383" s="17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s="17" t="s">
        <v>1740</v>
      </c>
      <c r="B1384" s="17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s="17" t="s">
        <v>1741</v>
      </c>
      <c r="B1385" s="17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s="17" t="s">
        <v>1742</v>
      </c>
      <c r="B1386" s="17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s="17" t="s">
        <v>1743</v>
      </c>
      <c r="B1387" s="17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s="17" t="s">
        <v>1744</v>
      </c>
      <c r="B1388" s="17" t="s">
        <v>10</v>
      </c>
      <c r="C1388" s="2">
        <v>46124.920705046294</v>
      </c>
      <c r="D1388">
        <v>575</v>
      </c>
      <c r="E1388" s="7" t="s">
        <v>1745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s="17" t="s">
        <v>1746</v>
      </c>
      <c r="B1389" s="17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s="17" t="s">
        <v>1747</v>
      </c>
      <c r="B1390" s="17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s="17" t="s">
        <v>1748</v>
      </c>
      <c r="B1391" s="17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s="17" t="s">
        <v>1749</v>
      </c>
      <c r="B1392" s="17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s="17" t="s">
        <v>1750</v>
      </c>
      <c r="B1393" s="17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s="17" t="s">
        <v>1751</v>
      </c>
      <c r="B1394" s="17" t="s">
        <v>10</v>
      </c>
      <c r="C1394" s="2">
        <v>46125.707635601852</v>
      </c>
      <c r="D1394">
        <v>575</v>
      </c>
      <c r="E1394" s="7" t="s">
        <v>1752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s="17" t="s">
        <v>1753</v>
      </c>
      <c r="B1395" s="17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s="17" t="s">
        <v>1754</v>
      </c>
      <c r="B1396" s="17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s="17" t="s">
        <v>1755</v>
      </c>
      <c r="B1397" s="17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s="17" t="s">
        <v>1756</v>
      </c>
      <c r="B1398" s="17" t="s">
        <v>10</v>
      </c>
      <c r="C1398" s="2">
        <v>46125.711008217593</v>
      </c>
      <c r="D1398">
        <v>575</v>
      </c>
      <c r="E1398" s="7" t="s">
        <v>1752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s="17" t="s">
        <v>1757</v>
      </c>
      <c r="B1399" s="17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s="17" t="s">
        <v>1758</v>
      </c>
      <c r="B1400" s="17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s="17" t="s">
        <v>1759</v>
      </c>
      <c r="B1401" s="17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s="17" t="s">
        <v>1760</v>
      </c>
      <c r="B1402" s="17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s="17" t="s">
        <v>1761</v>
      </c>
      <c r="B1403" s="17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s="17" t="s">
        <v>1762</v>
      </c>
      <c r="B1404" s="17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s="17" t="s">
        <v>1763</v>
      </c>
      <c r="B1405" s="17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s="17" t="s">
        <v>1764</v>
      </c>
      <c r="B1406" s="17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s="17" t="s">
        <v>1765</v>
      </c>
      <c r="B1407" s="17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s="17" t="s">
        <v>1766</v>
      </c>
      <c r="B1408" s="17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s="17" t="s">
        <v>1767</v>
      </c>
      <c r="B1409" s="17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s="17" t="s">
        <v>1768</v>
      </c>
      <c r="B1410" s="17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s="17" t="s">
        <v>1769</v>
      </c>
      <c r="B1411" s="17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s="17" t="s">
        <v>1770</v>
      </c>
      <c r="B1412" s="17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s="17" t="s">
        <v>1771</v>
      </c>
      <c r="B1413" s="17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s="17" t="s">
        <v>1772</v>
      </c>
      <c r="B1414" s="17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s="17" t="s">
        <v>1773</v>
      </c>
      <c r="B1415" s="17" t="s">
        <v>10</v>
      </c>
      <c r="C1415" s="2">
        <v>46126.614789282408</v>
      </c>
      <c r="D1415">
        <v>35</v>
      </c>
      <c r="E1415" s="7" t="s">
        <v>1774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s="17" t="s">
        <v>1775</v>
      </c>
      <c r="B1416" s="17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s="17" t="s">
        <v>1776</v>
      </c>
      <c r="B1417" s="17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s="17" t="s">
        <v>1777</v>
      </c>
      <c r="B1418" s="17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s="17" t="s">
        <v>1778</v>
      </c>
      <c r="B1419" s="17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s="17" t="s">
        <v>1779</v>
      </c>
      <c r="B1420" s="17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s="17" t="s">
        <v>1780</v>
      </c>
      <c r="B1421" s="17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s="17" t="s">
        <v>1781</v>
      </c>
      <c r="B1422" s="17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s="17" t="s">
        <v>1782</v>
      </c>
      <c r="B1423" s="17" t="s">
        <v>10</v>
      </c>
      <c r="C1423" s="2">
        <v>46126.809077858794</v>
      </c>
      <c r="D1423">
        <v>573</v>
      </c>
      <c r="E1423" s="7" t="s">
        <v>1783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s="17" t="s">
        <v>1784</v>
      </c>
      <c r="B1424" s="17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s="17" t="s">
        <v>1785</v>
      </c>
      <c r="B1425" s="17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s="17" t="s">
        <v>1786</v>
      </c>
      <c r="B1426" s="17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s="17" t="s">
        <v>1787</v>
      </c>
      <c r="B1427" s="17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s="17" t="s">
        <v>1788</v>
      </c>
      <c r="B1428" s="17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s="17" t="s">
        <v>1789</v>
      </c>
      <c r="B1429" s="17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s="17" t="s">
        <v>1790</v>
      </c>
      <c r="B1430" s="17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s="17" t="s">
        <v>1791</v>
      </c>
      <c r="B1431" s="17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s="17" t="s">
        <v>1792</v>
      </c>
      <c r="B1432" s="17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s="17" t="s">
        <v>1793</v>
      </c>
      <c r="B1433" s="17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s="17" t="s">
        <v>1794</v>
      </c>
      <c r="B1434" s="17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s="17" t="s">
        <v>1795</v>
      </c>
      <c r="B1435" s="17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s="17" t="s">
        <v>1796</v>
      </c>
      <c r="B1436" s="17" t="s">
        <v>10</v>
      </c>
      <c r="C1436" s="2">
        <v>46127.883617025465</v>
      </c>
      <c r="D1436">
        <v>2</v>
      </c>
      <c r="E1436" s="7" t="s">
        <v>1797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s="17" t="s">
        <v>1798</v>
      </c>
      <c r="B1437" s="17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s="17" t="s">
        <v>1799</v>
      </c>
      <c r="B1438" s="17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s="17" t="s">
        <v>1800</v>
      </c>
      <c r="B1439" s="17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s="17" t="s">
        <v>1801</v>
      </c>
      <c r="B1440" s="17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s="17" t="s">
        <v>1802</v>
      </c>
      <c r="B1441" s="17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s="17" t="s">
        <v>1803</v>
      </c>
      <c r="B1442" s="17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s="17" t="s">
        <v>1804</v>
      </c>
      <c r="B1443" s="17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s="17" t="s">
        <v>1805</v>
      </c>
      <c r="B1444" s="17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s="17" t="s">
        <v>1806</v>
      </c>
      <c r="B1445" s="17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s="17" t="s">
        <v>1807</v>
      </c>
      <c r="B1446" s="17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s="17" t="s">
        <v>1808</v>
      </c>
      <c r="B1447" s="17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s="17" t="s">
        <v>1809</v>
      </c>
      <c r="B1448" s="17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s="17" t="s">
        <v>1810</v>
      </c>
      <c r="B1449" s="17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s="17" t="s">
        <v>1811</v>
      </c>
      <c r="B1450" s="17" t="s">
        <v>10</v>
      </c>
      <c r="C1450" s="2">
        <v>46129.35955439815</v>
      </c>
      <c r="D1450">
        <v>3</v>
      </c>
      <c r="E1450" s="7" t="s">
        <v>1812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s="17" t="s">
        <v>1813</v>
      </c>
      <c r="B1451" s="17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s="17" t="s">
        <v>1814</v>
      </c>
      <c r="B1452" s="17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s="17" t="s">
        <v>1815</v>
      </c>
      <c r="B1453" s="17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s="17" t="s">
        <v>1816</v>
      </c>
      <c r="B1454" s="17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s="17" t="s">
        <v>1817</v>
      </c>
      <c r="B1455" s="17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s="17" t="s">
        <v>1818</v>
      </c>
      <c r="B1456" s="17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s="17" t="s">
        <v>1819</v>
      </c>
      <c r="B1457" s="17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s="17" t="s">
        <v>1820</v>
      </c>
      <c r="B1458" s="17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s="17" t="s">
        <v>1821</v>
      </c>
      <c r="B1459" s="17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s="17" t="s">
        <v>1822</v>
      </c>
      <c r="B1460" s="17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s="17" t="s">
        <v>1823</v>
      </c>
      <c r="B1461" s="17" t="s">
        <v>10</v>
      </c>
      <c r="C1461" s="2">
        <v>46130.020055023146</v>
      </c>
      <c r="D1461">
        <v>3</v>
      </c>
      <c r="E1461" s="7" t="s">
        <v>1824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s="17" t="s">
        <v>1825</v>
      </c>
      <c r="B1462" s="17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s="17" t="s">
        <v>1826</v>
      </c>
      <c r="B1463" s="17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s="17" t="s">
        <v>1827</v>
      </c>
      <c r="B1464" s="17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s="17" t="s">
        <v>1828</v>
      </c>
      <c r="B1465" s="17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s="17" t="s">
        <v>1829</v>
      </c>
      <c r="B1466" s="17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s="17" t="s">
        <v>1830</v>
      </c>
      <c r="B1467" s="17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s="17" t="s">
        <v>1831</v>
      </c>
      <c r="B1468" s="17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s="17" t="s">
        <v>1832</v>
      </c>
      <c r="B1469" s="17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s="17" t="s">
        <v>1833</v>
      </c>
      <c r="B1470" s="17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s="17" t="s">
        <v>1834</v>
      </c>
      <c r="B1471" s="17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s="17" t="s">
        <v>1835</v>
      </c>
      <c r="B1472" s="17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s="17" t="s">
        <v>1836</v>
      </c>
      <c r="B1473" s="17" t="s">
        <v>10</v>
      </c>
      <c r="C1473" s="2">
        <v>46132.456829178242</v>
      </c>
      <c r="D1473">
        <v>3</v>
      </c>
      <c r="E1473" s="7" t="s">
        <v>1837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s="17" t="s">
        <v>1838</v>
      </c>
      <c r="B1474" s="17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s="17" t="s">
        <v>1839</v>
      </c>
      <c r="B1475" s="17" t="s">
        <v>10</v>
      </c>
      <c r="C1475" s="2">
        <v>46132.471462592592</v>
      </c>
      <c r="D1475">
        <v>3</v>
      </c>
      <c r="E1475" s="7" t="s">
        <v>1837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s="17" t="s">
        <v>1840</v>
      </c>
      <c r="B1476" s="17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s="17" t="s">
        <v>1841</v>
      </c>
      <c r="B1477" s="17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s="17" t="s">
        <v>1842</v>
      </c>
      <c r="B1478" s="17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s="17" t="s">
        <v>1843</v>
      </c>
      <c r="B1479" s="17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s="17" t="s">
        <v>1844</v>
      </c>
      <c r="B1480" s="17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s="17" t="s">
        <v>1845</v>
      </c>
      <c r="B1481" s="17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s="17" t="s">
        <v>1846</v>
      </c>
      <c r="B1482" s="17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s="17" t="s">
        <v>1847</v>
      </c>
      <c r="B1483" s="17" t="s">
        <v>10</v>
      </c>
      <c r="C1483" s="2">
        <v>46132.575778043982</v>
      </c>
      <c r="D1483">
        <v>3</v>
      </c>
      <c r="E1483" s="7" t="s">
        <v>1649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s="17" t="s">
        <v>1848</v>
      </c>
      <c r="B1484" s="17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s="17" t="s">
        <v>1849</v>
      </c>
      <c r="B1485" s="17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s="17" t="s">
        <v>1850</v>
      </c>
      <c r="B1486" s="17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s="17" t="s">
        <v>1851</v>
      </c>
      <c r="B1487" s="17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s="17" t="s">
        <v>1852</v>
      </c>
      <c r="B1488" s="17" t="s">
        <v>10</v>
      </c>
      <c r="C1488" s="2">
        <v>46132.696782638886</v>
      </c>
      <c r="D1488">
        <v>3</v>
      </c>
      <c r="E1488" s="7" t="s">
        <v>1649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s="17" t="s">
        <v>1853</v>
      </c>
      <c r="B1489" s="17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s="17" t="s">
        <v>1854</v>
      </c>
      <c r="B1490" s="17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s="17" t="s">
        <v>1855</v>
      </c>
      <c r="B1491" s="17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s="17" t="s">
        <v>1856</v>
      </c>
      <c r="B1492" s="17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s="17" t="s">
        <v>1857</v>
      </c>
      <c r="B1493" s="17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s="17" t="s">
        <v>1858</v>
      </c>
      <c r="B1494" s="17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s="17" t="s">
        <v>1859</v>
      </c>
      <c r="B1495" s="17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s="17" t="s">
        <v>1860</v>
      </c>
      <c r="B1496" s="17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s="17" t="s">
        <v>1861</v>
      </c>
      <c r="B1497" s="17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s="17" t="s">
        <v>1862</v>
      </c>
      <c r="B1498" s="17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s="17" t="s">
        <v>1863</v>
      </c>
      <c r="B1499" s="17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s="17" t="s">
        <v>1864</v>
      </c>
      <c r="B1500" s="17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s="17" t="s">
        <v>1865</v>
      </c>
      <c r="B1501" s="17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s="17" t="s">
        <v>1866</v>
      </c>
      <c r="B1502" s="17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s="17" t="s">
        <v>1867</v>
      </c>
      <c r="B1503" s="17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s="17" t="s">
        <v>1868</v>
      </c>
      <c r="B1504" s="17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s="17" t="s">
        <v>1869</v>
      </c>
      <c r="B1505" s="17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s="17" t="s">
        <v>1870</v>
      </c>
      <c r="B1506" s="17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s="17" t="s">
        <v>1871</v>
      </c>
      <c r="B1507" s="17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s="17" t="s">
        <v>1872</v>
      </c>
      <c r="B1508" s="17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s="17" t="s">
        <v>1873</v>
      </c>
      <c r="B1509" s="17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s="17" t="s">
        <v>1874</v>
      </c>
      <c r="B1510" s="17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s="17" t="s">
        <v>1875</v>
      </c>
      <c r="B1511" s="17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s="17" t="s">
        <v>1876</v>
      </c>
      <c r="B1512" s="17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s="17" t="s">
        <v>1877</v>
      </c>
      <c r="B1513" s="17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s="17" t="s">
        <v>1878</v>
      </c>
      <c r="B1514" s="17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s="17" t="s">
        <v>1879</v>
      </c>
      <c r="B1515" s="17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s="17" t="s">
        <v>1880</v>
      </c>
      <c r="B1516" s="17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s="17" t="s">
        <v>1881</v>
      </c>
      <c r="B1517" s="17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s="17" t="s">
        <v>1882</v>
      </c>
      <c r="B1518" s="17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s="17" t="s">
        <v>1883</v>
      </c>
      <c r="B1519" s="17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s="17" t="s">
        <v>1884</v>
      </c>
      <c r="B1520" s="17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s="17" t="s">
        <v>1885</v>
      </c>
      <c r="B1521" s="17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s="17" t="s">
        <v>1886</v>
      </c>
      <c r="B1522" s="17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s="17" t="s">
        <v>1887</v>
      </c>
      <c r="B1523" s="17" t="s">
        <v>10</v>
      </c>
      <c r="C1523" s="2">
        <v>46134.891101469904</v>
      </c>
      <c r="D1523">
        <v>3</v>
      </c>
      <c r="E1523" s="7" t="s">
        <v>1888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s="17" t="s">
        <v>1889</v>
      </c>
      <c r="B1524" s="17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s="17" t="s">
        <v>1890</v>
      </c>
      <c r="B1525" s="17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s="17" t="s">
        <v>1891</v>
      </c>
      <c r="B1526" s="17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s="17" t="s">
        <v>1892</v>
      </c>
      <c r="B1527" s="17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s="17" t="s">
        <v>1893</v>
      </c>
      <c r="B1528" s="17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s="17" t="s">
        <v>1894</v>
      </c>
      <c r="B1529" s="17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s="17" t="s">
        <v>1895</v>
      </c>
      <c r="B1530" s="17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s="17" t="s">
        <v>1896</v>
      </c>
      <c r="B1531" s="17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s="17" t="s">
        <v>1897</v>
      </c>
      <c r="B1532" s="17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s="17" t="s">
        <v>1898</v>
      </c>
      <c r="B1533" s="17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s="17" t="s">
        <v>1899</v>
      </c>
      <c r="B1534" s="17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s="17" t="s">
        <v>1900</v>
      </c>
      <c r="B1535" s="17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s="17" t="s">
        <v>1901</v>
      </c>
      <c r="B1536" s="17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s="17" t="s">
        <v>1902</v>
      </c>
      <c r="B1537" s="17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s="17" t="s">
        <v>1903</v>
      </c>
      <c r="B1538" s="17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s="17" t="s">
        <v>1904</v>
      </c>
      <c r="B1539" s="17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s="17" t="s">
        <v>1905</v>
      </c>
      <c r="B1540" s="17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s="17" t="s">
        <v>1906</v>
      </c>
      <c r="B1541" s="17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s="17" t="s">
        <v>1907</v>
      </c>
      <c r="B1542" s="17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s="17" t="s">
        <v>1908</v>
      </c>
      <c r="B1543" s="17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s="17" t="s">
        <v>1909</v>
      </c>
      <c r="B1544" s="17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s="17" t="s">
        <v>1910</v>
      </c>
      <c r="B1545" s="17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s="17" t="s">
        <v>1911</v>
      </c>
      <c r="B1546" s="17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s="17" t="s">
        <v>1912</v>
      </c>
      <c r="B1547" s="17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s="17" t="s">
        <v>1913</v>
      </c>
      <c r="B1548" s="17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s="17" t="s">
        <v>1914</v>
      </c>
      <c r="B1549" s="17" t="s">
        <v>10</v>
      </c>
      <c r="C1549" s="2">
        <v>46136.854445937497</v>
      </c>
      <c r="D1549">
        <v>2</v>
      </c>
      <c r="E1549" s="7" t="s">
        <v>1915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s="17" t="s">
        <v>1916</v>
      </c>
      <c r="B1550" s="17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s="17" t="s">
        <v>1917</v>
      </c>
      <c r="B1551" s="17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s="17" t="s">
        <v>1918</v>
      </c>
      <c r="B1552" s="17" t="s">
        <v>10</v>
      </c>
      <c r="C1552" s="2">
        <v>46137.224182534723</v>
      </c>
      <c r="D1552">
        <v>3</v>
      </c>
      <c r="E1552" s="7" t="s">
        <v>1919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s="17" t="s">
        <v>1920</v>
      </c>
      <c r="B1553" s="17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s="17" t="s">
        <v>1921</v>
      </c>
      <c r="B1554" s="17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s="17" t="s">
        <v>1922</v>
      </c>
      <c r="B1555" s="17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s="17" t="s">
        <v>1923</v>
      </c>
      <c r="B1556" s="17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s="17" t="s">
        <v>1924</v>
      </c>
      <c r="B1557" s="17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s="17" t="s">
        <v>1925</v>
      </c>
      <c r="B1558" s="17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s="17" t="s">
        <v>1926</v>
      </c>
      <c r="B1559" s="17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s="17" t="s">
        <v>1927</v>
      </c>
      <c r="B1560" s="17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s="17" t="s">
        <v>1928</v>
      </c>
      <c r="B1561" s="17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s="17" t="s">
        <v>1929</v>
      </c>
      <c r="B1562" s="17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s="17" t="s">
        <v>1930</v>
      </c>
      <c r="B1563" s="17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s="17" t="s">
        <v>1931</v>
      </c>
      <c r="B1564" s="17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s="17" t="s">
        <v>1932</v>
      </c>
      <c r="B1565" s="17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s="17" t="s">
        <v>1933</v>
      </c>
      <c r="B1566" s="17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s="17" t="s">
        <v>1934</v>
      </c>
      <c r="B1567" s="17" t="s">
        <v>10</v>
      </c>
      <c r="C1567" s="2">
        <v>46138.751043564815</v>
      </c>
      <c r="D1567">
        <v>569</v>
      </c>
      <c r="E1567" s="7" t="s">
        <v>1935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s="17" t="s">
        <v>1936</v>
      </c>
      <c r="B1568" s="17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s="17" t="s">
        <v>1937</v>
      </c>
      <c r="B1569" s="17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s="17" t="s">
        <v>1938</v>
      </c>
      <c r="B1570" s="17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s="17" t="s">
        <v>1939</v>
      </c>
      <c r="B1571" s="17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s="17" t="s">
        <v>1940</v>
      </c>
      <c r="B1572" s="17" t="s">
        <v>10</v>
      </c>
      <c r="C1572" s="2">
        <v>46138.860663472224</v>
      </c>
      <c r="D1572">
        <v>3</v>
      </c>
      <c r="E1572" s="7" t="s">
        <v>1941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s="17" t="s">
        <v>1942</v>
      </c>
      <c r="B1573" s="17" t="s">
        <v>10</v>
      </c>
      <c r="C1573" s="2">
        <v>46139.373851909724</v>
      </c>
      <c r="D1573">
        <v>3</v>
      </c>
      <c r="E1573" s="7" t="s">
        <v>1943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s="17" t="s">
        <v>1944</v>
      </c>
      <c r="B1574" s="17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s="17" t="s">
        <v>1945</v>
      </c>
      <c r="B1575" s="17" t="s">
        <v>10</v>
      </c>
      <c r="C1575" s="2">
        <v>46139.55370895833</v>
      </c>
      <c r="D1575">
        <v>3</v>
      </c>
      <c r="E1575" s="7" t="s">
        <v>1943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s="17" t="s">
        <v>1946</v>
      </c>
      <c r="B1576" s="17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s="17" t="s">
        <v>1947</v>
      </c>
      <c r="B1577" s="17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s="17" t="s">
        <v>1948</v>
      </c>
      <c r="B1578" s="17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s="17" t="s">
        <v>1949</v>
      </c>
      <c r="B1579" s="17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s="17" t="s">
        <v>1950</v>
      </c>
      <c r="B1580" s="17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s="17" t="s">
        <v>1951</v>
      </c>
      <c r="B1581" s="17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s="17" t="s">
        <v>1952</v>
      </c>
      <c r="B1582" s="17" t="s">
        <v>10</v>
      </c>
      <c r="C1582" s="2">
        <v>46139.904558692127</v>
      </c>
      <c r="D1582">
        <v>569</v>
      </c>
      <c r="E1582" s="7" t="s">
        <v>1953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s="17" t="s">
        <v>1954</v>
      </c>
      <c r="B1583" s="17" t="s">
        <v>10</v>
      </c>
      <c r="C1583" s="2">
        <v>46139.921015115739</v>
      </c>
      <c r="D1583">
        <v>3</v>
      </c>
      <c r="E1583" s="7" t="s">
        <v>1953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s="17" t="s">
        <v>1955</v>
      </c>
      <c r="B1584" s="17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s="17" t="s">
        <v>1956</v>
      </c>
      <c r="B1585" s="17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s="17" t="s">
        <v>1957</v>
      </c>
      <c r="B1586" s="17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s="17" t="s">
        <v>1958</v>
      </c>
      <c r="B1587" s="17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s="17" t="s">
        <v>1959</v>
      </c>
      <c r="B1588" s="17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s="17" t="s">
        <v>1960</v>
      </c>
      <c r="B1589" s="17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s="17" t="s">
        <v>1961</v>
      </c>
      <c r="B1590" s="17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s="17" t="s">
        <v>1962</v>
      </c>
      <c r="B1591" s="17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s="17" t="s">
        <v>1963</v>
      </c>
      <c r="B1592" s="17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s="17" t="s">
        <v>1964</v>
      </c>
      <c r="B1593" s="17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s="17" t="s">
        <v>1965</v>
      </c>
      <c r="B1594" s="17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s="17" t="s">
        <v>1966</v>
      </c>
      <c r="B1595" s="17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s="17" t="s">
        <v>1967</v>
      </c>
      <c r="B1596" s="17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s="17" t="s">
        <v>1968</v>
      </c>
      <c r="B1597" s="17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s="17" t="s">
        <v>1969</v>
      </c>
      <c r="B1598" s="17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s="17" t="s">
        <v>1970</v>
      </c>
      <c r="B1599" s="17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s="17" t="s">
        <v>1971</v>
      </c>
      <c r="B1600" s="17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s="17" t="s">
        <v>1972</v>
      </c>
      <c r="B1601" s="17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s="17" t="s">
        <v>1973</v>
      </c>
      <c r="B1602" s="17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s="17" t="s">
        <v>1974</v>
      </c>
      <c r="B1603" s="17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s="17" t="s">
        <v>1975</v>
      </c>
      <c r="B1604" s="17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s="17" t="s">
        <v>1976</v>
      </c>
      <c r="B1605" s="17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s="17" t="s">
        <v>1977</v>
      </c>
      <c r="B1606" s="17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s="17" t="s">
        <v>1978</v>
      </c>
      <c r="B1607" s="17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s="17" t="s">
        <v>1979</v>
      </c>
      <c r="B1608" s="17" t="s">
        <v>10</v>
      </c>
      <c r="C1608" s="2">
        <v>46140.663228379628</v>
      </c>
      <c r="D1608">
        <v>3</v>
      </c>
      <c r="E1608" s="7" t="s">
        <v>1980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s="17" t="s">
        <v>1981</v>
      </c>
      <c r="B1609" s="17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s="17" t="s">
        <v>1982</v>
      </c>
      <c r="B1610" s="17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s="17" t="s">
        <v>1983</v>
      </c>
      <c r="B1611" s="17" t="s">
        <v>10</v>
      </c>
      <c r="C1611" s="2">
        <v>46140.682778668983</v>
      </c>
      <c r="D1611">
        <v>569</v>
      </c>
      <c r="E1611" s="7" t="s">
        <v>1984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s="17" t="s">
        <v>1985</v>
      </c>
      <c r="B1612" s="17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s="17" t="s">
        <v>1986</v>
      </c>
      <c r="B1613" s="17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s="17" t="s">
        <v>1987</v>
      </c>
      <c r="B1614" s="17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s="17" t="s">
        <v>1988</v>
      </c>
      <c r="B1615" s="17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s="17" t="s">
        <v>1989</v>
      </c>
      <c r="B1616" s="17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s="17" t="s">
        <v>1990</v>
      </c>
      <c r="B1617" s="17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s="17" t="s">
        <v>1991</v>
      </c>
      <c r="B1618" s="17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s="17" t="s">
        <v>1992</v>
      </c>
      <c r="B1619" s="17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s="17" t="s">
        <v>1993</v>
      </c>
      <c r="B1620" s="17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s="17" t="s">
        <v>1994</v>
      </c>
      <c r="B1621" s="17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s="17" t="s">
        <v>1995</v>
      </c>
      <c r="B1622" s="17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s="17" t="s">
        <v>1996</v>
      </c>
      <c r="B1623" s="17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s="17" t="s">
        <v>1997</v>
      </c>
      <c r="B1624" s="17" t="s">
        <v>10</v>
      </c>
      <c r="C1624" s="2">
        <v>46140.91379958333</v>
      </c>
      <c r="D1624">
        <v>3</v>
      </c>
      <c r="E1624" s="7" t="s">
        <v>1998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s="17" t="s">
        <v>1999</v>
      </c>
      <c r="B1625" s="17" t="s">
        <v>10</v>
      </c>
      <c r="C1625" s="2">
        <v>46140.918326863422</v>
      </c>
      <c r="D1625">
        <v>3</v>
      </c>
      <c r="E1625" s="7" t="s">
        <v>1998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s="17" t="s">
        <v>2000</v>
      </c>
      <c r="B1626" s="17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s="17" t="s">
        <v>2001</v>
      </c>
      <c r="B1627" s="17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s="17" t="s">
        <v>2002</v>
      </c>
      <c r="B1628" s="17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s="17" t="s">
        <v>2003</v>
      </c>
      <c r="B1629" s="17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s="17" t="s">
        <v>2004</v>
      </c>
      <c r="B1630" s="17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s="17" t="s">
        <v>2005</v>
      </c>
      <c r="B1631" s="17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s="17" t="s">
        <v>2006</v>
      </c>
      <c r="B1632" s="17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s="17" t="s">
        <v>2007</v>
      </c>
      <c r="B1633" s="17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s="17" t="s">
        <v>2008</v>
      </c>
      <c r="B1634" s="17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s="17" t="s">
        <v>2009</v>
      </c>
      <c r="B1635" s="17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s="17" t="s">
        <v>2010</v>
      </c>
      <c r="B1636" s="17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s="17" t="s">
        <v>2011</v>
      </c>
      <c r="B1637" s="17" t="s">
        <v>10</v>
      </c>
      <c r="C1637" s="2">
        <v>46141.938073368059</v>
      </c>
      <c r="D1637">
        <v>3</v>
      </c>
      <c r="E1637" s="7" t="s">
        <v>2012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s="17" t="s">
        <v>2013</v>
      </c>
      <c r="B1638" s="17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s="17" t="s">
        <v>2014</v>
      </c>
      <c r="B1639" s="17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s="17" t="s">
        <v>2015</v>
      </c>
      <c r="B1640" s="17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s="17" t="s">
        <v>2016</v>
      </c>
      <c r="B1641" s="17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s="17" t="s">
        <v>2017</v>
      </c>
      <c r="B1642" s="17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s="17" t="s">
        <v>2018</v>
      </c>
      <c r="B1643" s="17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s="17" t="s">
        <v>2019</v>
      </c>
      <c r="B1644" s="17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s="17" t="s">
        <v>2020</v>
      </c>
      <c r="B1645" s="17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s="17" t="s">
        <v>2021</v>
      </c>
      <c r="B1646" s="17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s="17" t="s">
        <v>2022</v>
      </c>
      <c r="B1647" s="17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s="17" t="s">
        <v>2023</v>
      </c>
      <c r="B1648" s="17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s="17" t="s">
        <v>2024</v>
      </c>
      <c r="B1649" s="17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s="17" t="s">
        <v>2025</v>
      </c>
      <c r="B1650" s="17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s="17" t="s">
        <v>2026</v>
      </c>
      <c r="B1651" s="17" t="s">
        <v>10</v>
      </c>
      <c r="C1651" s="2">
        <v>46142.590579398151</v>
      </c>
      <c r="D1651">
        <v>3</v>
      </c>
      <c r="E1651" s="7" t="s">
        <v>2027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s="17" t="s">
        <v>2028</v>
      </c>
      <c r="B1652" s="17" t="s">
        <v>10</v>
      </c>
      <c r="C1652" s="2">
        <v>46142.591535231484</v>
      </c>
      <c r="D1652">
        <v>526</v>
      </c>
      <c r="E1652" s="7" t="s">
        <v>2029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s="17" t="s">
        <v>2030</v>
      </c>
      <c r="B1653" s="17" t="s">
        <v>10</v>
      </c>
      <c r="C1653" s="2">
        <v>46142.598439976849</v>
      </c>
      <c r="D1653">
        <v>526</v>
      </c>
      <c r="E1653" s="7" t="s">
        <v>2031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s="17" t="s">
        <v>2032</v>
      </c>
      <c r="B1654" s="17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s="17" t="s">
        <v>2033</v>
      </c>
      <c r="B1655" s="17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s="17" t="s">
        <v>2034</v>
      </c>
      <c r="B1656" s="17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s="17" t="s">
        <v>2035</v>
      </c>
      <c r="B1657" s="17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s="17" t="s">
        <v>2036</v>
      </c>
      <c r="B1658" s="17" t="s">
        <v>10</v>
      </c>
      <c r="C1658" s="2">
        <v>46142.882102037038</v>
      </c>
      <c r="D1658">
        <v>569</v>
      </c>
      <c r="E1658" s="7" t="s">
        <v>2037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s="17" t="s">
        <v>2038</v>
      </c>
      <c r="B1659" s="17" t="s">
        <v>10</v>
      </c>
      <c r="C1659" s="2">
        <v>46142.895421643516</v>
      </c>
      <c r="D1659">
        <v>3</v>
      </c>
      <c r="E1659" s="7" t="s">
        <v>2039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s="17" t="s">
        <v>2040</v>
      </c>
      <c r="B1660" s="17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s="17" t="s">
        <v>2041</v>
      </c>
      <c r="B1661" s="17" t="s">
        <v>10</v>
      </c>
      <c r="C1661" s="2">
        <v>46142.91956115741</v>
      </c>
      <c r="D1661">
        <v>569</v>
      </c>
      <c r="E1661" s="7" t="s">
        <v>2037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s="17" t="s">
        <v>2042</v>
      </c>
      <c r="B1662" s="17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s="17" t="s">
        <v>2043</v>
      </c>
      <c r="B1663" s="17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s="17" t="s">
        <v>2044</v>
      </c>
      <c r="B1664" s="17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s="17" t="s">
        <v>2045</v>
      </c>
      <c r="B1665" s="17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s="17" t="s">
        <v>2046</v>
      </c>
      <c r="B1666" s="17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s="17" t="s">
        <v>2047</v>
      </c>
      <c r="B1667" s="17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s="17" t="s">
        <v>2048</v>
      </c>
      <c r="B1668" s="17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s="17" t="s">
        <v>2049</v>
      </c>
      <c r="B1669" s="17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s="17" t="s">
        <v>2050</v>
      </c>
      <c r="B1670" s="17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s="17" t="s">
        <v>2051</v>
      </c>
      <c r="B1671" s="17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s="17" t="s">
        <v>2052</v>
      </c>
      <c r="B1672" s="17" t="s">
        <v>10</v>
      </c>
      <c r="C1672" s="2">
        <v>46143.734425740739</v>
      </c>
      <c r="D1672">
        <v>569</v>
      </c>
      <c r="E1672" s="7" t="s">
        <v>2037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s="17" t="s">
        <v>2053</v>
      </c>
      <c r="B1673" s="17" t="s">
        <v>10</v>
      </c>
      <c r="C1673" s="2">
        <v>46143.738750381941</v>
      </c>
      <c r="D1673">
        <v>569</v>
      </c>
      <c r="E1673" s="7" t="s">
        <v>2054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s="17" t="s">
        <v>2055</v>
      </c>
      <c r="B1674" s="17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s="17" t="s">
        <v>2056</v>
      </c>
      <c r="B1675" s="17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s="17" t="s">
        <v>2057</v>
      </c>
      <c r="B1676" s="17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s="17" t="s">
        <v>2058</v>
      </c>
      <c r="B1677" s="17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s="17" t="s">
        <v>2059</v>
      </c>
      <c r="B1678" s="17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s="17" t="s">
        <v>2060</v>
      </c>
      <c r="B1679" s="17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s="17" t="s">
        <v>2061</v>
      </c>
      <c r="B1680" s="17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s="17" t="s">
        <v>2062</v>
      </c>
      <c r="B1681" s="17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s="17" t="s">
        <v>2063</v>
      </c>
      <c r="B1682" s="17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s="17" t="s">
        <v>2064</v>
      </c>
      <c r="B1683" s="17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s="17" t="s">
        <v>2065</v>
      </c>
      <c r="B1684" s="17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s="17" t="s">
        <v>2066</v>
      </c>
      <c r="B1685" s="17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s="17" t="s">
        <v>2067</v>
      </c>
      <c r="B1686" s="17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s="17" t="s">
        <v>2068</v>
      </c>
      <c r="B1687" s="17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s="17" t="s">
        <v>2069</v>
      </c>
      <c r="B1688" s="17" t="s">
        <v>10</v>
      </c>
      <c r="C1688" s="2">
        <v>46145.487504837962</v>
      </c>
      <c r="D1688">
        <v>569</v>
      </c>
      <c r="E1688" s="7" t="s">
        <v>2070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s="17" t="s">
        <v>2071</v>
      </c>
      <c r="B1689" s="17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s="17" t="s">
        <v>2072</v>
      </c>
      <c r="B1690" s="17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s="17" t="s">
        <v>2073</v>
      </c>
      <c r="B1691" s="17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s="17" t="s">
        <v>2074</v>
      </c>
      <c r="B1692" s="17" t="s">
        <v>10</v>
      </c>
      <c r="C1692" s="2">
        <v>46145.557265613425</v>
      </c>
      <c r="D1692">
        <v>569</v>
      </c>
      <c r="E1692" s="7" t="s">
        <v>2070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s="17" t="s">
        <v>2075</v>
      </c>
      <c r="B1693" s="17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s="17" t="s">
        <v>2076</v>
      </c>
      <c r="B1694" s="17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s="17" t="s">
        <v>2077</v>
      </c>
      <c r="B1695" s="17" t="s">
        <v>10</v>
      </c>
      <c r="C1695" s="2">
        <v>46145.60108479167</v>
      </c>
      <c r="D1695">
        <v>3</v>
      </c>
      <c r="E1695" s="7" t="s">
        <v>2078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s="17" t="s">
        <v>2079</v>
      </c>
      <c r="B1696" s="17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s="17" t="s">
        <v>2080</v>
      </c>
      <c r="B1697" s="17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s="17" t="s">
        <v>2081</v>
      </c>
      <c r="B1698" s="17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s="17" t="s">
        <v>2082</v>
      </c>
      <c r="B1699" s="17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s="17" t="s">
        <v>2083</v>
      </c>
      <c r="B1700" s="17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s="17" t="s">
        <v>2084</v>
      </c>
      <c r="B1701" s="17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s="17" t="s">
        <v>2085</v>
      </c>
      <c r="B1702" s="17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s="17" t="s">
        <v>2086</v>
      </c>
      <c r="B1703" s="17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s="17" t="s">
        <v>2087</v>
      </c>
      <c r="B1704" s="17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s="17" t="s">
        <v>2088</v>
      </c>
      <c r="B1705" s="17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s="17" t="s">
        <v>2089</v>
      </c>
      <c r="B1706" s="17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s="17" t="s">
        <v>2090</v>
      </c>
      <c r="B1707" s="17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s="17" t="s">
        <v>2091</v>
      </c>
      <c r="B1708" s="17" t="s">
        <v>10</v>
      </c>
      <c r="C1708" s="2">
        <v>46146.384283240739</v>
      </c>
      <c r="D1708">
        <v>569</v>
      </c>
      <c r="E1708" s="7" t="s">
        <v>2092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s="17" t="s">
        <v>2093</v>
      </c>
      <c r="B1709" s="17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s="17" t="s">
        <v>2094</v>
      </c>
      <c r="B1710" s="17" t="s">
        <v>10</v>
      </c>
      <c r="C1710" s="2">
        <v>46146.393150937503</v>
      </c>
      <c r="D1710">
        <v>569</v>
      </c>
      <c r="E1710" s="7" t="s">
        <v>2095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s="17" t="s">
        <v>2096</v>
      </c>
      <c r="B1711" s="17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s="17" t="s">
        <v>2097</v>
      </c>
      <c r="B1712" s="17" t="s">
        <v>10</v>
      </c>
      <c r="C1712" s="2">
        <v>46146.425522812497</v>
      </c>
      <c r="D1712">
        <v>569</v>
      </c>
      <c r="E1712" s="7" t="s">
        <v>2070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s="17" t="s">
        <v>2098</v>
      </c>
      <c r="B1713" s="17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s="17" t="s">
        <v>2099</v>
      </c>
      <c r="B1714" s="17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s="17" t="s">
        <v>2100</v>
      </c>
      <c r="B1715" s="17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s="17" t="s">
        <v>2101</v>
      </c>
      <c r="B1716" s="17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s="17" t="s">
        <v>2102</v>
      </c>
      <c r="B1717" s="17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s="17" t="s">
        <v>2103</v>
      </c>
      <c r="B1718" s="17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s="17" t="s">
        <v>2104</v>
      </c>
      <c r="B1719" s="17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s="17" t="s">
        <v>2105</v>
      </c>
      <c r="B1720" s="17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s="17" t="s">
        <v>2106</v>
      </c>
      <c r="B1721" s="17" t="s">
        <v>10</v>
      </c>
      <c r="C1721" s="2">
        <v>46146.663017233797</v>
      </c>
      <c r="D1721">
        <v>569</v>
      </c>
      <c r="E1721" s="7" t="s">
        <v>2107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s="17" t="s">
        <v>2108</v>
      </c>
      <c r="B1722" s="17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s="17" t="s">
        <v>2109</v>
      </c>
      <c r="B1723" s="17" t="s">
        <v>10</v>
      </c>
      <c r="C1723" s="2">
        <v>46146.668523414352</v>
      </c>
      <c r="D1723">
        <v>569</v>
      </c>
      <c r="E1723" s="7" t="s">
        <v>2107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s="17" t="s">
        <v>2110</v>
      </c>
      <c r="B1724" s="17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s="17" t="s">
        <v>2111</v>
      </c>
      <c r="B1725" s="17" t="s">
        <v>10</v>
      </c>
      <c r="C1725" s="2">
        <v>46146.73637697917</v>
      </c>
      <c r="D1725">
        <v>3</v>
      </c>
      <c r="E1725" s="7" t="s">
        <v>2112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s="17" t="s">
        <v>2113</v>
      </c>
      <c r="B1726" s="17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s="17" t="s">
        <v>2114</v>
      </c>
      <c r="B1727" s="17" t="s">
        <v>10</v>
      </c>
      <c r="C1727" s="2">
        <v>46146.756187905092</v>
      </c>
      <c r="D1727">
        <v>3</v>
      </c>
      <c r="E1727" s="7" t="s">
        <v>2112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s="17" t="s">
        <v>2115</v>
      </c>
      <c r="B1728" s="17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s="17" t="s">
        <v>2116</v>
      </c>
      <c r="B1729" s="17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s="17" t="s">
        <v>2117</v>
      </c>
      <c r="B1730" s="17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s="17" t="s">
        <v>2118</v>
      </c>
      <c r="B1731" s="17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s="17" t="s">
        <v>2119</v>
      </c>
      <c r="B1732" s="17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s="17" t="s">
        <v>2120</v>
      </c>
      <c r="B1733" s="17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s="17" t="s">
        <v>2121</v>
      </c>
      <c r="B1734" s="17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s="17" t="s">
        <v>2122</v>
      </c>
      <c r="B1735" s="17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s="17" t="s">
        <v>2123</v>
      </c>
      <c r="B1736" s="17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s="17" t="s">
        <v>2124</v>
      </c>
      <c r="B1737" s="17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s="17" t="s">
        <v>2125</v>
      </c>
      <c r="B1738" s="17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s="17" t="s">
        <v>2126</v>
      </c>
      <c r="B1739" s="17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s="17" t="s">
        <v>2127</v>
      </c>
      <c r="B1740" s="17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s="17" t="s">
        <v>2128</v>
      </c>
      <c r="B1741" s="17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s="17" t="s">
        <v>2129</v>
      </c>
      <c r="B1742" s="17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s="17" t="s">
        <v>2130</v>
      </c>
      <c r="B1743" s="17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s="17" t="s">
        <v>2131</v>
      </c>
      <c r="B1744" s="17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s="17" t="s">
        <v>2132</v>
      </c>
      <c r="B1745" s="17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s="17" t="s">
        <v>2133</v>
      </c>
      <c r="B1746" s="17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s="17" t="s">
        <v>2134</v>
      </c>
      <c r="B1747" s="17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s="17" t="s">
        <v>2135</v>
      </c>
      <c r="B1748" s="17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s="17" t="s">
        <v>2136</v>
      </c>
      <c r="B1749" s="17" t="s">
        <v>10</v>
      </c>
      <c r="C1749" s="2">
        <v>46147.373606238427</v>
      </c>
      <c r="D1749">
        <v>569</v>
      </c>
      <c r="E1749" s="7" t="s">
        <v>2137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s="17" t="s">
        <v>2138</v>
      </c>
      <c r="B1750" s="17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s="17" t="s">
        <v>2139</v>
      </c>
      <c r="B1751" s="17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s="17" t="s">
        <v>2140</v>
      </c>
      <c r="B1752" s="17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s="17" t="s">
        <v>2141</v>
      </c>
      <c r="B1753" s="17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s="17" t="s">
        <v>2142</v>
      </c>
      <c r="B1754" s="17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s="17" t="s">
        <v>2143</v>
      </c>
      <c r="B1755" s="17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s="17" t="s">
        <v>2144</v>
      </c>
      <c r="B1756" s="17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s="17" t="s">
        <v>2145</v>
      </c>
      <c r="B1757" s="17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s="17" t="s">
        <v>2146</v>
      </c>
      <c r="B1758" s="17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s="17" t="s">
        <v>2147</v>
      </c>
      <c r="B1759" s="17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s="17" t="s">
        <v>2148</v>
      </c>
      <c r="B1760" s="17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s="17" t="s">
        <v>2149</v>
      </c>
      <c r="B1761" s="17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s="17" t="s">
        <v>2150</v>
      </c>
      <c r="B1762" s="17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s="17" t="s">
        <v>2151</v>
      </c>
      <c r="B1763" s="17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s="17" t="s">
        <v>2152</v>
      </c>
      <c r="B1764" s="17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s="17" t="s">
        <v>2153</v>
      </c>
      <c r="B1765" s="17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s="17" t="s">
        <v>2154</v>
      </c>
      <c r="B1766" s="17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s="17" t="s">
        <v>2155</v>
      </c>
      <c r="B1767" s="17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s="17" t="s">
        <v>2156</v>
      </c>
      <c r="B1768" s="17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s="17" t="s">
        <v>2157</v>
      </c>
      <c r="B1769" s="17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s="17" t="s">
        <v>2158</v>
      </c>
      <c r="B1770" s="17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  <row r="1771" spans="1:9" x14ac:dyDescent="0.2">
      <c r="A1771" s="17" t="s">
        <v>2171</v>
      </c>
      <c r="B1771" s="17" t="s">
        <v>10</v>
      </c>
      <c r="C1771" s="2">
        <v>46147.721297581018</v>
      </c>
      <c r="D1771">
        <v>526</v>
      </c>
      <c r="F1771" s="2">
        <v>46147.429630914354</v>
      </c>
      <c r="G1771" s="3">
        <v>46147</v>
      </c>
      <c r="H1771" t="s">
        <v>28</v>
      </c>
      <c r="I1771">
        <v>10</v>
      </c>
    </row>
    <row r="1772" spans="1:9" x14ac:dyDescent="0.2">
      <c r="A1772" s="17" t="s">
        <v>2172</v>
      </c>
      <c r="B1772" s="17" t="s">
        <v>10</v>
      </c>
      <c r="C1772" s="2">
        <v>46147.726057766202</v>
      </c>
      <c r="D1772">
        <v>1</v>
      </c>
      <c r="F1772" s="2">
        <v>46147.434391099538</v>
      </c>
      <c r="G1772" s="3">
        <v>46147</v>
      </c>
      <c r="H1772" t="s">
        <v>28</v>
      </c>
      <c r="I1772">
        <v>10</v>
      </c>
    </row>
    <row r="1773" spans="1:9" x14ac:dyDescent="0.2">
      <c r="A1773" s="17" t="s">
        <v>2173</v>
      </c>
      <c r="B1773" s="17" t="s">
        <v>10</v>
      </c>
      <c r="C1773" s="2">
        <v>46147.738909872685</v>
      </c>
      <c r="D1773">
        <v>569</v>
      </c>
      <c r="E1773" s="7" t="s">
        <v>60</v>
      </c>
      <c r="F1773" s="2">
        <v>46147.447243206021</v>
      </c>
      <c r="G1773" s="3">
        <v>46147</v>
      </c>
      <c r="H1773" t="s">
        <v>28</v>
      </c>
      <c r="I1773">
        <v>10</v>
      </c>
    </row>
    <row r="1774" spans="1:9" x14ac:dyDescent="0.2">
      <c r="A1774" s="17" t="s">
        <v>2174</v>
      </c>
      <c r="B1774" s="17" t="s">
        <v>10</v>
      </c>
      <c r="C1774" s="2">
        <v>46147.751541990743</v>
      </c>
      <c r="D1774">
        <v>569</v>
      </c>
      <c r="E1774" s="7" t="s">
        <v>60</v>
      </c>
      <c r="F1774" s="2">
        <v>46147.459875324072</v>
      </c>
      <c r="G1774" s="3">
        <v>46147</v>
      </c>
      <c r="H1774" t="s">
        <v>28</v>
      </c>
      <c r="I1774">
        <v>11</v>
      </c>
    </row>
    <row r="1775" spans="1:9" x14ac:dyDescent="0.2">
      <c r="A1775" s="17" t="s">
        <v>2175</v>
      </c>
      <c r="B1775" s="17" t="s">
        <v>10</v>
      </c>
      <c r="C1775" s="2">
        <v>46147.795628564818</v>
      </c>
      <c r="D1775">
        <v>569</v>
      </c>
      <c r="E1775" s="7" t="s">
        <v>60</v>
      </c>
      <c r="F1775" s="2">
        <v>46147.503961898146</v>
      </c>
      <c r="G1775" s="3">
        <v>46147</v>
      </c>
      <c r="H1775" t="s">
        <v>28</v>
      </c>
      <c r="I1775">
        <v>12</v>
      </c>
    </row>
    <row r="1776" spans="1:9" x14ac:dyDescent="0.2">
      <c r="A1776" s="17" t="s">
        <v>2176</v>
      </c>
      <c r="B1776" s="17" t="s">
        <v>10</v>
      </c>
      <c r="C1776" s="2">
        <v>46147.857123240741</v>
      </c>
      <c r="D1776">
        <v>569</v>
      </c>
      <c r="F1776" s="2">
        <v>46147.565456574077</v>
      </c>
      <c r="G1776" s="3">
        <v>46147</v>
      </c>
      <c r="H1776" t="s">
        <v>28</v>
      </c>
      <c r="I1776">
        <v>13</v>
      </c>
    </row>
    <row r="1777" spans="1:9" x14ac:dyDescent="0.2">
      <c r="A1777" s="17" t="s">
        <v>2177</v>
      </c>
      <c r="B1777" s="17" t="s">
        <v>10</v>
      </c>
      <c r="C1777" s="2">
        <v>46147.86374739583</v>
      </c>
      <c r="D1777">
        <v>526</v>
      </c>
      <c r="F1777" s="2">
        <v>46147.572080729165</v>
      </c>
      <c r="G1777" s="3">
        <v>46147</v>
      </c>
      <c r="H1777" t="s">
        <v>28</v>
      </c>
      <c r="I1777">
        <v>13</v>
      </c>
    </row>
    <row r="1778" spans="1:9" x14ac:dyDescent="0.2">
      <c r="A1778" s="17" t="s">
        <v>2178</v>
      </c>
      <c r="B1778" s="17" t="s">
        <v>10</v>
      </c>
      <c r="C1778" s="2">
        <v>46147.89002608796</v>
      </c>
      <c r="D1778">
        <v>526</v>
      </c>
      <c r="F1778" s="2">
        <v>46147.598359421296</v>
      </c>
      <c r="G1778" s="3">
        <v>46147</v>
      </c>
      <c r="H1778" t="s">
        <v>28</v>
      </c>
      <c r="I1778">
        <v>14</v>
      </c>
    </row>
    <row r="1779" spans="1:9" x14ac:dyDescent="0.2">
      <c r="A1779" s="17" t="s">
        <v>2179</v>
      </c>
      <c r="B1779" s="17" t="s">
        <v>10</v>
      </c>
      <c r="C1779" s="2">
        <v>46147.89757346065</v>
      </c>
      <c r="D1779">
        <v>569</v>
      </c>
      <c r="E1779" s="7" t="s">
        <v>2180</v>
      </c>
      <c r="F1779" s="2">
        <v>46147.605906793979</v>
      </c>
      <c r="G1779" s="3">
        <v>46147</v>
      </c>
      <c r="H1779" t="s">
        <v>28</v>
      </c>
      <c r="I1779">
        <v>14</v>
      </c>
    </row>
    <row r="1780" spans="1:9" x14ac:dyDescent="0.2">
      <c r="A1780" s="17" t="s">
        <v>2181</v>
      </c>
      <c r="B1780" s="17" t="s">
        <v>10</v>
      </c>
      <c r="C1780" s="2">
        <v>46147.905906377317</v>
      </c>
      <c r="D1780">
        <v>3</v>
      </c>
      <c r="E1780" s="7" t="s">
        <v>301</v>
      </c>
      <c r="F1780" s="2">
        <v>46147.614239710645</v>
      </c>
      <c r="G1780" s="3">
        <v>46147</v>
      </c>
      <c r="H1780" t="s">
        <v>28</v>
      </c>
      <c r="I1780">
        <v>14</v>
      </c>
    </row>
    <row r="1781" spans="1:9" x14ac:dyDescent="0.2">
      <c r="A1781" s="17" t="s">
        <v>2182</v>
      </c>
      <c r="B1781" s="17" t="s">
        <v>10</v>
      </c>
      <c r="C1781" s="2">
        <v>46147.907387488427</v>
      </c>
      <c r="D1781">
        <v>569</v>
      </c>
      <c r="E1781" s="7" t="s">
        <v>301</v>
      </c>
      <c r="F1781" s="2">
        <v>46147.615720821763</v>
      </c>
      <c r="G1781" s="3">
        <v>46147</v>
      </c>
      <c r="H1781" t="s">
        <v>28</v>
      </c>
      <c r="I1781">
        <v>14</v>
      </c>
    </row>
    <row r="1782" spans="1:9" x14ac:dyDescent="0.2">
      <c r="A1782" s="17" t="s">
        <v>2183</v>
      </c>
      <c r="B1782" s="17" t="s">
        <v>10</v>
      </c>
      <c r="C1782" s="2">
        <v>46147.909194733795</v>
      </c>
      <c r="D1782">
        <v>569</v>
      </c>
      <c r="E1782" s="7" t="s">
        <v>2184</v>
      </c>
      <c r="F1782" s="2">
        <v>46147.61752806713</v>
      </c>
      <c r="G1782" s="3">
        <v>46147</v>
      </c>
      <c r="H1782" t="s">
        <v>28</v>
      </c>
      <c r="I1782">
        <v>14</v>
      </c>
    </row>
    <row r="1783" spans="1:9" x14ac:dyDescent="0.2">
      <c r="A1783" s="17" t="s">
        <v>2185</v>
      </c>
      <c r="B1783" s="17" t="s">
        <v>10</v>
      </c>
      <c r="C1783" s="2">
        <v>46147.917719340279</v>
      </c>
      <c r="D1783">
        <v>3</v>
      </c>
      <c r="E1783" s="7" t="s">
        <v>2184</v>
      </c>
      <c r="F1783" s="2">
        <v>46147.626052673608</v>
      </c>
      <c r="G1783" s="3">
        <v>46147</v>
      </c>
      <c r="H1783" t="s">
        <v>28</v>
      </c>
      <c r="I1783">
        <v>15</v>
      </c>
    </row>
    <row r="1784" spans="1:9" x14ac:dyDescent="0.2">
      <c r="A1784" s="17" t="s">
        <v>2186</v>
      </c>
      <c r="B1784" s="17" t="s">
        <v>10</v>
      </c>
      <c r="C1784" s="2">
        <v>46148.090601967589</v>
      </c>
      <c r="D1784">
        <v>3</v>
      </c>
      <c r="F1784" s="2">
        <v>46147.798935300925</v>
      </c>
      <c r="G1784" s="3">
        <v>46147</v>
      </c>
      <c r="H1784" t="s">
        <v>28</v>
      </c>
      <c r="I1784">
        <v>19</v>
      </c>
    </row>
    <row r="1785" spans="1:9" x14ac:dyDescent="0.2">
      <c r="A1785" s="17" t="s">
        <v>2187</v>
      </c>
      <c r="B1785" s="17" t="s">
        <v>10</v>
      </c>
      <c r="C1785" s="2">
        <v>46148.146412881943</v>
      </c>
      <c r="D1785">
        <v>3</v>
      </c>
      <c r="F1785" s="2">
        <v>46147.854746215278</v>
      </c>
      <c r="G1785" s="3">
        <v>46147</v>
      </c>
      <c r="H1785" t="s">
        <v>28</v>
      </c>
      <c r="I1785">
        <v>20</v>
      </c>
    </row>
    <row r="1786" spans="1:9" x14ac:dyDescent="0.2">
      <c r="A1786" s="17" t="s">
        <v>2188</v>
      </c>
      <c r="B1786" s="17" t="s">
        <v>10</v>
      </c>
      <c r="C1786" s="2">
        <v>46148.281919988425</v>
      </c>
      <c r="D1786">
        <v>493</v>
      </c>
      <c r="F1786" s="2">
        <v>46147.990253321761</v>
      </c>
      <c r="G1786" s="3">
        <v>46147</v>
      </c>
      <c r="H1786" t="s">
        <v>28</v>
      </c>
      <c r="I1786">
        <v>23</v>
      </c>
    </row>
    <row r="1787" spans="1:9" x14ac:dyDescent="0.2">
      <c r="A1787" s="17" t="s">
        <v>2189</v>
      </c>
      <c r="B1787" s="17" t="s">
        <v>10</v>
      </c>
      <c r="C1787" s="2">
        <v>46148.331629189815</v>
      </c>
      <c r="D1787">
        <v>569</v>
      </c>
      <c r="E1787" s="7" t="s">
        <v>60</v>
      </c>
      <c r="F1787" s="2">
        <v>46148.039962523151</v>
      </c>
      <c r="G1787" s="3">
        <v>46148</v>
      </c>
      <c r="H1787" t="s">
        <v>63</v>
      </c>
      <c r="I1787">
        <v>0</v>
      </c>
    </row>
    <row r="1788" spans="1:9" x14ac:dyDescent="0.2">
      <c r="A1788" s="17" t="s">
        <v>2190</v>
      </c>
      <c r="B1788" s="17" t="s">
        <v>10</v>
      </c>
      <c r="C1788" s="2">
        <v>46148.349193032409</v>
      </c>
      <c r="D1788">
        <v>569</v>
      </c>
      <c r="F1788" s="2">
        <v>46148.057526365737</v>
      </c>
      <c r="G1788" s="3">
        <v>46148</v>
      </c>
      <c r="H1788" t="s">
        <v>63</v>
      </c>
      <c r="I1788">
        <v>1</v>
      </c>
    </row>
    <row r="1789" spans="1:9" x14ac:dyDescent="0.2">
      <c r="A1789" s="17" t="s">
        <v>2191</v>
      </c>
      <c r="B1789" s="17" t="s">
        <v>10</v>
      </c>
      <c r="C1789" s="2">
        <v>46148.369225775466</v>
      </c>
      <c r="D1789">
        <v>569</v>
      </c>
      <c r="F1789" s="2">
        <v>46148.077559108795</v>
      </c>
      <c r="G1789" s="3">
        <v>46148</v>
      </c>
      <c r="H1789" t="s">
        <v>63</v>
      </c>
      <c r="I1789">
        <v>1</v>
      </c>
    </row>
    <row r="1790" spans="1:9" x14ac:dyDescent="0.2">
      <c r="A1790" s="17" t="s">
        <v>2192</v>
      </c>
      <c r="B1790" s="17" t="s">
        <v>10</v>
      </c>
      <c r="C1790" s="2">
        <v>46148.387579930553</v>
      </c>
      <c r="D1790">
        <v>569</v>
      </c>
      <c r="E1790" s="7" t="s">
        <v>60</v>
      </c>
      <c r="F1790" s="2">
        <v>46148.095913263889</v>
      </c>
      <c r="G1790" s="3">
        <v>46148</v>
      </c>
      <c r="H1790" t="s">
        <v>63</v>
      </c>
      <c r="I1790">
        <v>2</v>
      </c>
    </row>
    <row r="1791" spans="1:9" x14ac:dyDescent="0.2">
      <c r="A1791" s="17" t="s">
        <v>2193</v>
      </c>
      <c r="B1791" s="17" t="s">
        <v>10</v>
      </c>
      <c r="C1791" s="2">
        <v>46148.388414131943</v>
      </c>
      <c r="D1791">
        <v>3</v>
      </c>
      <c r="F1791" s="2">
        <v>46148.096747465279</v>
      </c>
      <c r="G1791" s="3">
        <v>46148</v>
      </c>
      <c r="H1791" t="s">
        <v>63</v>
      </c>
      <c r="I1791">
        <v>2</v>
      </c>
    </row>
    <row r="1792" spans="1:9" x14ac:dyDescent="0.2">
      <c r="A1792" s="17" t="s">
        <v>2194</v>
      </c>
      <c r="B1792" s="17" t="s">
        <v>10</v>
      </c>
      <c r="C1792" s="2">
        <v>46148.402283217591</v>
      </c>
      <c r="D1792">
        <v>526</v>
      </c>
      <c r="F1792" s="2">
        <v>46148.110616550926</v>
      </c>
      <c r="G1792" s="3">
        <v>46148</v>
      </c>
      <c r="H1792" t="s">
        <v>63</v>
      </c>
      <c r="I1792">
        <v>2</v>
      </c>
    </row>
    <row r="1793" spans="1:9" x14ac:dyDescent="0.2">
      <c r="A1793" s="17" t="s">
        <v>2195</v>
      </c>
      <c r="B1793" s="17" t="s">
        <v>10</v>
      </c>
      <c r="C1793" s="2">
        <v>46148.426782118055</v>
      </c>
      <c r="D1793">
        <v>526</v>
      </c>
      <c r="F1793" s="2">
        <v>46148.13511545139</v>
      </c>
      <c r="G1793" s="3">
        <v>46148</v>
      </c>
      <c r="H1793" t="s">
        <v>63</v>
      </c>
      <c r="I1793">
        <v>3</v>
      </c>
    </row>
    <row r="1794" spans="1:9" x14ac:dyDescent="0.2">
      <c r="A1794" s="17" t="s">
        <v>2196</v>
      </c>
      <c r="B1794" s="17" t="s">
        <v>10</v>
      </c>
      <c r="C1794" s="2">
        <v>46148.42920136574</v>
      </c>
      <c r="D1794">
        <v>3</v>
      </c>
      <c r="F1794" s="2">
        <v>46148.137534699075</v>
      </c>
      <c r="G1794" s="3">
        <v>46148</v>
      </c>
      <c r="H1794" t="s">
        <v>63</v>
      </c>
      <c r="I1794">
        <v>3</v>
      </c>
    </row>
    <row r="1795" spans="1:9" x14ac:dyDescent="0.2">
      <c r="A1795" s="17" t="s">
        <v>2197</v>
      </c>
      <c r="B1795" s="17" t="s">
        <v>10</v>
      </c>
      <c r="C1795" s="2">
        <v>46148.433921481483</v>
      </c>
      <c r="D1795">
        <v>493</v>
      </c>
      <c r="F1795" s="2">
        <v>46148.142254814818</v>
      </c>
      <c r="G1795" s="3">
        <v>46148</v>
      </c>
      <c r="H1795" t="s">
        <v>63</v>
      </c>
      <c r="I1795">
        <v>3</v>
      </c>
    </row>
    <row r="1796" spans="1:9" x14ac:dyDescent="0.2">
      <c r="A1796" s="17" t="s">
        <v>2198</v>
      </c>
      <c r="B1796" s="17" t="s">
        <v>10</v>
      </c>
      <c r="C1796" s="2">
        <v>46148.459504502316</v>
      </c>
      <c r="D1796">
        <v>526</v>
      </c>
      <c r="F1796" s="2">
        <v>46148.167837835645</v>
      </c>
      <c r="G1796" s="3">
        <v>46148</v>
      </c>
      <c r="H1796" t="s">
        <v>63</v>
      </c>
      <c r="I1796">
        <v>4</v>
      </c>
    </row>
    <row r="1797" spans="1:9" x14ac:dyDescent="0.2">
      <c r="A1797" s="17" t="s">
        <v>2199</v>
      </c>
      <c r="B1797" s="17" t="s">
        <v>10</v>
      </c>
      <c r="C1797" s="2">
        <v>46148.472385046298</v>
      </c>
      <c r="D1797">
        <v>3</v>
      </c>
      <c r="F1797" s="2">
        <v>46148.180718379626</v>
      </c>
      <c r="G1797" s="3">
        <v>46148</v>
      </c>
      <c r="H1797" t="s">
        <v>63</v>
      </c>
      <c r="I1797">
        <v>4</v>
      </c>
    </row>
    <row r="1798" spans="1:9" x14ac:dyDescent="0.2">
      <c r="A1798" s="17" t="s">
        <v>2200</v>
      </c>
      <c r="B1798" s="17" t="s">
        <v>10</v>
      </c>
      <c r="C1798" s="2">
        <v>46148.472945439818</v>
      </c>
      <c r="D1798">
        <v>1</v>
      </c>
      <c r="F1798" s="2">
        <v>46148.181278773147</v>
      </c>
      <c r="G1798" s="3">
        <v>46148</v>
      </c>
      <c r="H1798" t="s">
        <v>63</v>
      </c>
      <c r="I1798">
        <v>4</v>
      </c>
    </row>
    <row r="1799" spans="1:9" x14ac:dyDescent="0.2">
      <c r="A1799" s="17" t="s">
        <v>2201</v>
      </c>
      <c r="B1799" s="17" t="s">
        <v>10</v>
      </c>
      <c r="C1799" s="2">
        <v>46148.478990625001</v>
      </c>
      <c r="D1799">
        <v>3</v>
      </c>
      <c r="F1799" s="2">
        <v>46148.187323958336</v>
      </c>
      <c r="G1799" s="3">
        <v>46148</v>
      </c>
      <c r="H1799" t="s">
        <v>63</v>
      </c>
      <c r="I1799">
        <v>4</v>
      </c>
    </row>
    <row r="1800" spans="1:9" x14ac:dyDescent="0.2">
      <c r="A1800" s="17" t="s">
        <v>2202</v>
      </c>
      <c r="B1800" s="17" t="s">
        <v>10</v>
      </c>
      <c r="C1800" s="2">
        <v>46148.482825011575</v>
      </c>
      <c r="D1800">
        <v>3</v>
      </c>
      <c r="E1800" s="7" t="s">
        <v>2203</v>
      </c>
      <c r="F1800" s="2">
        <v>46148.191158344911</v>
      </c>
      <c r="G1800" s="3">
        <v>46148</v>
      </c>
      <c r="H1800" t="s">
        <v>63</v>
      </c>
      <c r="I1800">
        <v>4</v>
      </c>
    </row>
    <row r="1801" spans="1:9" x14ac:dyDescent="0.2">
      <c r="A1801" s="17" t="s">
        <v>2204</v>
      </c>
      <c r="B1801" s="17" t="s">
        <v>10</v>
      </c>
      <c r="C1801" s="2">
        <v>46148.539125763891</v>
      </c>
      <c r="D1801">
        <v>3</v>
      </c>
      <c r="E1801" s="7" t="s">
        <v>613</v>
      </c>
      <c r="F1801" s="2">
        <v>46148.24745909722</v>
      </c>
      <c r="G1801" s="3">
        <v>46148</v>
      </c>
      <c r="H1801" t="s">
        <v>63</v>
      </c>
      <c r="I1801">
        <v>5</v>
      </c>
    </row>
    <row r="1802" spans="1:9" x14ac:dyDescent="0.2">
      <c r="A1802" s="17" t="s">
        <v>2205</v>
      </c>
      <c r="B1802" s="17" t="s">
        <v>10</v>
      </c>
      <c r="C1802" s="2">
        <v>46148.54544736111</v>
      </c>
      <c r="D1802">
        <v>3</v>
      </c>
      <c r="F1802" s="2">
        <v>46148.253780694446</v>
      </c>
      <c r="G1802" s="3">
        <v>46148</v>
      </c>
      <c r="H1802" t="s">
        <v>63</v>
      </c>
      <c r="I1802">
        <v>6</v>
      </c>
    </row>
    <row r="1803" spans="1:9" x14ac:dyDescent="0.2">
      <c r="A1803" s="17" t="s">
        <v>2206</v>
      </c>
      <c r="B1803" s="17" t="s">
        <v>10</v>
      </c>
      <c r="C1803" s="2">
        <v>46148.591212280095</v>
      </c>
      <c r="D1803">
        <v>493</v>
      </c>
      <c r="F1803" s="2">
        <v>46148.299545613423</v>
      </c>
      <c r="G1803" s="3">
        <v>46148</v>
      </c>
      <c r="H1803" t="s">
        <v>63</v>
      </c>
      <c r="I1803">
        <v>7</v>
      </c>
    </row>
    <row r="1804" spans="1:9" x14ac:dyDescent="0.2">
      <c r="A1804" s="17" t="s">
        <v>2207</v>
      </c>
      <c r="B1804" s="17" t="s">
        <v>10</v>
      </c>
      <c r="C1804" s="2">
        <v>46148.614094606484</v>
      </c>
      <c r="D1804">
        <v>534</v>
      </c>
      <c r="F1804" s="2">
        <v>46148.322427939813</v>
      </c>
      <c r="G1804" s="3">
        <v>46148</v>
      </c>
      <c r="H1804" t="s">
        <v>63</v>
      </c>
      <c r="I1804">
        <v>7</v>
      </c>
    </row>
    <row r="1805" spans="1:9" x14ac:dyDescent="0.2">
      <c r="A1805" s="17" t="s">
        <v>2208</v>
      </c>
      <c r="B1805" s="17" t="s">
        <v>10</v>
      </c>
      <c r="C1805" s="2">
        <v>46148.804498113423</v>
      </c>
      <c r="D1805">
        <v>3</v>
      </c>
      <c r="E1805" s="7" t="s">
        <v>709</v>
      </c>
      <c r="F1805" s="2">
        <v>46148.512831446758</v>
      </c>
      <c r="G1805" s="3">
        <v>46148</v>
      </c>
      <c r="H1805" t="s">
        <v>63</v>
      </c>
      <c r="I1805">
        <v>12</v>
      </c>
    </row>
    <row r="1806" spans="1:9" x14ac:dyDescent="0.2">
      <c r="A1806" s="17" t="s">
        <v>2209</v>
      </c>
      <c r="B1806" s="17" t="s">
        <v>10</v>
      </c>
      <c r="C1806" s="2">
        <v>46148.87324134259</v>
      </c>
      <c r="D1806">
        <v>569</v>
      </c>
      <c r="E1806" s="7" t="s">
        <v>2210</v>
      </c>
      <c r="F1806" s="2">
        <v>46148.581574675925</v>
      </c>
      <c r="G1806" s="3">
        <v>46148</v>
      </c>
      <c r="H1806" t="s">
        <v>63</v>
      </c>
      <c r="I1806">
        <v>13</v>
      </c>
    </row>
    <row r="1807" spans="1:9" x14ac:dyDescent="0.2">
      <c r="A1807" s="17" t="s">
        <v>2211</v>
      </c>
      <c r="B1807" s="17" t="s">
        <v>10</v>
      </c>
      <c r="C1807" s="2">
        <v>46148.882703564814</v>
      </c>
      <c r="D1807">
        <v>569</v>
      </c>
      <c r="E1807" s="7" t="s">
        <v>2212</v>
      </c>
      <c r="F1807" s="2">
        <v>46148.591036898149</v>
      </c>
      <c r="G1807" s="3">
        <v>46148</v>
      </c>
      <c r="H1807" t="s">
        <v>63</v>
      </c>
      <c r="I1807">
        <v>14</v>
      </c>
    </row>
    <row r="1808" spans="1:9" x14ac:dyDescent="0.2">
      <c r="A1808" s="17" t="s">
        <v>2213</v>
      </c>
      <c r="B1808" s="17" t="s">
        <v>10</v>
      </c>
      <c r="C1808" s="2">
        <v>46148.918451134261</v>
      </c>
      <c r="D1808">
        <v>3</v>
      </c>
      <c r="E1808" s="7" t="s">
        <v>301</v>
      </c>
      <c r="F1808" s="2">
        <v>46148.626784467589</v>
      </c>
      <c r="G1808" s="3">
        <v>46148</v>
      </c>
      <c r="H1808" t="s">
        <v>63</v>
      </c>
      <c r="I1808">
        <v>15</v>
      </c>
    </row>
    <row r="1809" spans="1:9" x14ac:dyDescent="0.2">
      <c r="A1809" s="17" t="s">
        <v>2214</v>
      </c>
      <c r="B1809" s="17" t="s">
        <v>10</v>
      </c>
      <c r="C1809" s="2">
        <v>46149.355872731481</v>
      </c>
      <c r="D1809">
        <v>526</v>
      </c>
      <c r="F1809" s="2">
        <v>46149.064206064817</v>
      </c>
      <c r="G1809" s="3">
        <v>46149</v>
      </c>
      <c r="H1809" t="s">
        <v>95</v>
      </c>
      <c r="I1809">
        <v>1</v>
      </c>
    </row>
    <row r="1810" spans="1:9" x14ac:dyDescent="0.2">
      <c r="A1810" s="17" t="s">
        <v>2215</v>
      </c>
      <c r="B1810" s="17" t="s">
        <v>10</v>
      </c>
      <c r="C1810" s="2">
        <v>46149.384932002315</v>
      </c>
      <c r="D1810">
        <v>526</v>
      </c>
      <c r="F1810" s="2">
        <v>46149.09326533565</v>
      </c>
      <c r="G1810" s="3">
        <v>46149</v>
      </c>
      <c r="H1810" t="s">
        <v>95</v>
      </c>
      <c r="I1810">
        <v>2</v>
      </c>
    </row>
    <row r="1811" spans="1:9" x14ac:dyDescent="0.2">
      <c r="A1811" s="17" t="s">
        <v>2216</v>
      </c>
      <c r="B1811" s="17" t="s">
        <v>10</v>
      </c>
      <c r="C1811" s="2">
        <v>46149.437489652781</v>
      </c>
      <c r="D1811">
        <v>526</v>
      </c>
      <c r="E1811" s="7" t="s">
        <v>31</v>
      </c>
      <c r="F1811" s="2">
        <v>46149.145822986109</v>
      </c>
      <c r="G1811" s="3">
        <v>46149</v>
      </c>
      <c r="H1811" t="s">
        <v>95</v>
      </c>
      <c r="I1811">
        <v>3</v>
      </c>
    </row>
    <row r="1812" spans="1:9" x14ac:dyDescent="0.2">
      <c r="A1812" s="17" t="s">
        <v>2217</v>
      </c>
      <c r="B1812" s="17" t="s">
        <v>10</v>
      </c>
      <c r="C1812" s="2">
        <v>46149.476415115743</v>
      </c>
      <c r="D1812">
        <v>526</v>
      </c>
      <c r="E1812" s="7" t="s">
        <v>2218</v>
      </c>
      <c r="F1812" s="2">
        <v>46149.184748449072</v>
      </c>
      <c r="G1812" s="3">
        <v>46149</v>
      </c>
      <c r="H1812" t="s">
        <v>95</v>
      </c>
      <c r="I1812">
        <v>4</v>
      </c>
    </row>
    <row r="1813" spans="1:9" x14ac:dyDescent="0.2">
      <c r="A1813" s="17" t="s">
        <v>2219</v>
      </c>
      <c r="B1813" s="17" t="s">
        <v>10</v>
      </c>
      <c r="C1813" s="2">
        <v>46149.57878984954</v>
      </c>
      <c r="D1813">
        <v>569</v>
      </c>
      <c r="E1813" s="7" t="s">
        <v>2220</v>
      </c>
      <c r="F1813" s="2">
        <v>46149.287123182869</v>
      </c>
      <c r="G1813" s="3">
        <v>46149</v>
      </c>
      <c r="H1813" t="s">
        <v>95</v>
      </c>
      <c r="I1813">
        <v>6</v>
      </c>
    </row>
    <row r="1814" spans="1:9" x14ac:dyDescent="0.2">
      <c r="A1814" s="17" t="s">
        <v>2221</v>
      </c>
      <c r="B1814" s="17" t="s">
        <v>10</v>
      </c>
      <c r="C1814" s="2">
        <v>46149.579035451388</v>
      </c>
      <c r="D1814">
        <v>526</v>
      </c>
      <c r="F1814" s="2">
        <v>46149.287368784724</v>
      </c>
      <c r="G1814" s="3">
        <v>46149</v>
      </c>
      <c r="H1814" t="s">
        <v>95</v>
      </c>
      <c r="I1814">
        <v>6</v>
      </c>
    </row>
    <row r="1815" spans="1:9" x14ac:dyDescent="0.2">
      <c r="A1815" s="17" t="s">
        <v>2222</v>
      </c>
      <c r="B1815" s="17" t="s">
        <v>10</v>
      </c>
      <c r="C1815" s="2">
        <v>46149.580063587964</v>
      </c>
      <c r="D1815">
        <v>3</v>
      </c>
      <c r="F1815" s="2">
        <v>46149.2883969213</v>
      </c>
      <c r="G1815" s="3">
        <v>46149</v>
      </c>
      <c r="H1815" t="s">
        <v>95</v>
      </c>
      <c r="I1815">
        <v>6</v>
      </c>
    </row>
    <row r="1816" spans="1:9" x14ac:dyDescent="0.2">
      <c r="A1816" s="17" t="s">
        <v>2223</v>
      </c>
      <c r="B1816" s="17" t="s">
        <v>10</v>
      </c>
      <c r="C1816" s="2">
        <v>46149.580422418985</v>
      </c>
      <c r="D1816">
        <v>569</v>
      </c>
      <c r="E1816" s="7" t="s">
        <v>2224</v>
      </c>
      <c r="F1816" s="2">
        <v>46149.288755752314</v>
      </c>
      <c r="G1816" s="3">
        <v>46149</v>
      </c>
      <c r="H1816" t="s">
        <v>95</v>
      </c>
      <c r="I1816">
        <v>6</v>
      </c>
    </row>
    <row r="1817" spans="1:9" x14ac:dyDescent="0.2">
      <c r="A1817" s="17" t="s">
        <v>2225</v>
      </c>
      <c r="B1817" s="17" t="s">
        <v>10</v>
      </c>
      <c r="C1817" s="2">
        <v>46149.614598680557</v>
      </c>
      <c r="D1817">
        <v>526</v>
      </c>
      <c r="F1817" s="2">
        <v>46149.322932013885</v>
      </c>
      <c r="G1817" s="3">
        <v>46149</v>
      </c>
      <c r="H1817" t="s">
        <v>95</v>
      </c>
      <c r="I1817">
        <v>7</v>
      </c>
    </row>
    <row r="1818" spans="1:9" x14ac:dyDescent="0.2">
      <c r="A1818" s="17" t="s">
        <v>2226</v>
      </c>
      <c r="B1818" s="17" t="s">
        <v>10</v>
      </c>
      <c r="C1818" s="2">
        <v>46149.634890243055</v>
      </c>
      <c r="D1818">
        <v>3</v>
      </c>
      <c r="F1818" s="2">
        <v>46149.34322357639</v>
      </c>
      <c r="G1818" s="3">
        <v>46149</v>
      </c>
      <c r="H1818" t="s">
        <v>95</v>
      </c>
      <c r="I1818">
        <v>8</v>
      </c>
    </row>
    <row r="1819" spans="1:9" x14ac:dyDescent="0.2">
      <c r="A1819" s="17" t="s">
        <v>2227</v>
      </c>
      <c r="B1819" s="17" t="s">
        <v>10</v>
      </c>
      <c r="C1819" s="2">
        <v>46149.636734386571</v>
      </c>
      <c r="D1819">
        <v>3</v>
      </c>
      <c r="E1819" s="7" t="s">
        <v>2228</v>
      </c>
      <c r="F1819" s="2">
        <v>46149.345067719907</v>
      </c>
      <c r="G1819" s="3">
        <v>46149</v>
      </c>
      <c r="H1819" t="s">
        <v>95</v>
      </c>
      <c r="I1819">
        <v>8</v>
      </c>
    </row>
    <row r="1820" spans="1:9" x14ac:dyDescent="0.2">
      <c r="A1820" s="17" t="s">
        <v>2229</v>
      </c>
      <c r="B1820" s="17" t="s">
        <v>10</v>
      </c>
      <c r="C1820" s="2">
        <v>46149.637009467595</v>
      </c>
      <c r="D1820">
        <v>526</v>
      </c>
      <c r="F1820" s="2">
        <v>46149.345342800923</v>
      </c>
      <c r="G1820" s="3">
        <v>46149</v>
      </c>
      <c r="H1820" t="s">
        <v>95</v>
      </c>
      <c r="I1820">
        <v>8</v>
      </c>
    </row>
    <row r="1821" spans="1:9" x14ac:dyDescent="0.2">
      <c r="A1821" s="17" t="s">
        <v>2230</v>
      </c>
      <c r="B1821" s="17" t="s">
        <v>10</v>
      </c>
      <c r="C1821" s="2">
        <v>46149.751330243053</v>
      </c>
      <c r="D1821">
        <v>3</v>
      </c>
      <c r="E1821" s="7" t="s">
        <v>2231</v>
      </c>
      <c r="F1821" s="2">
        <v>46149.459663576388</v>
      </c>
      <c r="G1821" s="3">
        <v>46149</v>
      </c>
      <c r="H1821" t="s">
        <v>95</v>
      </c>
      <c r="I1821">
        <v>11</v>
      </c>
    </row>
    <row r="1822" spans="1:9" x14ac:dyDescent="0.2">
      <c r="A1822" s="17" t="s">
        <v>2232</v>
      </c>
      <c r="B1822" s="17" t="s">
        <v>10</v>
      </c>
      <c r="C1822" s="2">
        <v>46149.804233275463</v>
      </c>
      <c r="D1822">
        <v>3</v>
      </c>
      <c r="E1822" s="7" t="s">
        <v>2233</v>
      </c>
      <c r="F1822" s="2">
        <v>46149.512566608799</v>
      </c>
      <c r="G1822" s="3">
        <v>46149</v>
      </c>
      <c r="H1822" t="s">
        <v>95</v>
      </c>
      <c r="I1822">
        <v>12</v>
      </c>
    </row>
    <row r="1823" spans="1:9" x14ac:dyDescent="0.2">
      <c r="A1823" s="17" t="s">
        <v>2234</v>
      </c>
      <c r="B1823" s="17" t="s">
        <v>10</v>
      </c>
      <c r="C1823" s="2">
        <v>46149.83732327546</v>
      </c>
      <c r="D1823">
        <v>3</v>
      </c>
      <c r="E1823" s="7" t="s">
        <v>2233</v>
      </c>
      <c r="F1823" s="2">
        <v>46149.545656608796</v>
      </c>
      <c r="G1823" s="3">
        <v>46149</v>
      </c>
      <c r="H1823" t="s">
        <v>95</v>
      </c>
      <c r="I1823">
        <v>13</v>
      </c>
    </row>
    <row r="1824" spans="1:9" x14ac:dyDescent="0.2">
      <c r="A1824" s="17" t="s">
        <v>2235</v>
      </c>
      <c r="B1824" s="17" t="s">
        <v>10</v>
      </c>
      <c r="C1824" s="2">
        <v>46149.839978425924</v>
      </c>
      <c r="D1824">
        <v>570</v>
      </c>
      <c r="F1824" s="2">
        <v>46149.548311759259</v>
      </c>
      <c r="G1824" s="3">
        <v>46149</v>
      </c>
      <c r="H1824" t="s">
        <v>95</v>
      </c>
      <c r="I1824">
        <v>13</v>
      </c>
    </row>
    <row r="1825" spans="1:9" x14ac:dyDescent="0.2">
      <c r="A1825" s="17" t="s">
        <v>2236</v>
      </c>
      <c r="B1825" s="17" t="s">
        <v>10</v>
      </c>
      <c r="C1825" s="2">
        <v>46149.854939826386</v>
      </c>
      <c r="D1825">
        <v>570</v>
      </c>
      <c r="E1825" s="7" t="s">
        <v>367</v>
      </c>
      <c r="F1825" s="2">
        <v>46149.563273159722</v>
      </c>
      <c r="G1825" s="3">
        <v>46149</v>
      </c>
      <c r="H1825" t="s">
        <v>95</v>
      </c>
      <c r="I1825">
        <v>13</v>
      </c>
    </row>
    <row r="1826" spans="1:9" x14ac:dyDescent="0.2">
      <c r="A1826" s="17" t="s">
        <v>2237</v>
      </c>
      <c r="B1826" s="17" t="s">
        <v>10</v>
      </c>
      <c r="C1826" s="2">
        <v>46149.878263136576</v>
      </c>
      <c r="D1826">
        <v>570</v>
      </c>
      <c r="E1826" s="7" t="s">
        <v>2012</v>
      </c>
      <c r="F1826" s="2">
        <v>46149.586596469904</v>
      </c>
      <c r="G1826" s="3">
        <v>46149</v>
      </c>
      <c r="H1826" t="s">
        <v>95</v>
      </c>
      <c r="I1826">
        <v>14</v>
      </c>
    </row>
    <row r="1827" spans="1:9" x14ac:dyDescent="0.2">
      <c r="A1827" s="17" t="s">
        <v>2238</v>
      </c>
      <c r="B1827" s="17" t="s">
        <v>10</v>
      </c>
      <c r="C1827" s="2">
        <v>46149.952843530089</v>
      </c>
      <c r="D1827">
        <v>570</v>
      </c>
      <c r="F1827" s="2">
        <v>46149.661176863425</v>
      </c>
      <c r="G1827" s="3">
        <v>46149</v>
      </c>
      <c r="H1827" t="s">
        <v>95</v>
      </c>
      <c r="I1827">
        <v>15</v>
      </c>
    </row>
    <row r="1828" spans="1:9" x14ac:dyDescent="0.2">
      <c r="A1828" s="17" t="s">
        <v>2239</v>
      </c>
      <c r="B1828" s="17" t="s">
        <v>10</v>
      </c>
      <c r="C1828" s="2">
        <v>46149.960198668981</v>
      </c>
      <c r="D1828">
        <v>570</v>
      </c>
      <c r="E1828" s="7" t="s">
        <v>367</v>
      </c>
      <c r="F1828" s="2">
        <v>46149.668532002317</v>
      </c>
      <c r="G1828" s="3">
        <v>46149</v>
      </c>
      <c r="H1828" t="s">
        <v>95</v>
      </c>
      <c r="I1828">
        <v>16</v>
      </c>
    </row>
    <row r="1829" spans="1:9" x14ac:dyDescent="0.2">
      <c r="A1829" s="17" t="s">
        <v>2240</v>
      </c>
      <c r="B1829" s="17" t="s">
        <v>10</v>
      </c>
      <c r="C1829" s="2">
        <v>46149.97187991898</v>
      </c>
      <c r="D1829">
        <v>527</v>
      </c>
      <c r="E1829" s="7" t="s">
        <v>31</v>
      </c>
      <c r="F1829" s="2">
        <v>46149.680213252315</v>
      </c>
      <c r="G1829" s="3">
        <v>46149</v>
      </c>
      <c r="H1829" t="s">
        <v>95</v>
      </c>
      <c r="I1829">
        <v>16</v>
      </c>
    </row>
    <row r="1830" spans="1:9" x14ac:dyDescent="0.2">
      <c r="A1830" s="17" t="s">
        <v>2241</v>
      </c>
      <c r="B1830" s="17" t="s">
        <v>10</v>
      </c>
      <c r="C1830" s="2">
        <v>46150.010335949075</v>
      </c>
      <c r="D1830">
        <v>527</v>
      </c>
      <c r="E1830" s="7" t="s">
        <v>2233</v>
      </c>
      <c r="F1830" s="2">
        <v>46149.718669282411</v>
      </c>
      <c r="G1830" s="3">
        <v>46149</v>
      </c>
      <c r="H1830" t="s">
        <v>95</v>
      </c>
      <c r="I1830">
        <v>17</v>
      </c>
    </row>
    <row r="1831" spans="1:9" x14ac:dyDescent="0.2">
      <c r="A1831" s="17" t="s">
        <v>2242</v>
      </c>
      <c r="B1831" s="17" t="s">
        <v>10</v>
      </c>
      <c r="C1831" s="2">
        <v>46150.376323738426</v>
      </c>
      <c r="D1831">
        <v>3</v>
      </c>
      <c r="F1831" s="2">
        <v>46150.084657071762</v>
      </c>
      <c r="G1831" s="3">
        <v>46150</v>
      </c>
      <c r="H1831" t="s">
        <v>115</v>
      </c>
      <c r="I1831">
        <v>2</v>
      </c>
    </row>
    <row r="1832" spans="1:9" x14ac:dyDescent="0.2">
      <c r="A1832" s="17" t="s">
        <v>2243</v>
      </c>
      <c r="B1832" s="17" t="s">
        <v>10</v>
      </c>
      <c r="C1832" s="2">
        <v>46150.391778611112</v>
      </c>
      <c r="D1832">
        <v>527</v>
      </c>
      <c r="F1832" s="2">
        <v>46150.100111944441</v>
      </c>
      <c r="G1832" s="3">
        <v>46150</v>
      </c>
      <c r="H1832" t="s">
        <v>115</v>
      </c>
      <c r="I1832">
        <v>2</v>
      </c>
    </row>
    <row r="1833" spans="1:9" x14ac:dyDescent="0.2">
      <c r="A1833" s="17" t="s">
        <v>2244</v>
      </c>
      <c r="B1833" s="17" t="s">
        <v>10</v>
      </c>
      <c r="C1833" s="2">
        <v>46150.39943125</v>
      </c>
      <c r="D1833">
        <v>3</v>
      </c>
      <c r="F1833" s="2">
        <v>46150.107764583336</v>
      </c>
      <c r="G1833" s="3">
        <v>46150</v>
      </c>
      <c r="H1833" t="s">
        <v>115</v>
      </c>
      <c r="I1833">
        <v>2</v>
      </c>
    </row>
    <row r="1834" spans="1:9" x14ac:dyDescent="0.2">
      <c r="A1834" s="17" t="s">
        <v>2245</v>
      </c>
      <c r="B1834" s="17" t="s">
        <v>10</v>
      </c>
      <c r="C1834" s="2">
        <v>46150.415129201392</v>
      </c>
      <c r="D1834">
        <v>570</v>
      </c>
      <c r="E1834" s="7" t="s">
        <v>2246</v>
      </c>
      <c r="F1834" s="2">
        <v>46150.123462534721</v>
      </c>
      <c r="G1834" s="3">
        <v>46150</v>
      </c>
      <c r="H1834" t="s">
        <v>115</v>
      </c>
      <c r="I1834">
        <v>2</v>
      </c>
    </row>
    <row r="1835" spans="1:9" x14ac:dyDescent="0.2">
      <c r="A1835" s="17" t="s">
        <v>2247</v>
      </c>
      <c r="B1835" s="17" t="s">
        <v>10</v>
      </c>
      <c r="C1835" s="2">
        <v>46150.58959614583</v>
      </c>
      <c r="D1835">
        <v>527</v>
      </c>
      <c r="E1835" s="7" t="s">
        <v>140</v>
      </c>
      <c r="F1835" s="2">
        <v>46150.297929479166</v>
      </c>
      <c r="G1835" s="3">
        <v>46150</v>
      </c>
      <c r="H1835" t="s">
        <v>115</v>
      </c>
      <c r="I1835">
        <v>7</v>
      </c>
    </row>
    <row r="1836" spans="1:9" x14ac:dyDescent="0.2">
      <c r="A1836" s="17" t="s">
        <v>2248</v>
      </c>
      <c r="B1836" s="17" t="s">
        <v>10</v>
      </c>
      <c r="C1836" s="2">
        <v>46150.60013431713</v>
      </c>
      <c r="D1836">
        <v>3</v>
      </c>
      <c r="F1836" s="2">
        <v>46150.308467650466</v>
      </c>
      <c r="G1836" s="3">
        <v>46150</v>
      </c>
      <c r="H1836" t="s">
        <v>115</v>
      </c>
      <c r="I1836">
        <v>7</v>
      </c>
    </row>
    <row r="1837" spans="1:9" x14ac:dyDescent="0.2">
      <c r="A1837" s="17" t="s">
        <v>2249</v>
      </c>
      <c r="B1837" s="17" t="s">
        <v>10</v>
      </c>
      <c r="C1837" s="2">
        <v>46150.660381875001</v>
      </c>
      <c r="D1837">
        <v>3</v>
      </c>
      <c r="E1837" s="7" t="s">
        <v>768</v>
      </c>
      <c r="F1837" s="2">
        <v>46150.368715208337</v>
      </c>
      <c r="G1837" s="3">
        <v>46150</v>
      </c>
      <c r="H1837" t="s">
        <v>115</v>
      </c>
      <c r="I1837">
        <v>8</v>
      </c>
    </row>
    <row r="1838" spans="1:9" x14ac:dyDescent="0.2">
      <c r="A1838" s="17" t="s">
        <v>2250</v>
      </c>
      <c r="B1838" s="17" t="s">
        <v>10</v>
      </c>
      <c r="C1838" s="2">
        <v>46150.660729131945</v>
      </c>
      <c r="D1838">
        <v>3</v>
      </c>
      <c r="F1838" s="2">
        <v>46150.369062465281</v>
      </c>
      <c r="G1838" s="3">
        <v>46150</v>
      </c>
      <c r="H1838" t="s">
        <v>115</v>
      </c>
      <c r="I1838">
        <v>8</v>
      </c>
    </row>
    <row r="1839" spans="1:9" x14ac:dyDescent="0.2">
      <c r="A1839" s="17" t="s">
        <v>2251</v>
      </c>
      <c r="B1839" s="17" t="s">
        <v>10</v>
      </c>
      <c r="C1839" s="2">
        <v>46150.660844652775</v>
      </c>
      <c r="D1839">
        <v>3</v>
      </c>
      <c r="F1839" s="2">
        <v>46150.369177986111</v>
      </c>
      <c r="G1839" s="3">
        <v>46150</v>
      </c>
      <c r="H1839" t="s">
        <v>115</v>
      </c>
      <c r="I1839">
        <v>8</v>
      </c>
    </row>
    <row r="1840" spans="1:9" x14ac:dyDescent="0.2">
      <c r="A1840" s="17" t="s">
        <v>2252</v>
      </c>
      <c r="B1840" s="17" t="s">
        <v>10</v>
      </c>
      <c r="C1840" s="2">
        <v>46150.66091835648</v>
      </c>
      <c r="D1840">
        <v>3</v>
      </c>
      <c r="E1840" s="7" t="s">
        <v>305</v>
      </c>
      <c r="F1840" s="2">
        <v>46150.369251689815</v>
      </c>
      <c r="G1840" s="3">
        <v>46150</v>
      </c>
      <c r="H1840" t="s">
        <v>115</v>
      </c>
      <c r="I1840">
        <v>8</v>
      </c>
    </row>
    <row r="1841" spans="1:9" x14ac:dyDescent="0.2">
      <c r="A1841" s="17" t="s">
        <v>2253</v>
      </c>
      <c r="B1841" s="17" t="s">
        <v>10</v>
      </c>
      <c r="C1841" s="2">
        <v>46150.685026157407</v>
      </c>
      <c r="D1841">
        <v>570</v>
      </c>
      <c r="E1841" s="7" t="s">
        <v>582</v>
      </c>
      <c r="F1841" s="2">
        <v>46150.393359490743</v>
      </c>
      <c r="G1841" s="3">
        <v>46150</v>
      </c>
      <c r="H1841" t="s">
        <v>115</v>
      </c>
      <c r="I1841">
        <v>9</v>
      </c>
    </row>
    <row r="1842" spans="1:9" x14ac:dyDescent="0.2">
      <c r="A1842" s="17" t="s">
        <v>2254</v>
      </c>
      <c r="B1842" s="17" t="s">
        <v>10</v>
      </c>
      <c r="C1842" s="2">
        <v>46151.513684930556</v>
      </c>
      <c r="D1842">
        <v>527</v>
      </c>
      <c r="F1842" s="2">
        <v>46151.222018263892</v>
      </c>
      <c r="G1842" s="3">
        <v>46151</v>
      </c>
      <c r="H1842" t="s">
        <v>120</v>
      </c>
      <c r="I1842">
        <v>5</v>
      </c>
    </row>
    <row r="1843" spans="1:9" x14ac:dyDescent="0.2">
      <c r="A1843" s="17" t="s">
        <v>2255</v>
      </c>
      <c r="B1843" s="17" t="s">
        <v>10</v>
      </c>
      <c r="C1843" s="2">
        <v>46151.598034166665</v>
      </c>
      <c r="D1843">
        <v>527</v>
      </c>
      <c r="E1843" s="7" t="s">
        <v>31</v>
      </c>
      <c r="F1843" s="2">
        <v>46151.306367500001</v>
      </c>
      <c r="G1843" s="3">
        <v>46151</v>
      </c>
      <c r="H1843" t="s">
        <v>120</v>
      </c>
      <c r="I1843">
        <v>7</v>
      </c>
    </row>
    <row r="1844" spans="1:9" x14ac:dyDescent="0.2">
      <c r="A1844" s="17" t="s">
        <v>2256</v>
      </c>
      <c r="B1844" s="17" t="s">
        <v>10</v>
      </c>
      <c r="C1844" s="2">
        <v>46151.620713703705</v>
      </c>
      <c r="D1844">
        <v>527</v>
      </c>
      <c r="E1844" s="7" t="s">
        <v>275</v>
      </c>
      <c r="F1844" s="2">
        <v>46151.329047037034</v>
      </c>
      <c r="G1844" s="3">
        <v>46151</v>
      </c>
      <c r="H1844" t="s">
        <v>120</v>
      </c>
      <c r="I1844">
        <v>7</v>
      </c>
    </row>
    <row r="1845" spans="1:9" x14ac:dyDescent="0.2">
      <c r="A1845" s="17" t="s">
        <v>2257</v>
      </c>
      <c r="B1845" s="17" t="s">
        <v>10</v>
      </c>
      <c r="C1845" s="2">
        <v>46151.633562210649</v>
      </c>
      <c r="D1845">
        <v>3</v>
      </c>
      <c r="F1845" s="2">
        <v>46151.341895543985</v>
      </c>
      <c r="G1845" s="3">
        <v>46151</v>
      </c>
      <c r="H1845" t="s">
        <v>120</v>
      </c>
      <c r="I1845">
        <v>8</v>
      </c>
    </row>
    <row r="1846" spans="1:9" x14ac:dyDescent="0.2">
      <c r="A1846" s="17" t="s">
        <v>2258</v>
      </c>
      <c r="B1846" s="17" t="s">
        <v>10</v>
      </c>
      <c r="C1846" s="2">
        <v>46151.841106354164</v>
      </c>
      <c r="D1846">
        <v>527</v>
      </c>
      <c r="F1846" s="2">
        <v>46151.5494396875</v>
      </c>
      <c r="G1846" s="3">
        <v>46151</v>
      </c>
      <c r="H1846" t="s">
        <v>120</v>
      </c>
      <c r="I1846">
        <v>13</v>
      </c>
    </row>
    <row r="1847" spans="1:9" x14ac:dyDescent="0.2">
      <c r="A1847" s="17" t="s">
        <v>2259</v>
      </c>
      <c r="B1847" s="17" t="s">
        <v>10</v>
      </c>
      <c r="C1847" s="2">
        <v>46151.935980509261</v>
      </c>
      <c r="D1847">
        <v>570</v>
      </c>
      <c r="E1847" s="7" t="s">
        <v>2260</v>
      </c>
      <c r="F1847" s="2">
        <v>46151.644313842589</v>
      </c>
      <c r="G1847" s="3">
        <v>46151</v>
      </c>
      <c r="H1847" t="s">
        <v>120</v>
      </c>
      <c r="I1847">
        <v>15</v>
      </c>
    </row>
    <row r="1848" spans="1:9" x14ac:dyDescent="0.2">
      <c r="A1848" s="17" t="s">
        <v>2261</v>
      </c>
      <c r="B1848" s="17" t="s">
        <v>10</v>
      </c>
      <c r="C1848" s="2">
        <v>46152.476058599539</v>
      </c>
      <c r="D1848">
        <v>1</v>
      </c>
      <c r="F1848" s="2">
        <v>46152.184391932868</v>
      </c>
      <c r="G1848" s="3">
        <v>46152</v>
      </c>
      <c r="H1848" t="s">
        <v>125</v>
      </c>
      <c r="I1848">
        <v>4</v>
      </c>
    </row>
    <row r="1849" spans="1:9" x14ac:dyDescent="0.2">
      <c r="A1849" s="17" t="s">
        <v>2262</v>
      </c>
      <c r="B1849" s="17" t="s">
        <v>10</v>
      </c>
      <c r="C1849" s="2">
        <v>46152.484255416668</v>
      </c>
      <c r="D1849">
        <v>527</v>
      </c>
      <c r="E1849" s="7" t="s">
        <v>275</v>
      </c>
      <c r="F1849" s="2">
        <v>46152.192588749997</v>
      </c>
      <c r="G1849" s="3">
        <v>46152</v>
      </c>
      <c r="H1849" t="s">
        <v>125</v>
      </c>
      <c r="I1849">
        <v>4</v>
      </c>
    </row>
    <row r="1850" spans="1:9" x14ac:dyDescent="0.2">
      <c r="A1850" s="17" t="s">
        <v>2263</v>
      </c>
      <c r="B1850" s="17" t="s">
        <v>10</v>
      </c>
      <c r="C1850" s="2">
        <v>46152.486754386577</v>
      </c>
      <c r="D1850">
        <v>527</v>
      </c>
      <c r="E1850" s="7" t="s">
        <v>31</v>
      </c>
      <c r="F1850" s="2">
        <v>46152.195087719905</v>
      </c>
      <c r="G1850" s="3">
        <v>46152</v>
      </c>
      <c r="H1850" t="s">
        <v>125</v>
      </c>
      <c r="I1850">
        <v>4</v>
      </c>
    </row>
    <row r="1851" spans="1:9" x14ac:dyDescent="0.2">
      <c r="A1851" s="17" t="s">
        <v>2264</v>
      </c>
      <c r="B1851" s="17" t="s">
        <v>10</v>
      </c>
      <c r="C1851" s="2">
        <v>46152.579260462961</v>
      </c>
      <c r="D1851">
        <v>4</v>
      </c>
      <c r="F1851" s="2">
        <v>46152.287593796296</v>
      </c>
      <c r="G1851" s="3">
        <v>46152</v>
      </c>
      <c r="H1851" t="s">
        <v>125</v>
      </c>
      <c r="I1851">
        <v>6</v>
      </c>
    </row>
    <row r="1852" spans="1:9" x14ac:dyDescent="0.2">
      <c r="A1852" s="17" t="s">
        <v>2265</v>
      </c>
      <c r="B1852" s="17" t="s">
        <v>10</v>
      </c>
      <c r="C1852" s="2">
        <v>46152.584378391206</v>
      </c>
      <c r="D1852">
        <v>5</v>
      </c>
      <c r="F1852" s="2">
        <v>46152.292711724534</v>
      </c>
      <c r="G1852" s="3">
        <v>46152</v>
      </c>
      <c r="H1852" t="s">
        <v>125</v>
      </c>
      <c r="I1852">
        <v>7</v>
      </c>
    </row>
    <row r="1853" spans="1:9" x14ac:dyDescent="0.2">
      <c r="A1853" s="17" t="s">
        <v>2266</v>
      </c>
      <c r="B1853" s="17" t="s">
        <v>10</v>
      </c>
      <c r="C1853" s="2">
        <v>46152.72463449074</v>
      </c>
      <c r="D1853">
        <v>1</v>
      </c>
      <c r="F1853" s="2">
        <v>46152.432967824076</v>
      </c>
      <c r="G1853" s="3">
        <v>46152</v>
      </c>
      <c r="H1853" t="s">
        <v>125</v>
      </c>
      <c r="I1853">
        <v>10</v>
      </c>
    </row>
    <row r="1854" spans="1:9" x14ac:dyDescent="0.2">
      <c r="A1854" s="17" t="s">
        <v>2267</v>
      </c>
      <c r="B1854" s="17" t="s">
        <v>10</v>
      </c>
      <c r="C1854" s="2">
        <v>46153.058551747687</v>
      </c>
      <c r="D1854">
        <v>527</v>
      </c>
      <c r="F1854" s="2">
        <v>46152.766885081015</v>
      </c>
      <c r="G1854" s="3">
        <v>46152</v>
      </c>
      <c r="H1854" t="s">
        <v>125</v>
      </c>
      <c r="I1854">
        <v>18</v>
      </c>
    </row>
    <row r="1855" spans="1:9" x14ac:dyDescent="0.2">
      <c r="A1855" s="17" t="s">
        <v>2268</v>
      </c>
      <c r="B1855" s="17" t="s">
        <v>10</v>
      </c>
      <c r="C1855" s="2">
        <v>46153.059223680553</v>
      </c>
      <c r="D1855">
        <v>3</v>
      </c>
      <c r="E1855" s="7" t="s">
        <v>89</v>
      </c>
      <c r="F1855" s="2">
        <v>46152.767557013889</v>
      </c>
      <c r="G1855" s="3">
        <v>46152</v>
      </c>
      <c r="H1855" t="s">
        <v>125</v>
      </c>
      <c r="I1855">
        <v>18</v>
      </c>
    </row>
    <row r="1856" spans="1:9" x14ac:dyDescent="0.2">
      <c r="A1856" s="17" t="s">
        <v>2269</v>
      </c>
      <c r="B1856" s="17" t="s">
        <v>10</v>
      </c>
      <c r="C1856" s="2">
        <v>46153.19641315972</v>
      </c>
      <c r="D1856">
        <v>570</v>
      </c>
      <c r="E1856" s="7" t="s">
        <v>625</v>
      </c>
      <c r="F1856" s="2">
        <v>46152.904746493055</v>
      </c>
      <c r="G1856" s="3">
        <v>46152</v>
      </c>
      <c r="H1856" t="s">
        <v>125</v>
      </c>
      <c r="I1856">
        <v>21</v>
      </c>
    </row>
    <row r="1857" spans="1:9" x14ac:dyDescent="0.2">
      <c r="A1857" s="17" t="s">
        <v>2270</v>
      </c>
      <c r="B1857" s="17" t="s">
        <v>10</v>
      </c>
      <c r="C1857" s="2">
        <v>46153.404202199075</v>
      </c>
      <c r="D1857">
        <v>527</v>
      </c>
      <c r="E1857" s="7" t="s">
        <v>31</v>
      </c>
      <c r="F1857" s="2">
        <v>46153.112535532404</v>
      </c>
      <c r="G1857" s="3">
        <v>46153</v>
      </c>
      <c r="H1857" t="s">
        <v>11</v>
      </c>
      <c r="I1857">
        <v>2</v>
      </c>
    </row>
    <row r="1858" spans="1:9" x14ac:dyDescent="0.2">
      <c r="A1858" s="17" t="s">
        <v>2271</v>
      </c>
      <c r="B1858" s="17" t="s">
        <v>10</v>
      </c>
      <c r="C1858" s="2">
        <v>46153.477009594906</v>
      </c>
      <c r="D1858">
        <v>570</v>
      </c>
      <c r="F1858" s="2">
        <v>46153.185342928242</v>
      </c>
      <c r="G1858" s="3">
        <v>46153</v>
      </c>
      <c r="H1858" t="s">
        <v>11</v>
      </c>
      <c r="I1858">
        <v>4</v>
      </c>
    </row>
    <row r="1859" spans="1:9" x14ac:dyDescent="0.2">
      <c r="A1859" s="17" t="s">
        <v>2272</v>
      </c>
      <c r="B1859" s="17" t="s">
        <v>10</v>
      </c>
      <c r="C1859" s="2">
        <v>46153.517651030095</v>
      </c>
      <c r="D1859">
        <v>3</v>
      </c>
      <c r="F1859" s="2">
        <v>46153.225984363424</v>
      </c>
      <c r="G1859" s="3">
        <v>46153</v>
      </c>
      <c r="H1859" t="s">
        <v>11</v>
      </c>
      <c r="I1859">
        <v>5</v>
      </c>
    </row>
    <row r="1860" spans="1:9" x14ac:dyDescent="0.2">
      <c r="A1860" s="17" t="s">
        <v>2273</v>
      </c>
      <c r="B1860" s="17" t="s">
        <v>10</v>
      </c>
      <c r="C1860" s="2">
        <v>46153.539769953706</v>
      </c>
      <c r="D1860">
        <v>570</v>
      </c>
      <c r="F1860" s="2">
        <v>46153.248103287035</v>
      </c>
      <c r="G1860" s="3">
        <v>46153</v>
      </c>
      <c r="H1860" t="s">
        <v>11</v>
      </c>
      <c r="I1860">
        <v>5</v>
      </c>
    </row>
    <row r="1861" spans="1:9" x14ac:dyDescent="0.2">
      <c r="A1861" s="17" t="s">
        <v>2274</v>
      </c>
      <c r="B1861" s="17" t="s">
        <v>10</v>
      </c>
      <c r="C1861" s="2">
        <v>46153.544780972225</v>
      </c>
      <c r="D1861">
        <v>3</v>
      </c>
      <c r="F1861" s="2">
        <v>46153.253114305553</v>
      </c>
      <c r="G1861" s="3">
        <v>46153</v>
      </c>
      <c r="H1861" t="s">
        <v>11</v>
      </c>
      <c r="I1861">
        <v>6</v>
      </c>
    </row>
    <row r="1862" spans="1:9" x14ac:dyDescent="0.2">
      <c r="A1862" s="17" t="s">
        <v>2275</v>
      </c>
      <c r="B1862" s="17" t="s">
        <v>10</v>
      </c>
      <c r="C1862" s="2">
        <v>46153.552621631941</v>
      </c>
      <c r="D1862">
        <v>570</v>
      </c>
      <c r="F1862" s="2">
        <v>46153.260954965277</v>
      </c>
      <c r="G1862" s="3">
        <v>46153</v>
      </c>
      <c r="H1862" t="s">
        <v>11</v>
      </c>
      <c r="I1862">
        <v>6</v>
      </c>
    </row>
    <row r="1863" spans="1:9" x14ac:dyDescent="0.2">
      <c r="A1863" s="17" t="s">
        <v>2276</v>
      </c>
      <c r="B1863" s="17" t="s">
        <v>10</v>
      </c>
      <c r="C1863" s="2">
        <v>46153.638213148151</v>
      </c>
      <c r="D1863">
        <v>534</v>
      </c>
      <c r="F1863" s="2">
        <v>46153.34654648148</v>
      </c>
      <c r="G1863" s="3">
        <v>46153</v>
      </c>
      <c r="H1863" t="s">
        <v>11</v>
      </c>
      <c r="I1863">
        <v>8</v>
      </c>
    </row>
    <row r="1864" spans="1:9" x14ac:dyDescent="0.2">
      <c r="A1864" s="17" t="s">
        <v>2277</v>
      </c>
      <c r="B1864" s="17" t="s">
        <v>10</v>
      </c>
      <c r="C1864" s="2">
        <v>46153.699645451386</v>
      </c>
      <c r="D1864">
        <v>3</v>
      </c>
      <c r="E1864" s="7" t="s">
        <v>2278</v>
      </c>
      <c r="F1864" s="2">
        <v>46153.407978784722</v>
      </c>
      <c r="G1864" s="3">
        <v>46153</v>
      </c>
      <c r="H1864" t="s">
        <v>11</v>
      </c>
      <c r="I1864">
        <v>9</v>
      </c>
    </row>
    <row r="1865" spans="1:9" x14ac:dyDescent="0.2">
      <c r="A1865" s="17" t="s">
        <v>2279</v>
      </c>
      <c r="B1865" s="17" t="s">
        <v>10</v>
      </c>
      <c r="C1865" s="2">
        <v>46153.710264953705</v>
      </c>
      <c r="D1865">
        <v>3</v>
      </c>
      <c r="E1865" s="7" t="s">
        <v>2278</v>
      </c>
      <c r="F1865" s="2">
        <v>46153.41859828704</v>
      </c>
      <c r="G1865" s="3">
        <v>46153</v>
      </c>
      <c r="H1865" t="s">
        <v>11</v>
      </c>
      <c r="I1865">
        <v>10</v>
      </c>
    </row>
    <row r="1866" spans="1:9" x14ac:dyDescent="0.2">
      <c r="A1866" s="17" t="s">
        <v>2280</v>
      </c>
      <c r="B1866" s="17" t="s">
        <v>10</v>
      </c>
      <c r="C1866" s="2">
        <v>46153.749135995371</v>
      </c>
      <c r="D1866">
        <v>570</v>
      </c>
      <c r="E1866" s="7" t="s">
        <v>2281</v>
      </c>
      <c r="F1866" s="2">
        <v>46153.457469328707</v>
      </c>
      <c r="G1866" s="3">
        <v>46153</v>
      </c>
      <c r="H1866" t="s">
        <v>11</v>
      </c>
      <c r="I1866">
        <v>10</v>
      </c>
    </row>
    <row r="1867" spans="1:9" x14ac:dyDescent="0.2">
      <c r="A1867" s="17" t="s">
        <v>2282</v>
      </c>
      <c r="B1867" s="17" t="s">
        <v>10</v>
      </c>
      <c r="C1867" s="2">
        <v>46153.825063182871</v>
      </c>
      <c r="D1867">
        <v>493</v>
      </c>
      <c r="F1867" s="2">
        <v>46153.533396516206</v>
      </c>
      <c r="G1867" s="3">
        <v>46153</v>
      </c>
      <c r="H1867" t="s">
        <v>11</v>
      </c>
      <c r="I1867">
        <v>12</v>
      </c>
    </row>
    <row r="1868" spans="1:9" x14ac:dyDescent="0.2">
      <c r="A1868" s="17" t="s">
        <v>2283</v>
      </c>
      <c r="B1868" s="17" t="s">
        <v>10</v>
      </c>
      <c r="C1868" s="2">
        <v>46153.962911527778</v>
      </c>
      <c r="D1868">
        <v>570</v>
      </c>
      <c r="E1868" s="7" t="s">
        <v>2284</v>
      </c>
      <c r="F1868" s="2">
        <v>46153.671244861114</v>
      </c>
      <c r="G1868" s="3">
        <v>46153</v>
      </c>
      <c r="H1868" t="s">
        <v>11</v>
      </c>
      <c r="I1868">
        <v>16</v>
      </c>
    </row>
    <row r="1869" spans="1:9" x14ac:dyDescent="0.2">
      <c r="A1869" s="17" t="s">
        <v>2285</v>
      </c>
      <c r="B1869" s="17" t="s">
        <v>10</v>
      </c>
      <c r="C1869" s="2">
        <v>46154.157239687498</v>
      </c>
      <c r="D1869">
        <v>3</v>
      </c>
      <c r="F1869" s="2">
        <v>46153.865573020834</v>
      </c>
      <c r="G1869" s="3">
        <v>46153</v>
      </c>
      <c r="H1869" t="s">
        <v>11</v>
      </c>
      <c r="I1869">
        <v>20</v>
      </c>
    </row>
    <row r="1870" spans="1:9" x14ac:dyDescent="0.2">
      <c r="A1870" s="17" t="s">
        <v>2286</v>
      </c>
      <c r="B1870" s="17" t="s">
        <v>10</v>
      </c>
      <c r="C1870" s="2">
        <v>46154.231379583332</v>
      </c>
      <c r="D1870">
        <v>1</v>
      </c>
      <c r="F1870" s="2">
        <v>46153.939712916668</v>
      </c>
      <c r="G1870" s="3">
        <v>46153</v>
      </c>
      <c r="H1870" t="s">
        <v>11</v>
      </c>
      <c r="I1870">
        <v>22</v>
      </c>
    </row>
    <row r="1871" spans="1:9" x14ac:dyDescent="0.2">
      <c r="A1871" s="17" t="s">
        <v>2287</v>
      </c>
      <c r="B1871" s="17" t="s">
        <v>10</v>
      </c>
      <c r="C1871" s="2">
        <v>46154.32614503472</v>
      </c>
      <c r="D1871">
        <v>534</v>
      </c>
      <c r="F1871" s="2">
        <v>46154.034478368056</v>
      </c>
      <c r="G1871" s="3">
        <v>46154</v>
      </c>
      <c r="H1871" t="s">
        <v>28</v>
      </c>
      <c r="I1871">
        <v>0</v>
      </c>
    </row>
    <row r="1872" spans="1:9" x14ac:dyDescent="0.2">
      <c r="A1872" s="17" t="s">
        <v>2288</v>
      </c>
      <c r="B1872" s="17" t="s">
        <v>10</v>
      </c>
      <c r="C1872" s="2">
        <v>46154.463202893516</v>
      </c>
      <c r="D1872">
        <v>570</v>
      </c>
      <c r="E1872" s="7" t="s">
        <v>582</v>
      </c>
      <c r="F1872" s="2">
        <v>46154.171536226851</v>
      </c>
      <c r="G1872" s="3">
        <v>46154</v>
      </c>
      <c r="H1872" t="s">
        <v>28</v>
      </c>
      <c r="I1872">
        <v>4</v>
      </c>
    </row>
    <row r="1873" spans="1:9" x14ac:dyDescent="0.2">
      <c r="A1873" s="17" t="s">
        <v>2289</v>
      </c>
      <c r="B1873" s="17" t="s">
        <v>10</v>
      </c>
      <c r="C1873" s="2">
        <v>46154.503886990744</v>
      </c>
      <c r="D1873">
        <v>570</v>
      </c>
      <c r="E1873" s="7" t="s">
        <v>582</v>
      </c>
      <c r="F1873" s="2">
        <v>46154.212220324072</v>
      </c>
      <c r="G1873" s="3">
        <v>46154</v>
      </c>
      <c r="H1873" t="s">
        <v>28</v>
      </c>
      <c r="I1873">
        <v>5</v>
      </c>
    </row>
    <row r="1874" spans="1:9" x14ac:dyDescent="0.2">
      <c r="A1874" s="17" t="s">
        <v>2290</v>
      </c>
      <c r="B1874" s="17" t="s">
        <v>10</v>
      </c>
      <c r="C1874" s="2">
        <v>46154.51773699074</v>
      </c>
      <c r="D1874">
        <v>1</v>
      </c>
      <c r="E1874" s="7" t="s">
        <v>1582</v>
      </c>
      <c r="F1874" s="2">
        <v>46154.226070324075</v>
      </c>
      <c r="G1874" s="3">
        <v>46154</v>
      </c>
      <c r="H1874" t="s">
        <v>28</v>
      </c>
      <c r="I1874">
        <v>5</v>
      </c>
    </row>
    <row r="1875" spans="1:9" x14ac:dyDescent="0.2">
      <c r="A1875" s="17" t="s">
        <v>2291</v>
      </c>
      <c r="B1875" s="17" t="s">
        <v>10</v>
      </c>
      <c r="C1875" s="2">
        <v>46154.562076736111</v>
      </c>
      <c r="D1875">
        <v>3</v>
      </c>
      <c r="E1875" s="7" t="s">
        <v>768</v>
      </c>
      <c r="F1875" s="2">
        <v>46154.270410069446</v>
      </c>
      <c r="G1875" s="3">
        <v>46154</v>
      </c>
      <c r="H1875" t="s">
        <v>28</v>
      </c>
      <c r="I1875">
        <v>6</v>
      </c>
    </row>
    <row r="1876" spans="1:9" x14ac:dyDescent="0.2">
      <c r="A1876" s="17" t="s">
        <v>2292</v>
      </c>
      <c r="B1876" s="17" t="s">
        <v>10</v>
      </c>
      <c r="C1876" s="2">
        <v>46154.562492245372</v>
      </c>
      <c r="D1876">
        <v>527</v>
      </c>
      <c r="E1876" s="7" t="s">
        <v>31</v>
      </c>
      <c r="F1876" s="2">
        <v>46154.2708255787</v>
      </c>
      <c r="G1876" s="3">
        <v>46154</v>
      </c>
      <c r="H1876" t="s">
        <v>28</v>
      </c>
      <c r="I1876">
        <v>6</v>
      </c>
    </row>
    <row r="1877" spans="1:9" x14ac:dyDescent="0.2">
      <c r="A1877" s="17" t="s">
        <v>2293</v>
      </c>
      <c r="B1877" s="17" t="s">
        <v>10</v>
      </c>
      <c r="C1877" s="2">
        <v>46154.607356342596</v>
      </c>
      <c r="D1877">
        <v>570</v>
      </c>
      <c r="E1877" s="7" t="s">
        <v>2294</v>
      </c>
      <c r="F1877" s="2">
        <v>46154.315689675925</v>
      </c>
      <c r="G1877" s="3">
        <v>46154</v>
      </c>
      <c r="H1877" t="s">
        <v>28</v>
      </c>
      <c r="I1877">
        <v>7</v>
      </c>
    </row>
    <row r="1878" spans="1:9" x14ac:dyDescent="0.2">
      <c r="A1878" s="17" t="s">
        <v>2295</v>
      </c>
      <c r="B1878" s="17" t="s">
        <v>10</v>
      </c>
      <c r="C1878" s="2">
        <v>46154.608651539354</v>
      </c>
      <c r="D1878">
        <v>3</v>
      </c>
      <c r="E1878" s="7" t="s">
        <v>15</v>
      </c>
      <c r="F1878" s="2">
        <v>46154.316984872683</v>
      </c>
      <c r="G1878" s="3">
        <v>46154</v>
      </c>
      <c r="H1878" t="s">
        <v>28</v>
      </c>
      <c r="I1878">
        <v>7</v>
      </c>
    </row>
    <row r="1879" spans="1:9" x14ac:dyDescent="0.2">
      <c r="A1879" s="17" t="s">
        <v>2296</v>
      </c>
      <c r="B1879" s="17" t="s">
        <v>10</v>
      </c>
      <c r="C1879" s="2">
        <v>46154.661093437498</v>
      </c>
      <c r="D1879">
        <v>3</v>
      </c>
      <c r="F1879" s="2">
        <v>46154.369426770834</v>
      </c>
      <c r="G1879" s="3">
        <v>46154</v>
      </c>
      <c r="H1879" t="s">
        <v>28</v>
      </c>
      <c r="I1879">
        <v>8</v>
      </c>
    </row>
    <row r="1880" spans="1:9" x14ac:dyDescent="0.2">
      <c r="A1880" s="17" t="s">
        <v>2297</v>
      </c>
      <c r="B1880" s="17" t="s">
        <v>10</v>
      </c>
      <c r="C1880" s="2">
        <v>46154.69453630787</v>
      </c>
      <c r="D1880">
        <v>570</v>
      </c>
      <c r="E1880" s="7" t="s">
        <v>582</v>
      </c>
      <c r="F1880" s="2">
        <v>46154.402869641206</v>
      </c>
      <c r="G1880" s="3">
        <v>46154</v>
      </c>
      <c r="H1880" t="s">
        <v>28</v>
      </c>
      <c r="I1880">
        <v>9</v>
      </c>
    </row>
    <row r="1881" spans="1:9" x14ac:dyDescent="0.2">
      <c r="A1881" s="17" t="s">
        <v>2298</v>
      </c>
      <c r="B1881" s="17" t="s">
        <v>10</v>
      </c>
      <c r="C1881" s="2">
        <v>46154.697160474534</v>
      </c>
      <c r="D1881">
        <v>570</v>
      </c>
      <c r="E1881" s="7" t="s">
        <v>2299</v>
      </c>
      <c r="F1881" s="2">
        <v>46154.40549380787</v>
      </c>
      <c r="G1881" s="3">
        <v>46154</v>
      </c>
      <c r="H1881" t="s">
        <v>28</v>
      </c>
      <c r="I1881">
        <v>9</v>
      </c>
    </row>
    <row r="1882" spans="1:9" x14ac:dyDescent="0.2">
      <c r="A1882" s="17" t="s">
        <v>2300</v>
      </c>
      <c r="B1882" s="17" t="s">
        <v>10</v>
      </c>
      <c r="C1882" s="2">
        <v>46154.702281886573</v>
      </c>
      <c r="D1882">
        <v>570</v>
      </c>
      <c r="E1882" s="7" t="s">
        <v>128</v>
      </c>
      <c r="F1882" s="2">
        <v>46154.410615219909</v>
      </c>
      <c r="G1882" s="3">
        <v>46154</v>
      </c>
      <c r="H1882" t="s">
        <v>28</v>
      </c>
      <c r="I1882">
        <v>9</v>
      </c>
    </row>
    <row r="1883" spans="1:9" x14ac:dyDescent="0.2">
      <c r="A1883" s="17" t="s">
        <v>2310</v>
      </c>
      <c r="B1883" s="17" t="s">
        <v>10</v>
      </c>
      <c r="C1883" s="2">
        <v>46154.859745393522</v>
      </c>
      <c r="D1883">
        <v>570</v>
      </c>
      <c r="F1883" s="2">
        <v>46154.56807872685</v>
      </c>
      <c r="G1883" s="3">
        <v>46154</v>
      </c>
      <c r="H1883" t="s">
        <v>28</v>
      </c>
      <c r="I1883">
        <v>13</v>
      </c>
    </row>
    <row r="1884" spans="1:9" x14ac:dyDescent="0.2">
      <c r="A1884" s="17" t="s">
        <v>2311</v>
      </c>
      <c r="B1884" s="17" t="s">
        <v>10</v>
      </c>
      <c r="C1884" s="2">
        <v>46154.875997060182</v>
      </c>
      <c r="D1884">
        <v>570</v>
      </c>
      <c r="F1884" s="2">
        <v>46154.584330393518</v>
      </c>
      <c r="G1884" s="3">
        <v>46154</v>
      </c>
      <c r="H1884" t="s">
        <v>28</v>
      </c>
      <c r="I1884">
        <v>14</v>
      </c>
    </row>
    <row r="1885" spans="1:9" x14ac:dyDescent="0.2">
      <c r="A1885" s="17" t="s">
        <v>2312</v>
      </c>
      <c r="B1885" s="17" t="s">
        <v>10</v>
      </c>
      <c r="C1885" s="2">
        <v>46155.068805740739</v>
      </c>
      <c r="D1885">
        <v>570</v>
      </c>
      <c r="F1885" s="2">
        <v>46154.777139074075</v>
      </c>
      <c r="G1885" s="3">
        <v>46154</v>
      </c>
      <c r="H1885" t="s">
        <v>28</v>
      </c>
      <c r="I1885">
        <v>18</v>
      </c>
    </row>
    <row r="1886" spans="1:9" x14ac:dyDescent="0.2">
      <c r="A1886" s="17" t="s">
        <v>2313</v>
      </c>
      <c r="B1886" s="17" t="s">
        <v>10</v>
      </c>
      <c r="C1886" s="2">
        <v>46155.325524178239</v>
      </c>
      <c r="D1886">
        <v>3</v>
      </c>
      <c r="F1886" s="2">
        <v>46155.033857511575</v>
      </c>
      <c r="G1886" s="3">
        <v>46155</v>
      </c>
      <c r="H1886" t="s">
        <v>63</v>
      </c>
      <c r="I1886">
        <v>0</v>
      </c>
    </row>
    <row r="1887" spans="1:9" x14ac:dyDescent="0.2">
      <c r="A1887" s="17" t="s">
        <v>2314</v>
      </c>
      <c r="B1887" s="17" t="s">
        <v>10</v>
      </c>
      <c r="C1887" s="2">
        <v>46155.337330300928</v>
      </c>
      <c r="D1887">
        <v>527</v>
      </c>
      <c r="E1887" s="7" t="s">
        <v>275</v>
      </c>
      <c r="F1887" s="2">
        <v>46155.045663634257</v>
      </c>
      <c r="G1887" s="3">
        <v>46155</v>
      </c>
      <c r="H1887" t="s">
        <v>63</v>
      </c>
      <c r="I1887">
        <v>1</v>
      </c>
    </row>
    <row r="1888" spans="1:9" x14ac:dyDescent="0.2">
      <c r="A1888" s="17" t="s">
        <v>2315</v>
      </c>
      <c r="B1888" s="17" t="s">
        <v>10</v>
      </c>
      <c r="C1888" s="2">
        <v>46155.34116369213</v>
      </c>
      <c r="D1888">
        <v>570</v>
      </c>
      <c r="F1888" s="2">
        <v>46155.049497025466</v>
      </c>
      <c r="G1888" s="3">
        <v>46155</v>
      </c>
      <c r="H1888" t="s">
        <v>63</v>
      </c>
      <c r="I1888">
        <v>1</v>
      </c>
    </row>
    <row r="1889" spans="1:9" x14ac:dyDescent="0.2">
      <c r="A1889" s="17" t="s">
        <v>2316</v>
      </c>
      <c r="B1889" s="17" t="s">
        <v>10</v>
      </c>
      <c r="C1889" s="2">
        <v>46155.38756855324</v>
      </c>
      <c r="D1889">
        <v>570</v>
      </c>
      <c r="E1889" s="7" t="s">
        <v>582</v>
      </c>
      <c r="F1889" s="2">
        <v>46155.095901886576</v>
      </c>
      <c r="G1889" s="3">
        <v>46155</v>
      </c>
      <c r="H1889" t="s">
        <v>63</v>
      </c>
      <c r="I1889">
        <v>2</v>
      </c>
    </row>
    <row r="1890" spans="1:9" x14ac:dyDescent="0.2">
      <c r="A1890" s="17" t="s">
        <v>2317</v>
      </c>
      <c r="B1890" s="17" t="s">
        <v>10</v>
      </c>
      <c r="C1890" s="2">
        <v>46155.400611851852</v>
      </c>
      <c r="D1890">
        <v>527</v>
      </c>
      <c r="E1890" s="7" t="s">
        <v>31</v>
      </c>
      <c r="F1890" s="2">
        <v>46155.108945185188</v>
      </c>
      <c r="G1890" s="3">
        <v>46155</v>
      </c>
      <c r="H1890" t="s">
        <v>63</v>
      </c>
      <c r="I1890">
        <v>2</v>
      </c>
    </row>
    <row r="1891" spans="1:9" x14ac:dyDescent="0.2">
      <c r="A1891" s="17" t="s">
        <v>2318</v>
      </c>
      <c r="B1891" s="17" t="s">
        <v>10</v>
      </c>
      <c r="C1891" s="2">
        <v>46155.417126203705</v>
      </c>
      <c r="D1891">
        <v>527</v>
      </c>
      <c r="E1891" s="7" t="s">
        <v>31</v>
      </c>
      <c r="F1891" s="2">
        <v>46155.125459537034</v>
      </c>
      <c r="G1891" s="3">
        <v>46155</v>
      </c>
      <c r="H1891" t="s">
        <v>63</v>
      </c>
      <c r="I1891">
        <v>3</v>
      </c>
    </row>
    <row r="1892" spans="1:9" x14ac:dyDescent="0.2">
      <c r="A1892" s="17" t="s">
        <v>2319</v>
      </c>
      <c r="B1892" s="17" t="s">
        <v>10</v>
      </c>
      <c r="C1892" s="2">
        <v>46155.422718449074</v>
      </c>
      <c r="D1892">
        <v>3</v>
      </c>
      <c r="E1892" s="7" t="s">
        <v>305</v>
      </c>
      <c r="F1892" s="2">
        <v>46155.131051782409</v>
      </c>
      <c r="G1892" s="3">
        <v>46155</v>
      </c>
      <c r="H1892" t="s">
        <v>63</v>
      </c>
      <c r="I1892">
        <v>3</v>
      </c>
    </row>
    <row r="1893" spans="1:9" x14ac:dyDescent="0.2">
      <c r="A1893" s="17" t="s">
        <v>2320</v>
      </c>
      <c r="B1893" s="17" t="s">
        <v>10</v>
      </c>
      <c r="C1893" s="2">
        <v>46155.432758946758</v>
      </c>
      <c r="D1893">
        <v>527</v>
      </c>
      <c r="F1893" s="2">
        <v>46155.141092280093</v>
      </c>
      <c r="G1893" s="3">
        <v>46155</v>
      </c>
      <c r="H1893" t="s">
        <v>63</v>
      </c>
      <c r="I1893">
        <v>3</v>
      </c>
    </row>
    <row r="1894" spans="1:9" x14ac:dyDescent="0.2">
      <c r="A1894" s="17" t="s">
        <v>2321</v>
      </c>
      <c r="B1894" s="17" t="s">
        <v>10</v>
      </c>
      <c r="C1894" s="2">
        <v>46155.502084652777</v>
      </c>
      <c r="D1894">
        <v>527</v>
      </c>
      <c r="F1894" s="2">
        <v>46155.210417986113</v>
      </c>
      <c r="G1894" s="3">
        <v>46155</v>
      </c>
      <c r="H1894" t="s">
        <v>63</v>
      </c>
      <c r="I1894">
        <v>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228"/>
  <sheetViews>
    <sheetView topLeftCell="A10" workbookViewId="0">
      <selection activeCell="M14" sqref="M14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1524</v>
      </c>
    </row>
    <row r="2" spans="1:13" x14ac:dyDescent="0.2">
      <c r="A2" s="2">
        <v>46156.583449074074</v>
      </c>
      <c r="B2">
        <v>1881</v>
      </c>
      <c r="C2">
        <v>1893</v>
      </c>
      <c r="D2">
        <v>12</v>
      </c>
      <c r="E2" s="3">
        <v>46155</v>
      </c>
      <c r="F2" s="3">
        <v>46155</v>
      </c>
      <c r="G2">
        <v>7</v>
      </c>
      <c r="H2">
        <v>58.3</v>
      </c>
      <c r="I2">
        <v>0</v>
      </c>
      <c r="J2" t="s">
        <v>1195</v>
      </c>
      <c r="M2">
        <f>SUM(I:I)</f>
        <v>143</v>
      </c>
    </row>
    <row r="3" spans="1:13" x14ac:dyDescent="0.2">
      <c r="A3" s="2">
        <v>46156.375219907408</v>
      </c>
      <c r="B3">
        <v>1881</v>
      </c>
      <c r="C3">
        <v>1881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46155.583564814813</v>
      </c>
      <c r="B4">
        <v>1863</v>
      </c>
      <c r="C4">
        <v>1881</v>
      </c>
      <c r="D4">
        <v>18</v>
      </c>
      <c r="E4" s="3">
        <v>46154</v>
      </c>
      <c r="F4" s="3">
        <v>46154</v>
      </c>
      <c r="G4">
        <v>5</v>
      </c>
      <c r="H4">
        <v>27.8</v>
      </c>
      <c r="I4">
        <v>0</v>
      </c>
      <c r="J4" t="s">
        <v>1195</v>
      </c>
    </row>
    <row r="5" spans="1:13" x14ac:dyDescent="0.2">
      <c r="A5" s="2">
        <v>46155.375254629631</v>
      </c>
      <c r="B5">
        <v>1863</v>
      </c>
      <c r="C5">
        <v>1863</v>
      </c>
      <c r="D5">
        <v>0</v>
      </c>
      <c r="E5" s="3"/>
      <c r="F5" s="3"/>
      <c r="G5">
        <v>0</v>
      </c>
      <c r="H5">
        <v>0</v>
      </c>
      <c r="I5">
        <v>0</v>
      </c>
      <c r="J5" t="s">
        <v>1195</v>
      </c>
    </row>
    <row r="6" spans="1:13" x14ac:dyDescent="0.2">
      <c r="A6" s="2">
        <v>46154.58353009259</v>
      </c>
      <c r="B6">
        <v>1851</v>
      </c>
      <c r="C6">
        <v>1863</v>
      </c>
      <c r="D6">
        <v>12</v>
      </c>
      <c r="E6" s="3">
        <v>46153</v>
      </c>
      <c r="F6" s="3">
        <v>46153</v>
      </c>
      <c r="G6">
        <v>8</v>
      </c>
      <c r="H6">
        <v>66.7</v>
      </c>
      <c r="I6">
        <v>0</v>
      </c>
      <c r="J6" t="s">
        <v>1195</v>
      </c>
    </row>
    <row r="7" spans="1:13" x14ac:dyDescent="0.2">
      <c r="A7" s="2">
        <v>46154.3752662037</v>
      </c>
      <c r="B7">
        <v>1851</v>
      </c>
      <c r="C7">
        <v>1851</v>
      </c>
      <c r="D7">
        <v>0</v>
      </c>
      <c r="E7" s="3"/>
      <c r="F7" s="3"/>
      <c r="G7">
        <v>0</v>
      </c>
      <c r="H7">
        <v>0</v>
      </c>
      <c r="I7">
        <v>0</v>
      </c>
      <c r="J7" t="s">
        <v>1195</v>
      </c>
    </row>
    <row r="8" spans="1:13" x14ac:dyDescent="0.2">
      <c r="A8" s="2">
        <v>46153.583414351851</v>
      </c>
      <c r="B8">
        <v>1851</v>
      </c>
      <c r="C8">
        <v>1851</v>
      </c>
      <c r="D8">
        <v>0</v>
      </c>
      <c r="E8" s="3"/>
      <c r="F8" s="3"/>
      <c r="G8">
        <v>0</v>
      </c>
      <c r="H8">
        <v>0</v>
      </c>
      <c r="I8">
        <v>0</v>
      </c>
      <c r="J8" t="s">
        <v>1195</v>
      </c>
    </row>
    <row r="9" spans="1:13" x14ac:dyDescent="0.2">
      <c r="A9" s="2">
        <v>46153.502442129633</v>
      </c>
      <c r="B9">
        <v>1844</v>
      </c>
      <c r="C9">
        <v>1851</v>
      </c>
      <c r="D9">
        <v>7</v>
      </c>
      <c r="E9" s="3">
        <v>46152</v>
      </c>
      <c r="F9" s="3">
        <v>46152</v>
      </c>
      <c r="G9">
        <v>4</v>
      </c>
      <c r="H9">
        <v>57.1</v>
      </c>
      <c r="I9">
        <v>0</v>
      </c>
      <c r="J9" t="s">
        <v>1195</v>
      </c>
    </row>
    <row r="10" spans="1:13" x14ac:dyDescent="0.2">
      <c r="A10" s="2">
        <v>46153.375162037039</v>
      </c>
      <c r="B10">
        <v>1844</v>
      </c>
      <c r="C10">
        <v>1844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3" x14ac:dyDescent="0.2">
      <c r="A11" s="2">
        <v>46152.583449074074</v>
      </c>
      <c r="B11">
        <v>1840</v>
      </c>
      <c r="C11">
        <v>1844</v>
      </c>
      <c r="D11">
        <v>4</v>
      </c>
      <c r="E11" s="3">
        <v>46151</v>
      </c>
      <c r="F11" s="3">
        <v>46151</v>
      </c>
      <c r="G11">
        <v>2</v>
      </c>
      <c r="H11">
        <v>50</v>
      </c>
      <c r="I11">
        <v>0</v>
      </c>
      <c r="J11" t="s">
        <v>1195</v>
      </c>
    </row>
    <row r="12" spans="1:13" x14ac:dyDescent="0.2">
      <c r="A12" s="2">
        <v>46152.375138888892</v>
      </c>
      <c r="B12">
        <v>1840</v>
      </c>
      <c r="C12">
        <v>1840</v>
      </c>
      <c r="D12">
        <v>0</v>
      </c>
      <c r="E12" s="3"/>
      <c r="F12" s="3"/>
      <c r="G12">
        <v>0</v>
      </c>
      <c r="H12">
        <v>0</v>
      </c>
      <c r="I12">
        <v>0</v>
      </c>
      <c r="J12" t="s">
        <v>1195</v>
      </c>
    </row>
    <row r="13" spans="1:13" x14ac:dyDescent="0.2">
      <c r="A13" s="2">
        <v>46151.585335648146</v>
      </c>
      <c r="B13">
        <v>1819</v>
      </c>
      <c r="C13">
        <v>1840</v>
      </c>
      <c r="D13">
        <v>21</v>
      </c>
      <c r="E13" s="3">
        <v>46150</v>
      </c>
      <c r="F13" s="3">
        <v>46150</v>
      </c>
      <c r="G13">
        <v>8</v>
      </c>
      <c r="H13">
        <v>38.1</v>
      </c>
      <c r="I13">
        <v>0</v>
      </c>
      <c r="J13" t="s">
        <v>1195</v>
      </c>
    </row>
    <row r="14" spans="1:13" x14ac:dyDescent="0.2">
      <c r="A14" s="2">
        <v>46151.375231481485</v>
      </c>
      <c r="B14">
        <v>1819</v>
      </c>
      <c r="C14">
        <v>1819</v>
      </c>
      <c r="D14">
        <v>0</v>
      </c>
      <c r="E14" s="3"/>
      <c r="F14" s="3"/>
      <c r="G14">
        <v>0</v>
      </c>
      <c r="H14">
        <v>0</v>
      </c>
      <c r="I14">
        <v>0</v>
      </c>
      <c r="J14" t="s">
        <v>1195</v>
      </c>
    </row>
    <row r="15" spans="1:13" x14ac:dyDescent="0.2">
      <c r="A15" s="2">
        <v>46150.58357638889</v>
      </c>
      <c r="B15">
        <v>1803</v>
      </c>
      <c r="C15">
        <v>1819</v>
      </c>
      <c r="D15">
        <v>16</v>
      </c>
      <c r="E15" s="3">
        <v>46149</v>
      </c>
      <c r="F15" s="3">
        <v>46149</v>
      </c>
      <c r="G15">
        <v>7</v>
      </c>
      <c r="H15">
        <v>43.8</v>
      </c>
      <c r="I15">
        <v>0</v>
      </c>
      <c r="J15" t="s">
        <v>1195</v>
      </c>
    </row>
    <row r="16" spans="1:13" x14ac:dyDescent="0.2">
      <c r="A16" s="2">
        <v>46150.375219907408</v>
      </c>
      <c r="B16">
        <v>1803</v>
      </c>
      <c r="C16">
        <v>1803</v>
      </c>
      <c r="D16">
        <v>0</v>
      </c>
      <c r="E16" s="3"/>
      <c r="F16" s="3"/>
      <c r="G16">
        <v>0</v>
      </c>
      <c r="H16">
        <v>0</v>
      </c>
      <c r="I16">
        <v>0</v>
      </c>
      <c r="J16" t="s">
        <v>1195</v>
      </c>
    </row>
    <row r="17" spans="1:10" x14ac:dyDescent="0.2">
      <c r="A17" s="2">
        <v>46149.583495370367</v>
      </c>
      <c r="B17">
        <v>1769</v>
      </c>
      <c r="C17">
        <v>1803</v>
      </c>
      <c r="D17">
        <v>34</v>
      </c>
      <c r="E17" s="3">
        <v>46148</v>
      </c>
      <c r="F17" s="3">
        <v>46148</v>
      </c>
      <c r="G17">
        <v>22</v>
      </c>
      <c r="H17">
        <v>64.7</v>
      </c>
      <c r="I17">
        <v>0</v>
      </c>
      <c r="J17" t="s">
        <v>1195</v>
      </c>
    </row>
    <row r="18" spans="1:10" x14ac:dyDescent="0.2">
      <c r="A18" s="2">
        <v>46149.375347222223</v>
      </c>
      <c r="B18">
        <v>1769</v>
      </c>
      <c r="C18">
        <v>1769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46148.583564814813</v>
      </c>
      <c r="B19">
        <v>1722</v>
      </c>
      <c r="C19">
        <v>1769</v>
      </c>
      <c r="D19">
        <v>47</v>
      </c>
      <c r="E19" s="3">
        <v>46147</v>
      </c>
      <c r="F19" s="3">
        <v>46147</v>
      </c>
      <c r="G19">
        <v>36</v>
      </c>
      <c r="H19">
        <v>76.599999999999994</v>
      </c>
      <c r="I19">
        <v>0</v>
      </c>
      <c r="J19" t="s">
        <v>1195</v>
      </c>
    </row>
    <row r="20" spans="1:10" x14ac:dyDescent="0.2">
      <c r="A20" s="2">
        <v>46148.375115740739</v>
      </c>
      <c r="B20">
        <v>1722</v>
      </c>
      <c r="C20">
        <v>1722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46147.583460648151</v>
      </c>
      <c r="B21">
        <v>1697</v>
      </c>
      <c r="C21">
        <v>1722</v>
      </c>
      <c r="D21">
        <v>25</v>
      </c>
      <c r="E21" s="3">
        <v>46146</v>
      </c>
      <c r="F21" s="3">
        <v>46146</v>
      </c>
      <c r="G21">
        <v>17</v>
      </c>
      <c r="H21">
        <v>68</v>
      </c>
      <c r="I21">
        <v>0</v>
      </c>
      <c r="J21" t="s">
        <v>1195</v>
      </c>
    </row>
    <row r="22" spans="1:10" x14ac:dyDescent="0.2">
      <c r="A22" s="2">
        <v>46147.375138888892</v>
      </c>
      <c r="B22">
        <v>1697</v>
      </c>
      <c r="C22">
        <v>1697</v>
      </c>
      <c r="D22">
        <v>0</v>
      </c>
      <c r="E22" s="3"/>
      <c r="F22" s="3"/>
      <c r="G22">
        <v>0</v>
      </c>
      <c r="H22">
        <v>0</v>
      </c>
      <c r="I22">
        <v>0</v>
      </c>
      <c r="J22" t="s">
        <v>1195</v>
      </c>
    </row>
    <row r="23" spans="1:10" x14ac:dyDescent="0.2">
      <c r="A23" s="2">
        <v>46146.583483796298</v>
      </c>
      <c r="B23">
        <v>1680</v>
      </c>
      <c r="C23">
        <v>1697</v>
      </c>
      <c r="D23">
        <v>17</v>
      </c>
      <c r="E23" s="3">
        <v>46145</v>
      </c>
      <c r="F23" s="3">
        <v>46145</v>
      </c>
      <c r="G23">
        <v>11</v>
      </c>
      <c r="H23">
        <v>64.7</v>
      </c>
      <c r="I23">
        <v>0</v>
      </c>
      <c r="J23" t="s">
        <v>1195</v>
      </c>
    </row>
    <row r="24" spans="1:10" x14ac:dyDescent="0.2">
      <c r="A24" s="2">
        <v>46146.375104166669</v>
      </c>
      <c r="B24">
        <v>1680</v>
      </c>
      <c r="C24">
        <v>1680</v>
      </c>
      <c r="D24">
        <v>0</v>
      </c>
      <c r="E24" s="3"/>
      <c r="F24" s="3"/>
      <c r="G24">
        <v>0</v>
      </c>
      <c r="H24">
        <v>0</v>
      </c>
      <c r="I24">
        <v>0</v>
      </c>
      <c r="J24" t="s">
        <v>1195</v>
      </c>
    </row>
    <row r="25" spans="1:10" x14ac:dyDescent="0.2">
      <c r="A25" s="2">
        <v>46145.583483796298</v>
      </c>
      <c r="B25">
        <v>1670</v>
      </c>
      <c r="C25">
        <v>1680</v>
      </c>
      <c r="D25">
        <v>10</v>
      </c>
      <c r="E25" s="3">
        <v>46144</v>
      </c>
      <c r="F25" s="3">
        <v>46144</v>
      </c>
      <c r="G25">
        <v>4</v>
      </c>
      <c r="H25">
        <v>40</v>
      </c>
      <c r="I25">
        <v>0</v>
      </c>
      <c r="J25" t="s">
        <v>1195</v>
      </c>
    </row>
    <row r="26" spans="1:10" x14ac:dyDescent="0.2">
      <c r="A26" s="2">
        <v>46145.375127314815</v>
      </c>
      <c r="B26">
        <v>1670</v>
      </c>
      <c r="C26">
        <v>1670</v>
      </c>
      <c r="D26">
        <v>0</v>
      </c>
      <c r="E26" s="3"/>
      <c r="F26" s="3"/>
      <c r="G26">
        <v>0</v>
      </c>
      <c r="H26">
        <v>0</v>
      </c>
      <c r="I26">
        <v>0</v>
      </c>
      <c r="J26" t="s">
        <v>1195</v>
      </c>
    </row>
    <row r="27" spans="1:10" x14ac:dyDescent="0.2">
      <c r="A27" s="2">
        <v>46144.58353009259</v>
      </c>
      <c r="B27">
        <v>1670</v>
      </c>
      <c r="C27">
        <v>1670</v>
      </c>
      <c r="D27">
        <v>0</v>
      </c>
      <c r="E27" s="3"/>
      <c r="F27" s="3"/>
      <c r="G27">
        <v>0</v>
      </c>
      <c r="H27">
        <v>0</v>
      </c>
      <c r="I27">
        <v>0</v>
      </c>
      <c r="J27" t="s">
        <v>1195</v>
      </c>
    </row>
    <row r="28" spans="1:10" x14ac:dyDescent="0.2">
      <c r="A28" s="2">
        <v>46144.419131944444</v>
      </c>
      <c r="B28">
        <v>1652</v>
      </c>
      <c r="C28">
        <v>1670</v>
      </c>
      <c r="D28">
        <v>18</v>
      </c>
      <c r="E28" s="3">
        <v>46143</v>
      </c>
      <c r="F28" s="3">
        <v>46143</v>
      </c>
      <c r="G28">
        <v>12</v>
      </c>
      <c r="H28">
        <v>66.7</v>
      </c>
      <c r="I28">
        <v>0</v>
      </c>
      <c r="J28" t="s">
        <v>1195</v>
      </c>
    </row>
    <row r="29" spans="1:10" x14ac:dyDescent="0.2">
      <c r="A29" s="2">
        <v>46143.583437499998</v>
      </c>
      <c r="B29">
        <v>1633</v>
      </c>
      <c r="C29">
        <v>1652</v>
      </c>
      <c r="D29">
        <v>19</v>
      </c>
      <c r="E29" s="3">
        <v>46142</v>
      </c>
      <c r="F29" s="3">
        <v>46142</v>
      </c>
      <c r="G29">
        <v>10</v>
      </c>
      <c r="H29">
        <v>52.6</v>
      </c>
      <c r="I29">
        <v>0</v>
      </c>
      <c r="J29" t="s">
        <v>1195</v>
      </c>
    </row>
    <row r="30" spans="1:10" x14ac:dyDescent="0.2">
      <c r="A30" s="2">
        <v>46143.375324074077</v>
      </c>
      <c r="B30">
        <v>1633</v>
      </c>
      <c r="C30">
        <v>1633</v>
      </c>
      <c r="D30">
        <v>0</v>
      </c>
      <c r="E30" s="3"/>
      <c r="F30" s="3"/>
      <c r="G30">
        <v>0</v>
      </c>
      <c r="H30">
        <v>0</v>
      </c>
      <c r="I30">
        <v>0</v>
      </c>
      <c r="J30" t="s">
        <v>1195</v>
      </c>
    </row>
    <row r="31" spans="1:10" x14ac:dyDescent="0.2">
      <c r="A31" s="2">
        <v>46142.779745370368</v>
      </c>
      <c r="B31">
        <v>1576</v>
      </c>
      <c r="C31">
        <v>1633</v>
      </c>
      <c r="D31">
        <v>57</v>
      </c>
      <c r="E31" s="3">
        <v>46140</v>
      </c>
      <c r="F31" s="3">
        <v>46141</v>
      </c>
      <c r="G31">
        <v>38</v>
      </c>
      <c r="H31">
        <v>66.7</v>
      </c>
      <c r="I31">
        <v>0</v>
      </c>
      <c r="J31" t="s">
        <v>1195</v>
      </c>
    </row>
    <row r="32" spans="1:10" x14ac:dyDescent="0.2">
      <c r="A32" s="2">
        <v>46141.592673611114</v>
      </c>
      <c r="B32">
        <v>1576</v>
      </c>
      <c r="C32">
        <v>1610</v>
      </c>
      <c r="D32">
        <v>34</v>
      </c>
      <c r="E32" s="3">
        <v>46140</v>
      </c>
      <c r="F32" s="3">
        <v>46140</v>
      </c>
      <c r="G32">
        <v>21</v>
      </c>
      <c r="H32">
        <v>61.8</v>
      </c>
      <c r="I32">
        <v>0</v>
      </c>
      <c r="J32" t="s">
        <v>1195</v>
      </c>
    </row>
    <row r="33" spans="1:10" x14ac:dyDescent="0.2">
      <c r="A33" s="2">
        <v>46141.3752662037</v>
      </c>
      <c r="B33">
        <v>1576</v>
      </c>
      <c r="C33">
        <v>1576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46140.58357638889</v>
      </c>
      <c r="B34">
        <v>1563</v>
      </c>
      <c r="C34">
        <v>1576</v>
      </c>
      <c r="D34">
        <v>13</v>
      </c>
      <c r="E34" s="3">
        <v>46139</v>
      </c>
      <c r="F34" s="3">
        <v>46139</v>
      </c>
      <c r="G34">
        <v>7</v>
      </c>
      <c r="H34">
        <v>53.8</v>
      </c>
      <c r="I34">
        <v>0</v>
      </c>
      <c r="J34" t="s">
        <v>1195</v>
      </c>
    </row>
    <row r="35" spans="1:10" x14ac:dyDescent="0.2">
      <c r="A35" s="2">
        <v>46140.375219907408</v>
      </c>
      <c r="B35">
        <v>1563</v>
      </c>
      <c r="C35">
        <v>1563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46139.583483796298</v>
      </c>
      <c r="B36">
        <v>1563</v>
      </c>
      <c r="C36">
        <v>1563</v>
      </c>
      <c r="D36">
        <v>0</v>
      </c>
      <c r="E36" s="3"/>
      <c r="F36" s="3"/>
      <c r="G36">
        <v>0</v>
      </c>
      <c r="H36">
        <v>0</v>
      </c>
      <c r="I36">
        <v>0</v>
      </c>
      <c r="J36" t="s">
        <v>1195</v>
      </c>
    </row>
    <row r="37" spans="1:10" x14ac:dyDescent="0.2">
      <c r="A37" s="2">
        <v>46139.424305555556</v>
      </c>
      <c r="B37">
        <v>1563</v>
      </c>
      <c r="C37">
        <v>1563</v>
      </c>
      <c r="D37">
        <v>0</v>
      </c>
      <c r="E37" s="3"/>
      <c r="F37" s="3"/>
      <c r="G37">
        <v>0</v>
      </c>
      <c r="H37">
        <v>0</v>
      </c>
      <c r="I37">
        <v>0</v>
      </c>
      <c r="J37" t="s">
        <v>1195</v>
      </c>
    </row>
    <row r="38" spans="1:10" x14ac:dyDescent="0.2">
      <c r="A38" s="2">
        <v>46139.40902777778</v>
      </c>
      <c r="B38">
        <v>1558</v>
      </c>
      <c r="C38">
        <v>1563</v>
      </c>
      <c r="D38">
        <v>5</v>
      </c>
      <c r="E38" s="3">
        <v>46138</v>
      </c>
      <c r="F38" s="3">
        <v>46138</v>
      </c>
      <c r="G38">
        <v>5</v>
      </c>
      <c r="H38">
        <v>100</v>
      </c>
      <c r="I38">
        <v>0</v>
      </c>
      <c r="J38" t="s">
        <v>1195</v>
      </c>
    </row>
    <row r="39" spans="1:10" x14ac:dyDescent="0.2">
      <c r="A39" s="2">
        <v>46138.583333333336</v>
      </c>
      <c r="B39">
        <v>1547</v>
      </c>
      <c r="C39">
        <v>1558</v>
      </c>
      <c r="D39">
        <v>11</v>
      </c>
      <c r="E39" s="3">
        <v>46137</v>
      </c>
      <c r="F39" s="3">
        <v>46137</v>
      </c>
      <c r="G39">
        <v>3</v>
      </c>
      <c r="H39">
        <v>27.3</v>
      </c>
      <c r="I39">
        <v>0</v>
      </c>
      <c r="J39" t="s">
        <v>1195</v>
      </c>
    </row>
    <row r="40" spans="1:10" x14ac:dyDescent="0.2">
      <c r="A40" s="2">
        <v>46138.375</v>
      </c>
      <c r="B40">
        <v>1547</v>
      </c>
      <c r="C40">
        <v>1547</v>
      </c>
      <c r="D40">
        <v>0</v>
      </c>
      <c r="E40" s="3"/>
      <c r="F40" s="3"/>
      <c r="G40">
        <v>0</v>
      </c>
      <c r="H40">
        <v>0</v>
      </c>
      <c r="I40">
        <v>0</v>
      </c>
      <c r="J40" t="s">
        <v>1195</v>
      </c>
    </row>
    <row r="41" spans="1:10" x14ac:dyDescent="0.2">
      <c r="A41" s="2">
        <v>46137.583333333336</v>
      </c>
      <c r="B41">
        <v>1534</v>
      </c>
      <c r="C41">
        <v>1547</v>
      </c>
      <c r="D41">
        <v>13</v>
      </c>
      <c r="E41" s="3">
        <v>46136</v>
      </c>
      <c r="F41" s="3">
        <v>46136</v>
      </c>
      <c r="G41">
        <v>10</v>
      </c>
      <c r="H41">
        <v>76.900000000000006</v>
      </c>
      <c r="I41">
        <v>0</v>
      </c>
      <c r="J41" t="s">
        <v>1195</v>
      </c>
    </row>
    <row r="42" spans="1:10" x14ac:dyDescent="0.2">
      <c r="A42" s="2">
        <v>46137.375</v>
      </c>
      <c r="B42">
        <v>1534</v>
      </c>
      <c r="C42">
        <v>1534</v>
      </c>
      <c r="D42">
        <v>0</v>
      </c>
      <c r="E42" s="3"/>
      <c r="F42" s="3"/>
      <c r="G42">
        <v>0</v>
      </c>
      <c r="H42">
        <v>0</v>
      </c>
      <c r="I42">
        <v>0</v>
      </c>
      <c r="J42" t="s">
        <v>1195</v>
      </c>
    </row>
    <row r="43" spans="1:10" x14ac:dyDescent="0.2">
      <c r="A43" s="2">
        <v>46136.583333333336</v>
      </c>
      <c r="B43">
        <v>1520</v>
      </c>
      <c r="C43">
        <v>1534</v>
      </c>
      <c r="D43">
        <v>14</v>
      </c>
      <c r="E43" s="3">
        <v>46135</v>
      </c>
      <c r="F43" s="3">
        <v>46135</v>
      </c>
      <c r="G43">
        <v>10</v>
      </c>
      <c r="H43">
        <v>71.400000000000006</v>
      </c>
      <c r="I43">
        <v>0</v>
      </c>
      <c r="J43" t="s">
        <v>1195</v>
      </c>
    </row>
    <row r="44" spans="1:10" x14ac:dyDescent="0.2">
      <c r="A44" s="2">
        <v>46136.375</v>
      </c>
      <c r="B44">
        <v>1520</v>
      </c>
      <c r="C44">
        <v>1520</v>
      </c>
      <c r="D44">
        <v>0</v>
      </c>
      <c r="E44" s="3"/>
      <c r="F44" s="3"/>
      <c r="G44">
        <v>0</v>
      </c>
      <c r="H44">
        <v>0</v>
      </c>
      <c r="I44">
        <v>0</v>
      </c>
      <c r="J44" t="s">
        <v>1195</v>
      </c>
    </row>
    <row r="45" spans="1:10" x14ac:dyDescent="0.2">
      <c r="A45" s="2">
        <v>46135.583333333336</v>
      </c>
      <c r="B45">
        <v>1501</v>
      </c>
      <c r="C45">
        <v>1520</v>
      </c>
      <c r="D45">
        <v>19</v>
      </c>
      <c r="E45" s="3">
        <v>46134</v>
      </c>
      <c r="F45" s="3">
        <v>46134</v>
      </c>
      <c r="G45">
        <v>14</v>
      </c>
      <c r="H45">
        <v>73.7</v>
      </c>
      <c r="I45">
        <v>0</v>
      </c>
      <c r="J45" t="s">
        <v>1195</v>
      </c>
    </row>
    <row r="46" spans="1:10" x14ac:dyDescent="0.2">
      <c r="A46" s="2">
        <v>46135.375</v>
      </c>
      <c r="B46">
        <v>1501</v>
      </c>
      <c r="C46">
        <v>1501</v>
      </c>
      <c r="D46">
        <v>0</v>
      </c>
      <c r="E46" s="3"/>
      <c r="F46" s="3"/>
      <c r="G46">
        <v>0</v>
      </c>
      <c r="H46">
        <v>0</v>
      </c>
      <c r="I46">
        <v>0</v>
      </c>
      <c r="J46" t="s">
        <v>1195</v>
      </c>
    </row>
    <row r="47" spans="1:10" x14ac:dyDescent="0.2">
      <c r="A47" s="2">
        <v>46134.583333333336</v>
      </c>
      <c r="B47">
        <v>1487</v>
      </c>
      <c r="C47">
        <v>1501</v>
      </c>
      <c r="D47">
        <v>14</v>
      </c>
      <c r="E47" s="3">
        <v>46133</v>
      </c>
      <c r="F47" s="3">
        <v>46133</v>
      </c>
      <c r="G47">
        <v>12</v>
      </c>
      <c r="H47">
        <v>85.7</v>
      </c>
      <c r="I47">
        <v>0</v>
      </c>
      <c r="J47" t="s">
        <v>1195</v>
      </c>
    </row>
    <row r="48" spans="1:10" x14ac:dyDescent="0.2">
      <c r="A48" s="2">
        <v>46134.375</v>
      </c>
      <c r="B48">
        <v>1487</v>
      </c>
      <c r="C48">
        <v>1487</v>
      </c>
      <c r="D48">
        <v>0</v>
      </c>
      <c r="E48" s="3"/>
      <c r="F48" s="3"/>
      <c r="G48">
        <v>0</v>
      </c>
      <c r="H48">
        <v>0</v>
      </c>
      <c r="I48">
        <v>0</v>
      </c>
      <c r="J48" t="s">
        <v>1195</v>
      </c>
    </row>
    <row r="49" spans="1:10" x14ac:dyDescent="0.2">
      <c r="A49" s="2">
        <v>46133.583333333336</v>
      </c>
      <c r="B49">
        <v>1467</v>
      </c>
      <c r="C49">
        <v>1487</v>
      </c>
      <c r="D49">
        <v>20</v>
      </c>
      <c r="E49" s="3">
        <v>46132</v>
      </c>
      <c r="F49" s="3">
        <v>46132</v>
      </c>
      <c r="G49">
        <v>13</v>
      </c>
      <c r="H49">
        <v>65</v>
      </c>
      <c r="I49">
        <v>0</v>
      </c>
      <c r="J49" t="s">
        <v>1195</v>
      </c>
    </row>
    <row r="50" spans="1:10" x14ac:dyDescent="0.2">
      <c r="A50" s="2">
        <v>46133.375</v>
      </c>
      <c r="B50">
        <v>1467</v>
      </c>
      <c r="C50">
        <v>1467</v>
      </c>
      <c r="D50">
        <v>0</v>
      </c>
      <c r="E50" s="3"/>
      <c r="F50" s="3"/>
      <c r="G50">
        <v>0</v>
      </c>
      <c r="H50">
        <v>0</v>
      </c>
      <c r="I50">
        <v>0</v>
      </c>
      <c r="J50" t="s">
        <v>1195</v>
      </c>
    </row>
    <row r="51" spans="1:10" x14ac:dyDescent="0.2">
      <c r="A51" s="2">
        <v>46132.583333333336</v>
      </c>
      <c r="B51">
        <v>1462</v>
      </c>
      <c r="C51">
        <v>1467</v>
      </c>
      <c r="D51">
        <v>5</v>
      </c>
      <c r="E51" s="3">
        <v>46131</v>
      </c>
      <c r="F51" s="3">
        <v>46131</v>
      </c>
      <c r="G51">
        <v>5</v>
      </c>
      <c r="H51">
        <v>100</v>
      </c>
      <c r="I51">
        <v>0</v>
      </c>
      <c r="J51" t="s">
        <v>1195</v>
      </c>
    </row>
    <row r="52" spans="1:10" x14ac:dyDescent="0.2">
      <c r="A52" s="2">
        <v>46132.375</v>
      </c>
      <c r="B52">
        <v>1462</v>
      </c>
      <c r="C52">
        <v>1462</v>
      </c>
      <c r="D52">
        <v>0</v>
      </c>
      <c r="E52" s="3"/>
      <c r="F52" s="3"/>
      <c r="G52">
        <v>0</v>
      </c>
      <c r="H52">
        <v>0</v>
      </c>
      <c r="I52">
        <v>0</v>
      </c>
      <c r="J52" t="s">
        <v>1195</v>
      </c>
    </row>
    <row r="53" spans="1:10" x14ac:dyDescent="0.2">
      <c r="A53" s="2">
        <v>46131.583333333336</v>
      </c>
      <c r="B53">
        <v>1458</v>
      </c>
      <c r="C53">
        <v>1462</v>
      </c>
      <c r="D53">
        <v>4</v>
      </c>
      <c r="E53" s="3">
        <v>46130</v>
      </c>
      <c r="F53" s="3">
        <v>46130</v>
      </c>
      <c r="G53">
        <v>3</v>
      </c>
      <c r="H53">
        <v>75</v>
      </c>
      <c r="I53">
        <v>0</v>
      </c>
      <c r="J53" t="s">
        <v>1195</v>
      </c>
    </row>
    <row r="54" spans="1:10" x14ac:dyDescent="0.2">
      <c r="A54" s="2">
        <v>46131.375</v>
      </c>
      <c r="B54">
        <v>1458</v>
      </c>
      <c r="C54">
        <v>1458</v>
      </c>
      <c r="D54">
        <v>0</v>
      </c>
      <c r="E54" s="3"/>
      <c r="F54" s="3"/>
      <c r="G54">
        <v>0</v>
      </c>
      <c r="H54">
        <v>0</v>
      </c>
      <c r="I54">
        <v>0</v>
      </c>
      <c r="J54" t="s">
        <v>1195</v>
      </c>
    </row>
    <row r="55" spans="1:10" x14ac:dyDescent="0.2">
      <c r="A55" s="2">
        <v>46130.583333333336</v>
      </c>
      <c r="B55">
        <v>1443</v>
      </c>
      <c r="C55">
        <v>1458</v>
      </c>
      <c r="D55">
        <v>15</v>
      </c>
      <c r="E55" s="3">
        <v>46129</v>
      </c>
      <c r="F55" s="3">
        <v>46129</v>
      </c>
      <c r="G55">
        <v>9</v>
      </c>
      <c r="H55">
        <v>60</v>
      </c>
      <c r="I55">
        <v>0</v>
      </c>
      <c r="J55" t="s">
        <v>1195</v>
      </c>
    </row>
    <row r="56" spans="1:10" x14ac:dyDescent="0.2">
      <c r="A56" s="2">
        <v>46130.375</v>
      </c>
      <c r="B56">
        <v>1443</v>
      </c>
      <c r="C56">
        <v>1443</v>
      </c>
      <c r="D56">
        <v>0</v>
      </c>
      <c r="E56" s="3"/>
      <c r="F56" s="3"/>
      <c r="G56">
        <v>0</v>
      </c>
      <c r="H56">
        <v>0</v>
      </c>
      <c r="I56">
        <v>0</v>
      </c>
      <c r="J56" t="s">
        <v>1195</v>
      </c>
    </row>
    <row r="57" spans="1:10" x14ac:dyDescent="0.2">
      <c r="A57" s="2">
        <v>46129.583333333336</v>
      </c>
      <c r="B57">
        <v>1431</v>
      </c>
      <c r="C57">
        <v>1443</v>
      </c>
      <c r="D57">
        <v>12</v>
      </c>
      <c r="E57" s="3">
        <v>46128</v>
      </c>
      <c r="F57" s="3">
        <v>46128</v>
      </c>
      <c r="G57">
        <v>11</v>
      </c>
      <c r="H57">
        <v>91.7</v>
      </c>
      <c r="I57">
        <v>0</v>
      </c>
      <c r="J57" t="s">
        <v>1195</v>
      </c>
    </row>
    <row r="58" spans="1:10" x14ac:dyDescent="0.2">
      <c r="A58" s="2">
        <v>46129.375</v>
      </c>
      <c r="B58">
        <v>1431</v>
      </c>
      <c r="C58">
        <v>1431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46128.583333333336</v>
      </c>
      <c r="B59">
        <v>1416</v>
      </c>
      <c r="C59">
        <v>1431</v>
      </c>
      <c r="D59">
        <v>15</v>
      </c>
      <c r="E59" s="3">
        <v>46127</v>
      </c>
      <c r="F59" s="3">
        <v>46127</v>
      </c>
      <c r="G59">
        <v>12</v>
      </c>
      <c r="H59">
        <v>80</v>
      </c>
      <c r="I59">
        <v>0</v>
      </c>
      <c r="J59" t="s">
        <v>1195</v>
      </c>
    </row>
    <row r="60" spans="1:10" x14ac:dyDescent="0.2">
      <c r="A60" s="2">
        <v>46128.375</v>
      </c>
      <c r="B60">
        <v>1416</v>
      </c>
      <c r="C60">
        <v>1416</v>
      </c>
      <c r="D60">
        <v>0</v>
      </c>
      <c r="E60" s="3"/>
      <c r="F60" s="3"/>
      <c r="G60">
        <v>0</v>
      </c>
      <c r="H60">
        <v>0</v>
      </c>
      <c r="I60">
        <v>0</v>
      </c>
      <c r="J60" t="s">
        <v>1195</v>
      </c>
    </row>
    <row r="61" spans="1:10" x14ac:dyDescent="0.2">
      <c r="A61" s="2">
        <v>46127.583333333336</v>
      </c>
      <c r="B61">
        <v>1395</v>
      </c>
      <c r="C61">
        <v>1416</v>
      </c>
      <c r="D61">
        <v>21</v>
      </c>
      <c r="E61" s="3">
        <v>46126</v>
      </c>
      <c r="F61" s="3">
        <v>46126</v>
      </c>
      <c r="G61">
        <v>11</v>
      </c>
      <c r="H61">
        <v>52.4</v>
      </c>
      <c r="I61">
        <v>0</v>
      </c>
      <c r="J61" t="s">
        <v>1195</v>
      </c>
    </row>
    <row r="62" spans="1:10" x14ac:dyDescent="0.2">
      <c r="A62" s="2">
        <v>46127.375</v>
      </c>
      <c r="B62">
        <v>1395</v>
      </c>
      <c r="C62">
        <v>1395</v>
      </c>
      <c r="D62">
        <v>0</v>
      </c>
      <c r="E62" s="3"/>
      <c r="F62" s="3"/>
      <c r="G62">
        <v>0</v>
      </c>
      <c r="H62">
        <v>0</v>
      </c>
      <c r="I62">
        <v>0</v>
      </c>
      <c r="J62" t="s">
        <v>1195</v>
      </c>
    </row>
    <row r="63" spans="1:10" x14ac:dyDescent="0.2">
      <c r="A63" s="2">
        <v>46126.583333333336</v>
      </c>
      <c r="B63">
        <v>1380</v>
      </c>
      <c r="C63">
        <v>1395</v>
      </c>
      <c r="D63">
        <v>15</v>
      </c>
      <c r="E63" s="3">
        <v>46122</v>
      </c>
      <c r="F63" s="3">
        <v>46125</v>
      </c>
      <c r="G63">
        <v>7</v>
      </c>
      <c r="H63">
        <v>46.7</v>
      </c>
      <c r="I63">
        <v>2</v>
      </c>
      <c r="J63" t="s">
        <v>2159</v>
      </c>
    </row>
    <row r="64" spans="1:10" x14ac:dyDescent="0.2">
      <c r="A64" s="2"/>
      <c r="E64" s="3"/>
      <c r="F64" s="3"/>
      <c r="J64" t="s">
        <v>2160</v>
      </c>
    </row>
    <row r="65" spans="1:10" x14ac:dyDescent="0.2">
      <c r="A65" s="2">
        <v>46126.375</v>
      </c>
      <c r="B65">
        <v>1380</v>
      </c>
      <c r="C65">
        <v>1380</v>
      </c>
      <c r="D65">
        <v>0</v>
      </c>
      <c r="E65" s="3"/>
      <c r="F65" s="3"/>
      <c r="G65">
        <v>0</v>
      </c>
      <c r="H65">
        <v>0</v>
      </c>
      <c r="I65">
        <v>0</v>
      </c>
      <c r="J65" t="s">
        <v>1195</v>
      </c>
    </row>
    <row r="66" spans="1:10" x14ac:dyDescent="0.2">
      <c r="A66" s="2">
        <v>46125.583333333336</v>
      </c>
      <c r="B66">
        <v>1359</v>
      </c>
      <c r="C66">
        <v>1380</v>
      </c>
      <c r="D66">
        <v>21</v>
      </c>
      <c r="E66" s="3">
        <v>46098</v>
      </c>
      <c r="F66" s="3">
        <v>46124</v>
      </c>
      <c r="G66">
        <v>13</v>
      </c>
      <c r="H66">
        <v>61.9</v>
      </c>
      <c r="I66">
        <v>7</v>
      </c>
      <c r="J66" t="s">
        <v>2161</v>
      </c>
    </row>
    <row r="67" spans="1:10" x14ac:dyDescent="0.2">
      <c r="A67" s="2"/>
      <c r="E67" s="3"/>
      <c r="F67" s="3"/>
      <c r="J67" t="s">
        <v>2162</v>
      </c>
    </row>
    <row r="68" spans="1:10" x14ac:dyDescent="0.2">
      <c r="A68" s="2"/>
      <c r="E68" s="3"/>
      <c r="F68" s="3"/>
      <c r="J68" t="s">
        <v>2163</v>
      </c>
    </row>
    <row r="69" spans="1:10" x14ac:dyDescent="0.2">
      <c r="A69" s="2"/>
      <c r="E69" s="3"/>
      <c r="F69" s="3"/>
      <c r="J69" t="s">
        <v>2164</v>
      </c>
    </row>
    <row r="70" spans="1:10" x14ac:dyDescent="0.2">
      <c r="A70" s="2"/>
      <c r="E70" s="3"/>
      <c r="F70" s="3"/>
      <c r="J70" t="s">
        <v>2165</v>
      </c>
    </row>
    <row r="71" spans="1:10" x14ac:dyDescent="0.2">
      <c r="A71" s="2"/>
      <c r="E71" s="3"/>
      <c r="F71" s="3"/>
      <c r="J71" t="s">
        <v>2166</v>
      </c>
    </row>
    <row r="72" spans="1:10" x14ac:dyDescent="0.2">
      <c r="A72" s="2"/>
      <c r="E72" s="3"/>
      <c r="F72" s="3"/>
      <c r="J72" t="s">
        <v>2167</v>
      </c>
    </row>
    <row r="73" spans="1:10" x14ac:dyDescent="0.2">
      <c r="A73" s="2">
        <v>46125.375</v>
      </c>
      <c r="B73">
        <v>1359</v>
      </c>
      <c r="C73">
        <v>1359</v>
      </c>
      <c r="D73">
        <v>0</v>
      </c>
      <c r="E73" s="3"/>
      <c r="F73" s="3"/>
      <c r="G73">
        <v>0</v>
      </c>
      <c r="H73">
        <v>0</v>
      </c>
      <c r="I73">
        <v>0</v>
      </c>
      <c r="J73" t="s">
        <v>1195</v>
      </c>
    </row>
    <row r="74" spans="1:10" x14ac:dyDescent="0.2">
      <c r="A74" s="2">
        <v>46124.583333333336</v>
      </c>
      <c r="B74">
        <v>1340</v>
      </c>
      <c r="C74">
        <v>1359</v>
      </c>
      <c r="D74">
        <v>19</v>
      </c>
      <c r="E74" s="3">
        <v>46123</v>
      </c>
      <c r="F74" s="3">
        <v>46123</v>
      </c>
      <c r="G74">
        <v>16</v>
      </c>
      <c r="H74">
        <v>84.2</v>
      </c>
      <c r="I74">
        <v>0</v>
      </c>
      <c r="J74" t="s">
        <v>1195</v>
      </c>
    </row>
    <row r="75" spans="1:10" x14ac:dyDescent="0.2">
      <c r="A75" s="2">
        <v>46124.375</v>
      </c>
      <c r="B75">
        <v>1340</v>
      </c>
      <c r="C75">
        <v>1340</v>
      </c>
      <c r="D75">
        <v>0</v>
      </c>
      <c r="E75" s="3"/>
      <c r="F75" s="3"/>
      <c r="G75">
        <v>0</v>
      </c>
      <c r="H75">
        <v>0</v>
      </c>
      <c r="I75">
        <v>0</v>
      </c>
      <c r="J75" t="s">
        <v>1195</v>
      </c>
    </row>
    <row r="76" spans="1:10" x14ac:dyDescent="0.2">
      <c r="A76" s="2">
        <v>46123.583333333336</v>
      </c>
      <c r="B76">
        <v>1307</v>
      </c>
      <c r="C76">
        <v>1340</v>
      </c>
      <c r="D76">
        <v>33</v>
      </c>
      <c r="E76" s="3">
        <v>46093</v>
      </c>
      <c r="F76" s="3">
        <v>46122</v>
      </c>
      <c r="G76">
        <v>27</v>
      </c>
      <c r="H76">
        <v>81.8</v>
      </c>
      <c r="I76">
        <v>3</v>
      </c>
      <c r="J76" t="s">
        <v>1688</v>
      </c>
    </row>
    <row r="77" spans="1:10" x14ac:dyDescent="0.2">
      <c r="A77" s="2"/>
      <c r="E77" s="3"/>
      <c r="F77" s="3"/>
      <c r="J77" t="s">
        <v>1689</v>
      </c>
    </row>
    <row r="78" spans="1:10" x14ac:dyDescent="0.2">
      <c r="A78" s="2"/>
      <c r="E78" s="3"/>
      <c r="F78" s="3"/>
      <c r="J78" t="s">
        <v>1690</v>
      </c>
    </row>
    <row r="79" spans="1:10" x14ac:dyDescent="0.2">
      <c r="A79" s="2">
        <v>46123.375</v>
      </c>
      <c r="B79">
        <v>1307</v>
      </c>
      <c r="C79">
        <v>1307</v>
      </c>
      <c r="D79">
        <v>0</v>
      </c>
      <c r="E79" s="3"/>
      <c r="F79" s="3"/>
      <c r="G79">
        <v>0</v>
      </c>
      <c r="H79">
        <v>0</v>
      </c>
      <c r="I79">
        <v>0</v>
      </c>
      <c r="J79" t="s">
        <v>1195</v>
      </c>
    </row>
    <row r="80" spans="1:10" x14ac:dyDescent="0.2">
      <c r="A80" s="2">
        <v>46122.583333333336</v>
      </c>
      <c r="B80">
        <v>1290</v>
      </c>
      <c r="C80">
        <v>1307</v>
      </c>
      <c r="D80">
        <v>17</v>
      </c>
      <c r="E80" s="3">
        <v>46092</v>
      </c>
      <c r="F80" s="3">
        <v>46121</v>
      </c>
      <c r="G80">
        <v>11</v>
      </c>
      <c r="H80">
        <v>64.7</v>
      </c>
      <c r="I80">
        <v>5</v>
      </c>
      <c r="J80" t="s">
        <v>1691</v>
      </c>
    </row>
    <row r="81" spans="1:10" x14ac:dyDescent="0.2">
      <c r="A81" s="2"/>
      <c r="E81" s="3"/>
      <c r="F81" s="3"/>
      <c r="J81" t="s">
        <v>1692</v>
      </c>
    </row>
    <row r="82" spans="1:10" x14ac:dyDescent="0.2">
      <c r="A82" s="2"/>
      <c r="E82" s="3"/>
      <c r="F82" s="3"/>
      <c r="J82" t="s">
        <v>1693</v>
      </c>
    </row>
    <row r="83" spans="1:10" x14ac:dyDescent="0.2">
      <c r="A83" s="2"/>
      <c r="E83" s="3"/>
      <c r="F83" s="3"/>
      <c r="J83" t="s">
        <v>1694</v>
      </c>
    </row>
    <row r="84" spans="1:10" x14ac:dyDescent="0.2">
      <c r="A84" s="2"/>
      <c r="E84" s="3"/>
      <c r="F84" s="3"/>
      <c r="J84" t="s">
        <v>1695</v>
      </c>
    </row>
    <row r="85" spans="1:10" x14ac:dyDescent="0.2">
      <c r="A85" s="2">
        <v>46122.375</v>
      </c>
      <c r="B85">
        <v>1290</v>
      </c>
      <c r="C85">
        <v>1290</v>
      </c>
      <c r="D85">
        <v>0</v>
      </c>
      <c r="E85" s="3"/>
      <c r="F85" s="3"/>
      <c r="G85">
        <v>0</v>
      </c>
      <c r="H85">
        <v>0</v>
      </c>
      <c r="I85">
        <v>0</v>
      </c>
      <c r="J85" t="s">
        <v>1195</v>
      </c>
    </row>
    <row r="86" spans="1:10" x14ac:dyDescent="0.2">
      <c r="A86" s="2">
        <v>46121.583333333336</v>
      </c>
      <c r="B86">
        <v>1284</v>
      </c>
      <c r="C86">
        <v>1290</v>
      </c>
      <c r="D86">
        <v>6</v>
      </c>
      <c r="E86" s="3">
        <v>46105</v>
      </c>
      <c r="F86" s="3">
        <v>46120</v>
      </c>
      <c r="G86">
        <v>2</v>
      </c>
      <c r="H86">
        <v>33.299999999999997</v>
      </c>
      <c r="I86">
        <v>1</v>
      </c>
      <c r="J86" t="s">
        <v>1696</v>
      </c>
    </row>
    <row r="87" spans="1:10" x14ac:dyDescent="0.2">
      <c r="A87" s="2">
        <v>46121.375</v>
      </c>
      <c r="B87">
        <v>1284</v>
      </c>
      <c r="C87">
        <v>1284</v>
      </c>
      <c r="D87">
        <v>0</v>
      </c>
      <c r="E87" s="3"/>
      <c r="F87" s="3"/>
      <c r="G87">
        <v>0</v>
      </c>
      <c r="H87">
        <v>0</v>
      </c>
      <c r="I87">
        <v>0</v>
      </c>
      <c r="J87" t="s">
        <v>1195</v>
      </c>
    </row>
    <row r="88" spans="1:10" x14ac:dyDescent="0.2">
      <c r="A88" s="2">
        <v>46120.586805555555</v>
      </c>
      <c r="B88">
        <v>1264</v>
      </c>
      <c r="C88">
        <v>1284</v>
      </c>
      <c r="D88">
        <v>20</v>
      </c>
      <c r="E88" s="3">
        <v>46098</v>
      </c>
      <c r="F88" s="3">
        <v>46119</v>
      </c>
      <c r="G88">
        <v>10</v>
      </c>
      <c r="H88">
        <v>50</v>
      </c>
      <c r="I88">
        <v>6</v>
      </c>
      <c r="J88" t="s">
        <v>1621</v>
      </c>
    </row>
    <row r="89" spans="1:10" x14ac:dyDescent="0.2">
      <c r="A89" s="2"/>
      <c r="E89" s="3"/>
      <c r="F89" s="3"/>
      <c r="J89" t="s">
        <v>1622</v>
      </c>
    </row>
    <row r="90" spans="1:10" x14ac:dyDescent="0.2">
      <c r="A90" s="2"/>
      <c r="E90" s="3"/>
      <c r="F90" s="3"/>
      <c r="J90" t="s">
        <v>1623</v>
      </c>
    </row>
    <row r="91" spans="1:10" x14ac:dyDescent="0.2">
      <c r="A91" s="2"/>
      <c r="E91" s="3"/>
      <c r="F91" s="3"/>
      <c r="J91" t="s">
        <v>1624</v>
      </c>
    </row>
    <row r="92" spans="1:10" x14ac:dyDescent="0.2">
      <c r="A92" s="2"/>
      <c r="E92" s="3"/>
      <c r="F92" s="3"/>
      <c r="J92" t="s">
        <v>1625</v>
      </c>
    </row>
    <row r="93" spans="1:10" x14ac:dyDescent="0.2">
      <c r="A93" s="2"/>
      <c r="E93" s="3"/>
      <c r="F93" s="3"/>
      <c r="J93" t="s">
        <v>1626</v>
      </c>
    </row>
    <row r="94" spans="1:10" x14ac:dyDescent="0.2">
      <c r="A94" s="2">
        <v>46120.375</v>
      </c>
      <c r="B94">
        <v>1264</v>
      </c>
      <c r="C94">
        <v>1264</v>
      </c>
      <c r="D94">
        <v>0</v>
      </c>
      <c r="E94" s="3"/>
      <c r="F94" s="3"/>
      <c r="G94">
        <v>0</v>
      </c>
      <c r="H94">
        <v>0</v>
      </c>
      <c r="I94">
        <v>0</v>
      </c>
      <c r="J94" t="s">
        <v>1195</v>
      </c>
    </row>
    <row r="95" spans="1:10" x14ac:dyDescent="0.2">
      <c r="A95" s="2">
        <v>46119.583333333336</v>
      </c>
      <c r="B95">
        <v>1243</v>
      </c>
      <c r="C95">
        <v>1264</v>
      </c>
      <c r="D95">
        <v>21</v>
      </c>
      <c r="E95" s="3">
        <v>46092</v>
      </c>
      <c r="F95" s="3">
        <v>46118</v>
      </c>
      <c r="G95">
        <v>8</v>
      </c>
      <c r="H95">
        <v>38.1</v>
      </c>
      <c r="I95">
        <v>8</v>
      </c>
      <c r="J95" t="s">
        <v>1593</v>
      </c>
    </row>
    <row r="96" spans="1:10" x14ac:dyDescent="0.2">
      <c r="A96" s="2"/>
      <c r="E96" s="3"/>
      <c r="F96" s="3"/>
      <c r="J96" t="s">
        <v>1594</v>
      </c>
    </row>
    <row r="97" spans="1:10" x14ac:dyDescent="0.2">
      <c r="A97" s="2"/>
      <c r="E97" s="3"/>
      <c r="F97" s="3"/>
      <c r="J97" t="s">
        <v>1595</v>
      </c>
    </row>
    <row r="98" spans="1:10" x14ac:dyDescent="0.2">
      <c r="A98" s="2"/>
      <c r="E98" s="3"/>
      <c r="F98" s="3"/>
      <c r="J98" t="s">
        <v>1596</v>
      </c>
    </row>
    <row r="99" spans="1:10" x14ac:dyDescent="0.2">
      <c r="A99" s="2"/>
      <c r="E99" s="3"/>
      <c r="F99" s="3"/>
      <c r="J99" t="s">
        <v>1597</v>
      </c>
    </row>
    <row r="100" spans="1:10" x14ac:dyDescent="0.2">
      <c r="A100" s="2"/>
      <c r="E100" s="3"/>
      <c r="F100" s="3"/>
      <c r="J100" t="s">
        <v>1598</v>
      </c>
    </row>
    <row r="101" spans="1:10" x14ac:dyDescent="0.2">
      <c r="A101" s="2"/>
      <c r="E101" s="3"/>
      <c r="F101" s="3"/>
      <c r="J101" t="s">
        <v>1599</v>
      </c>
    </row>
    <row r="102" spans="1:10" x14ac:dyDescent="0.2">
      <c r="A102" s="2"/>
      <c r="E102" s="3"/>
      <c r="F102" s="3"/>
      <c r="J102" t="s">
        <v>1600</v>
      </c>
    </row>
    <row r="103" spans="1:10" x14ac:dyDescent="0.2">
      <c r="A103" s="2">
        <v>46119.375</v>
      </c>
      <c r="B103">
        <v>1243</v>
      </c>
      <c r="C103">
        <v>1243</v>
      </c>
      <c r="D103">
        <v>0</v>
      </c>
      <c r="E103" s="3"/>
      <c r="F103" s="3"/>
      <c r="G103">
        <v>0</v>
      </c>
      <c r="H103">
        <v>0</v>
      </c>
      <c r="I103">
        <v>0</v>
      </c>
      <c r="J103" t="s">
        <v>1195</v>
      </c>
    </row>
    <row r="104" spans="1:10" x14ac:dyDescent="0.2">
      <c r="A104" s="2">
        <v>46118.583333333336</v>
      </c>
      <c r="B104">
        <v>1226</v>
      </c>
      <c r="C104">
        <v>1243</v>
      </c>
      <c r="D104">
        <v>17</v>
      </c>
      <c r="E104" s="3">
        <v>46098</v>
      </c>
      <c r="F104" s="3">
        <v>46117</v>
      </c>
      <c r="G104">
        <v>7</v>
      </c>
      <c r="H104">
        <v>41.2</v>
      </c>
      <c r="I104">
        <v>4</v>
      </c>
      <c r="J104" t="s">
        <v>1564</v>
      </c>
    </row>
    <row r="105" spans="1:10" x14ac:dyDescent="0.2">
      <c r="A105" s="2"/>
      <c r="E105" s="3"/>
      <c r="F105" s="3"/>
      <c r="J105" t="s">
        <v>1565</v>
      </c>
    </row>
    <row r="106" spans="1:10" x14ac:dyDescent="0.2">
      <c r="A106" s="2"/>
      <c r="E106" s="3"/>
      <c r="F106" s="3"/>
      <c r="J106" t="s">
        <v>1566</v>
      </c>
    </row>
    <row r="107" spans="1:10" x14ac:dyDescent="0.2">
      <c r="A107" s="2"/>
      <c r="E107" s="3"/>
      <c r="F107" s="3"/>
      <c r="J107" t="s">
        <v>1567</v>
      </c>
    </row>
    <row r="108" spans="1:10" x14ac:dyDescent="0.2">
      <c r="A108" s="2">
        <v>46118.375</v>
      </c>
      <c r="B108">
        <v>1226</v>
      </c>
      <c r="C108">
        <v>1226</v>
      </c>
      <c r="D108">
        <v>0</v>
      </c>
      <c r="E108" s="3"/>
      <c r="F108" s="3"/>
      <c r="G108">
        <v>0</v>
      </c>
      <c r="H108">
        <v>0</v>
      </c>
      <c r="I108">
        <v>0</v>
      </c>
      <c r="J108" t="s">
        <v>1195</v>
      </c>
    </row>
    <row r="109" spans="1:10" x14ac:dyDescent="0.2">
      <c r="A109" s="2">
        <v>46117.583333333336</v>
      </c>
      <c r="B109">
        <v>1212</v>
      </c>
      <c r="C109">
        <v>1226</v>
      </c>
      <c r="D109">
        <v>14</v>
      </c>
      <c r="E109" s="3">
        <v>46087</v>
      </c>
      <c r="F109" s="3">
        <v>46116</v>
      </c>
      <c r="G109">
        <v>8</v>
      </c>
      <c r="H109">
        <v>57.1</v>
      </c>
      <c r="I109">
        <v>5</v>
      </c>
      <c r="J109" t="s">
        <v>1540</v>
      </c>
    </row>
    <row r="110" spans="1:10" x14ac:dyDescent="0.2">
      <c r="A110" s="2"/>
      <c r="E110" s="3"/>
      <c r="F110" s="3"/>
      <c r="J110" t="s">
        <v>1541</v>
      </c>
    </row>
    <row r="111" spans="1:10" x14ac:dyDescent="0.2">
      <c r="A111" s="2"/>
      <c r="E111" s="3"/>
      <c r="F111" s="3"/>
      <c r="J111" t="s">
        <v>1542</v>
      </c>
    </row>
    <row r="112" spans="1:10" x14ac:dyDescent="0.2">
      <c r="A112" s="2"/>
      <c r="E112" s="3"/>
      <c r="F112" s="3"/>
      <c r="J112" t="s">
        <v>1543</v>
      </c>
    </row>
    <row r="113" spans="1:10" x14ac:dyDescent="0.2">
      <c r="A113" s="2"/>
      <c r="E113" s="3"/>
      <c r="F113" s="3"/>
      <c r="J113" t="s">
        <v>1544</v>
      </c>
    </row>
    <row r="114" spans="1:10" x14ac:dyDescent="0.2">
      <c r="A114" s="2">
        <v>46117.375</v>
      </c>
      <c r="B114">
        <v>1212</v>
      </c>
      <c r="C114">
        <v>1212</v>
      </c>
      <c r="D114">
        <v>0</v>
      </c>
      <c r="E114" s="3"/>
      <c r="F114" s="3"/>
      <c r="G114">
        <v>0</v>
      </c>
      <c r="H114">
        <v>0</v>
      </c>
      <c r="I114">
        <v>0</v>
      </c>
      <c r="J114" t="s">
        <v>1195</v>
      </c>
    </row>
    <row r="115" spans="1:10" x14ac:dyDescent="0.2">
      <c r="A115" s="2">
        <v>46116.583333333336</v>
      </c>
      <c r="B115">
        <v>1191</v>
      </c>
      <c r="C115">
        <v>1212</v>
      </c>
      <c r="D115">
        <v>21</v>
      </c>
      <c r="E115" s="3">
        <v>46091</v>
      </c>
      <c r="F115" s="3">
        <v>46115</v>
      </c>
      <c r="G115">
        <v>13</v>
      </c>
      <c r="H115">
        <v>61.9</v>
      </c>
      <c r="I115">
        <v>5</v>
      </c>
      <c r="J115" t="s">
        <v>1506</v>
      </c>
    </row>
    <row r="116" spans="1:10" x14ac:dyDescent="0.2">
      <c r="A116" s="2"/>
      <c r="E116" s="3"/>
      <c r="F116" s="3"/>
      <c r="J116" t="s">
        <v>1507</v>
      </c>
    </row>
    <row r="117" spans="1:10" x14ac:dyDescent="0.2">
      <c r="A117" s="2"/>
      <c r="E117" s="3"/>
      <c r="F117" s="3"/>
      <c r="J117" t="s">
        <v>1508</v>
      </c>
    </row>
    <row r="118" spans="1:10" x14ac:dyDescent="0.2">
      <c r="A118" s="2"/>
      <c r="E118" s="3"/>
      <c r="F118" s="3"/>
      <c r="J118" t="s">
        <v>1509</v>
      </c>
    </row>
    <row r="119" spans="1:10" x14ac:dyDescent="0.2">
      <c r="A119" s="2"/>
      <c r="E119" s="3"/>
      <c r="F119" s="3"/>
      <c r="J119" t="s">
        <v>1510</v>
      </c>
    </row>
    <row r="120" spans="1:10" x14ac:dyDescent="0.2">
      <c r="A120" s="2">
        <v>46116.375</v>
      </c>
      <c r="B120">
        <v>1191</v>
      </c>
      <c r="C120">
        <v>1191</v>
      </c>
      <c r="D120">
        <v>0</v>
      </c>
      <c r="E120" s="3"/>
      <c r="F120" s="3"/>
      <c r="G120">
        <v>0</v>
      </c>
      <c r="H120">
        <v>0</v>
      </c>
      <c r="I120">
        <v>0</v>
      </c>
      <c r="J120" t="s">
        <v>1195</v>
      </c>
    </row>
    <row r="121" spans="1:10" x14ac:dyDescent="0.2">
      <c r="A121" s="2">
        <v>46115.583333333336</v>
      </c>
      <c r="B121">
        <v>1172</v>
      </c>
      <c r="C121">
        <v>1191</v>
      </c>
      <c r="D121">
        <v>19</v>
      </c>
      <c r="E121" s="3">
        <v>46098</v>
      </c>
      <c r="F121" s="3">
        <v>46114</v>
      </c>
      <c r="G121">
        <v>9</v>
      </c>
      <c r="H121">
        <v>47.4</v>
      </c>
      <c r="I121">
        <v>5</v>
      </c>
      <c r="J121" t="s">
        <v>1511</v>
      </c>
    </row>
    <row r="122" spans="1:10" x14ac:dyDescent="0.2">
      <c r="A122" s="2"/>
      <c r="E122" s="3"/>
      <c r="F122" s="3"/>
      <c r="J122" t="s">
        <v>1512</v>
      </c>
    </row>
    <row r="123" spans="1:10" x14ac:dyDescent="0.2">
      <c r="A123" s="2"/>
      <c r="E123" s="3"/>
      <c r="F123" s="3"/>
      <c r="J123" t="s">
        <v>1513</v>
      </c>
    </row>
    <row r="124" spans="1:10" x14ac:dyDescent="0.2">
      <c r="A124" s="2"/>
      <c r="E124" s="3"/>
      <c r="F124" s="3"/>
      <c r="J124" t="s">
        <v>1514</v>
      </c>
    </row>
    <row r="125" spans="1:10" x14ac:dyDescent="0.2">
      <c r="A125" s="2"/>
      <c r="E125" s="3"/>
      <c r="F125" s="3"/>
      <c r="J125" t="s">
        <v>1515</v>
      </c>
    </row>
    <row r="126" spans="1:10" x14ac:dyDescent="0.2">
      <c r="A126" s="2">
        <v>46115.375</v>
      </c>
      <c r="B126">
        <v>1172</v>
      </c>
      <c r="C126">
        <v>1172</v>
      </c>
      <c r="D126">
        <v>0</v>
      </c>
      <c r="E126" s="3"/>
      <c r="F126" s="3"/>
      <c r="G126">
        <v>0</v>
      </c>
      <c r="H126">
        <v>0</v>
      </c>
      <c r="I126">
        <v>0</v>
      </c>
      <c r="J126" t="s">
        <v>1195</v>
      </c>
    </row>
    <row r="127" spans="1:10" x14ac:dyDescent="0.2">
      <c r="A127" s="2">
        <v>46114.583333333336</v>
      </c>
      <c r="B127">
        <v>1152</v>
      </c>
      <c r="C127">
        <v>1172</v>
      </c>
      <c r="D127">
        <v>20</v>
      </c>
      <c r="E127" s="3">
        <v>46084</v>
      </c>
      <c r="F127" s="3">
        <v>46113</v>
      </c>
      <c r="G127">
        <v>10</v>
      </c>
      <c r="H127">
        <v>50</v>
      </c>
      <c r="I127">
        <v>2</v>
      </c>
      <c r="J127" t="s">
        <v>1516</v>
      </c>
    </row>
    <row r="128" spans="1:10" x14ac:dyDescent="0.2">
      <c r="A128" s="2"/>
      <c r="E128" s="3"/>
      <c r="F128" s="3"/>
      <c r="J128" t="s">
        <v>1517</v>
      </c>
    </row>
    <row r="129" spans="1:10" x14ac:dyDescent="0.2">
      <c r="A129" s="2">
        <v>46114.375</v>
      </c>
      <c r="B129">
        <v>1152</v>
      </c>
      <c r="C129">
        <v>1152</v>
      </c>
      <c r="D129">
        <v>0</v>
      </c>
      <c r="E129" s="3"/>
      <c r="F129" s="3"/>
      <c r="G129">
        <v>0</v>
      </c>
      <c r="H129">
        <v>0</v>
      </c>
      <c r="I129">
        <v>0</v>
      </c>
      <c r="J129" t="s">
        <v>1195</v>
      </c>
    </row>
    <row r="130" spans="1:10" x14ac:dyDescent="0.2">
      <c r="A130" s="2">
        <v>46113.583333333336</v>
      </c>
      <c r="B130">
        <v>1132</v>
      </c>
      <c r="C130">
        <v>1152</v>
      </c>
      <c r="D130">
        <v>20</v>
      </c>
      <c r="E130" s="3">
        <v>46091</v>
      </c>
      <c r="F130" s="3">
        <v>46112</v>
      </c>
      <c r="G130">
        <v>10</v>
      </c>
      <c r="H130">
        <v>50</v>
      </c>
      <c r="I130">
        <v>6</v>
      </c>
      <c r="J130" t="s">
        <v>1518</v>
      </c>
    </row>
    <row r="131" spans="1:10" x14ac:dyDescent="0.2">
      <c r="A131" s="2"/>
      <c r="E131" s="3"/>
      <c r="F131" s="3"/>
      <c r="J131" t="s">
        <v>1519</v>
      </c>
    </row>
    <row r="132" spans="1:10" x14ac:dyDescent="0.2">
      <c r="A132" s="2"/>
      <c r="E132" s="3"/>
      <c r="F132" s="3"/>
      <c r="J132" t="s">
        <v>1520</v>
      </c>
    </row>
    <row r="133" spans="1:10" x14ac:dyDescent="0.2">
      <c r="A133" s="2"/>
      <c r="E133" s="3"/>
      <c r="F133" s="3"/>
      <c r="J133" t="s">
        <v>1521</v>
      </c>
    </row>
    <row r="134" spans="1:10" x14ac:dyDescent="0.2">
      <c r="A134" s="2"/>
      <c r="E134" s="3"/>
      <c r="F134" s="3"/>
      <c r="J134" t="s">
        <v>1522</v>
      </c>
    </row>
    <row r="135" spans="1:10" x14ac:dyDescent="0.2">
      <c r="A135" s="2"/>
      <c r="E135" s="3"/>
      <c r="F135" s="3"/>
      <c r="J135" t="s">
        <v>1523</v>
      </c>
    </row>
    <row r="136" spans="1:10" x14ac:dyDescent="0.2">
      <c r="A136" s="2">
        <v>46113.375</v>
      </c>
      <c r="B136">
        <v>1132</v>
      </c>
      <c r="C136">
        <v>1132</v>
      </c>
      <c r="D136">
        <v>0</v>
      </c>
      <c r="E136" s="3"/>
      <c r="F136" s="3"/>
      <c r="G136">
        <v>0</v>
      </c>
      <c r="H136">
        <v>0</v>
      </c>
      <c r="I136">
        <v>0</v>
      </c>
      <c r="J136" t="s">
        <v>1195</v>
      </c>
    </row>
    <row r="137" spans="1:10" x14ac:dyDescent="0.2">
      <c r="A137" s="2">
        <v>46111.583437499998</v>
      </c>
      <c r="B137">
        <v>1112</v>
      </c>
      <c r="C137">
        <v>1119</v>
      </c>
      <c r="D137">
        <v>7</v>
      </c>
      <c r="E137" s="3">
        <v>46087</v>
      </c>
      <c r="F137" s="3">
        <v>46110</v>
      </c>
      <c r="G137">
        <v>2</v>
      </c>
      <c r="H137">
        <v>28.6</v>
      </c>
      <c r="I137">
        <v>1</v>
      </c>
      <c r="J137" t="s">
        <v>1397</v>
      </c>
    </row>
    <row r="138" spans="1:10" x14ac:dyDescent="0.2">
      <c r="A138" s="2">
        <v>46111.375219907408</v>
      </c>
      <c r="B138">
        <v>1112</v>
      </c>
      <c r="C138">
        <v>1112</v>
      </c>
      <c r="D138">
        <v>0</v>
      </c>
      <c r="E138" s="3"/>
      <c r="F138" s="3"/>
      <c r="G138">
        <v>0</v>
      </c>
      <c r="H138">
        <v>0</v>
      </c>
      <c r="I138">
        <v>0</v>
      </c>
      <c r="J138" t="s">
        <v>1195</v>
      </c>
    </row>
    <row r="139" spans="1:10" x14ac:dyDescent="0.2">
      <c r="A139" s="2">
        <v>46110.583437499998</v>
      </c>
      <c r="B139">
        <v>1098</v>
      </c>
      <c r="C139">
        <v>1112</v>
      </c>
      <c r="D139">
        <v>14</v>
      </c>
      <c r="E139" s="3">
        <v>46085</v>
      </c>
      <c r="F139" s="3">
        <v>46109</v>
      </c>
      <c r="G139">
        <v>8</v>
      </c>
      <c r="H139">
        <v>57.1</v>
      </c>
      <c r="I139">
        <v>4</v>
      </c>
      <c r="J139" t="s">
        <v>1398</v>
      </c>
    </row>
    <row r="140" spans="1:10" x14ac:dyDescent="0.2">
      <c r="A140" s="2"/>
      <c r="E140" s="3"/>
      <c r="F140" s="3"/>
      <c r="J140" t="s">
        <v>1399</v>
      </c>
    </row>
    <row r="141" spans="1:10" x14ac:dyDescent="0.2">
      <c r="A141" s="2"/>
      <c r="E141" s="3"/>
      <c r="F141" s="3"/>
      <c r="J141" t="s">
        <v>1400</v>
      </c>
    </row>
    <row r="142" spans="1:10" x14ac:dyDescent="0.2">
      <c r="A142" s="2"/>
      <c r="E142" s="3"/>
      <c r="F142" s="3"/>
      <c r="J142" t="s">
        <v>1401</v>
      </c>
    </row>
    <row r="143" spans="1:10" x14ac:dyDescent="0.2">
      <c r="A143" s="2">
        <v>46110.375185185185</v>
      </c>
      <c r="B143">
        <v>1098</v>
      </c>
      <c r="C143">
        <v>1098</v>
      </c>
      <c r="D143">
        <v>0</v>
      </c>
      <c r="E143" s="3"/>
      <c r="F143" s="3"/>
      <c r="G143">
        <v>0</v>
      </c>
      <c r="H143">
        <v>0</v>
      </c>
      <c r="I143">
        <v>0</v>
      </c>
      <c r="J143" t="s">
        <v>1195</v>
      </c>
    </row>
    <row r="144" spans="1:10" x14ac:dyDescent="0.2">
      <c r="A144" s="2">
        <v>46109.583472222221</v>
      </c>
      <c r="B144">
        <v>1090</v>
      </c>
      <c r="C144">
        <v>1098</v>
      </c>
      <c r="D144">
        <v>8</v>
      </c>
      <c r="E144" s="3">
        <v>46098</v>
      </c>
      <c r="F144" s="3">
        <v>46108</v>
      </c>
      <c r="G144">
        <v>7</v>
      </c>
      <c r="H144">
        <v>87.5</v>
      </c>
      <c r="I144">
        <v>1</v>
      </c>
      <c r="J144" t="s">
        <v>1402</v>
      </c>
    </row>
    <row r="145" spans="1:10" x14ac:dyDescent="0.2">
      <c r="A145" s="2">
        <v>46109.375162037039</v>
      </c>
      <c r="B145">
        <v>1090</v>
      </c>
      <c r="C145">
        <v>1090</v>
      </c>
      <c r="D145">
        <v>0</v>
      </c>
      <c r="E145" s="3"/>
      <c r="F145" s="3"/>
      <c r="G145">
        <v>0</v>
      </c>
      <c r="H145">
        <v>0</v>
      </c>
      <c r="I145">
        <v>0</v>
      </c>
      <c r="J145" t="s">
        <v>1195</v>
      </c>
    </row>
    <row r="146" spans="1:10" x14ac:dyDescent="0.2">
      <c r="A146" s="2">
        <v>46108.583425925928</v>
      </c>
      <c r="B146">
        <v>1070</v>
      </c>
      <c r="C146">
        <v>1090</v>
      </c>
      <c r="D146">
        <v>20</v>
      </c>
      <c r="E146" s="3">
        <v>46087</v>
      </c>
      <c r="F146" s="3">
        <v>46107</v>
      </c>
      <c r="G146">
        <v>11</v>
      </c>
      <c r="H146">
        <v>55</v>
      </c>
      <c r="I146">
        <v>2</v>
      </c>
      <c r="J146" t="s">
        <v>1361</v>
      </c>
    </row>
    <row r="147" spans="1:10" x14ac:dyDescent="0.2">
      <c r="A147" s="2"/>
      <c r="E147" s="3"/>
      <c r="F147" s="3"/>
      <c r="J147" t="s">
        <v>1362</v>
      </c>
    </row>
    <row r="148" spans="1:10" x14ac:dyDescent="0.2">
      <c r="A148" s="2">
        <v>46108.375092592592</v>
      </c>
      <c r="B148">
        <v>1070</v>
      </c>
      <c r="C148">
        <v>1070</v>
      </c>
      <c r="D148">
        <v>0</v>
      </c>
      <c r="E148" s="3"/>
      <c r="F148" s="3"/>
      <c r="G148">
        <v>0</v>
      </c>
      <c r="H148">
        <v>0</v>
      </c>
      <c r="I148">
        <v>0</v>
      </c>
      <c r="J148" t="s">
        <v>1195</v>
      </c>
    </row>
    <row r="149" spans="1:10" x14ac:dyDescent="0.2">
      <c r="A149" s="2">
        <v>46107.583402777775</v>
      </c>
      <c r="B149">
        <v>1045</v>
      </c>
      <c r="C149">
        <v>1070</v>
      </c>
      <c r="D149">
        <v>25</v>
      </c>
      <c r="E149" s="3">
        <v>46090</v>
      </c>
      <c r="F149" s="3">
        <v>46106</v>
      </c>
      <c r="G149">
        <v>10</v>
      </c>
      <c r="H149">
        <v>40</v>
      </c>
      <c r="I149">
        <v>4</v>
      </c>
      <c r="J149" t="s">
        <v>1191</v>
      </c>
    </row>
    <row r="150" spans="1:10" x14ac:dyDescent="0.2">
      <c r="A150" s="2"/>
      <c r="E150" s="3"/>
      <c r="F150" s="3"/>
      <c r="J150" t="s">
        <v>1192</v>
      </c>
    </row>
    <row r="151" spans="1:10" x14ac:dyDescent="0.2">
      <c r="A151" s="2"/>
      <c r="E151" s="3"/>
      <c r="F151" s="3"/>
      <c r="J151" t="s">
        <v>1193</v>
      </c>
    </row>
    <row r="152" spans="1:10" x14ac:dyDescent="0.2">
      <c r="A152" s="2"/>
      <c r="E152" s="3"/>
      <c r="F152" s="3"/>
      <c r="J152" t="s">
        <v>1194</v>
      </c>
    </row>
    <row r="153" spans="1:10" x14ac:dyDescent="0.2">
      <c r="A153" s="2">
        <v>46107.375185185185</v>
      </c>
      <c r="B153">
        <v>1045</v>
      </c>
      <c r="C153">
        <v>1045</v>
      </c>
      <c r="D153">
        <v>0</v>
      </c>
      <c r="E153" s="3"/>
      <c r="F153" s="3"/>
      <c r="G153">
        <v>0</v>
      </c>
      <c r="H153">
        <v>0</v>
      </c>
      <c r="I153">
        <v>0</v>
      </c>
      <c r="J153" t="s">
        <v>1195</v>
      </c>
    </row>
    <row r="154" spans="1:10" x14ac:dyDescent="0.2">
      <c r="A154" s="2">
        <v>46106.583541666667</v>
      </c>
      <c r="B154">
        <v>1008</v>
      </c>
      <c r="C154">
        <v>1045</v>
      </c>
      <c r="D154">
        <v>37</v>
      </c>
      <c r="E154" s="3">
        <v>46078</v>
      </c>
      <c r="F154" s="3">
        <v>46105</v>
      </c>
      <c r="G154">
        <v>18</v>
      </c>
      <c r="H154">
        <v>48.6</v>
      </c>
      <c r="I154">
        <v>3</v>
      </c>
      <c r="J154" t="s">
        <v>1196</v>
      </c>
    </row>
    <row r="155" spans="1:10" x14ac:dyDescent="0.2">
      <c r="A155" s="2"/>
      <c r="E155" s="3"/>
      <c r="F155" s="3"/>
      <c r="J155" t="s">
        <v>1197</v>
      </c>
    </row>
    <row r="156" spans="1:10" x14ac:dyDescent="0.2">
      <c r="A156" s="2"/>
      <c r="E156" s="3"/>
      <c r="F156" s="3"/>
      <c r="J156" t="s">
        <v>1198</v>
      </c>
    </row>
    <row r="157" spans="1:10" x14ac:dyDescent="0.2">
      <c r="A157" s="2">
        <v>46106.3753125</v>
      </c>
      <c r="B157">
        <v>1008</v>
      </c>
      <c r="C157">
        <v>1008</v>
      </c>
      <c r="D157">
        <v>0</v>
      </c>
      <c r="E157" s="3"/>
      <c r="F157" s="3"/>
      <c r="G157">
        <v>0</v>
      </c>
      <c r="H157">
        <v>0</v>
      </c>
      <c r="I157">
        <v>0</v>
      </c>
      <c r="J157" t="s">
        <v>1195</v>
      </c>
    </row>
    <row r="158" spans="1:10" x14ac:dyDescent="0.2">
      <c r="A158" s="2">
        <v>46105.770162037035</v>
      </c>
      <c r="B158">
        <v>994</v>
      </c>
      <c r="C158">
        <v>1008</v>
      </c>
      <c r="D158">
        <v>14</v>
      </c>
      <c r="E158" s="3">
        <v>46076</v>
      </c>
      <c r="F158" s="3">
        <v>46104</v>
      </c>
      <c r="G158">
        <v>11</v>
      </c>
      <c r="H158">
        <v>78.599999999999994</v>
      </c>
      <c r="I158">
        <v>6</v>
      </c>
      <c r="J158" t="s">
        <v>1199</v>
      </c>
    </row>
    <row r="159" spans="1:10" x14ac:dyDescent="0.2">
      <c r="A159" s="2"/>
      <c r="E159" s="3"/>
      <c r="F159" s="3"/>
      <c r="J159" t="s">
        <v>1200</v>
      </c>
    </row>
    <row r="160" spans="1:10" x14ac:dyDescent="0.2">
      <c r="A160" s="2"/>
      <c r="E160" s="3"/>
      <c r="F160" s="3"/>
      <c r="J160" t="s">
        <v>1201</v>
      </c>
    </row>
    <row r="161" spans="1:10" x14ac:dyDescent="0.2">
      <c r="A161" s="2"/>
      <c r="E161" s="3"/>
      <c r="F161" s="3"/>
      <c r="J161" t="s">
        <v>1202</v>
      </c>
    </row>
    <row r="162" spans="1:10" x14ac:dyDescent="0.2">
      <c r="A162" s="2"/>
      <c r="E162" s="3"/>
      <c r="F162" s="3"/>
      <c r="J162" t="s">
        <v>1203</v>
      </c>
    </row>
    <row r="163" spans="1:10" x14ac:dyDescent="0.2">
      <c r="A163" s="2"/>
      <c r="E163" s="3"/>
      <c r="F163" s="3"/>
      <c r="J163" t="s">
        <v>1204</v>
      </c>
    </row>
    <row r="164" spans="1:10" x14ac:dyDescent="0.2">
      <c r="A164" s="2">
        <v>46105.375185185185</v>
      </c>
      <c r="B164">
        <v>994</v>
      </c>
      <c r="C164">
        <v>994</v>
      </c>
      <c r="D164">
        <v>0</v>
      </c>
      <c r="E164" s="3"/>
      <c r="F164" s="3"/>
      <c r="G164">
        <v>0</v>
      </c>
      <c r="H164">
        <v>0</v>
      </c>
      <c r="I164">
        <v>0</v>
      </c>
      <c r="J164" t="s">
        <v>1195</v>
      </c>
    </row>
    <row r="165" spans="1:10" x14ac:dyDescent="0.2">
      <c r="A165" s="2">
        <v>46104.583333333336</v>
      </c>
      <c r="B165">
        <v>967</v>
      </c>
      <c r="C165">
        <v>994</v>
      </c>
      <c r="D165">
        <v>27</v>
      </c>
      <c r="E165" s="3">
        <v>46076</v>
      </c>
      <c r="F165" s="3">
        <v>46103</v>
      </c>
      <c r="G165">
        <v>13</v>
      </c>
      <c r="H165">
        <v>48.1</v>
      </c>
      <c r="I165">
        <v>12</v>
      </c>
      <c r="J165" t="s">
        <v>1205</v>
      </c>
    </row>
    <row r="166" spans="1:10" x14ac:dyDescent="0.2">
      <c r="A166" s="2"/>
      <c r="E166" s="3"/>
      <c r="F166" s="3"/>
      <c r="J166" t="s">
        <v>1206</v>
      </c>
    </row>
    <row r="167" spans="1:10" x14ac:dyDescent="0.2">
      <c r="A167" s="2"/>
      <c r="E167" s="3"/>
      <c r="F167" s="3"/>
      <c r="J167" t="s">
        <v>1207</v>
      </c>
    </row>
    <row r="168" spans="1:10" x14ac:dyDescent="0.2">
      <c r="A168" s="2"/>
      <c r="E168" s="3"/>
      <c r="F168" s="3"/>
      <c r="J168" t="s">
        <v>1208</v>
      </c>
    </row>
    <row r="169" spans="1:10" x14ac:dyDescent="0.2">
      <c r="A169" s="2"/>
      <c r="E169" s="3"/>
      <c r="F169" s="3"/>
      <c r="J169" t="s">
        <v>1209</v>
      </c>
    </row>
    <row r="170" spans="1:10" x14ac:dyDescent="0.2">
      <c r="A170" s="2"/>
      <c r="E170" s="3"/>
      <c r="F170" s="3"/>
      <c r="J170" t="s">
        <v>1210</v>
      </c>
    </row>
    <row r="171" spans="1:10" x14ac:dyDescent="0.2">
      <c r="A171" s="2"/>
      <c r="E171" s="3"/>
      <c r="F171" s="3"/>
      <c r="J171" t="s">
        <v>1211</v>
      </c>
    </row>
    <row r="172" spans="1:10" x14ac:dyDescent="0.2">
      <c r="A172" s="2"/>
      <c r="E172" s="3"/>
      <c r="F172" s="3"/>
      <c r="J172" t="s">
        <v>1212</v>
      </c>
    </row>
    <row r="173" spans="1:10" x14ac:dyDescent="0.2">
      <c r="A173" s="2"/>
      <c r="E173" s="3"/>
      <c r="F173" s="3"/>
      <c r="J173" t="s">
        <v>1213</v>
      </c>
    </row>
    <row r="174" spans="1:10" x14ac:dyDescent="0.2">
      <c r="A174" s="2"/>
      <c r="E174" s="3"/>
      <c r="F174" s="3"/>
      <c r="J174" t="s">
        <v>1214</v>
      </c>
    </row>
    <row r="175" spans="1:10" x14ac:dyDescent="0.2">
      <c r="A175" s="2"/>
      <c r="E175" s="3"/>
      <c r="F175" s="3"/>
      <c r="J175" t="s">
        <v>1215</v>
      </c>
    </row>
    <row r="176" spans="1:10" x14ac:dyDescent="0.2">
      <c r="A176" s="2"/>
      <c r="E176" s="3"/>
      <c r="F176" s="3"/>
      <c r="J176" t="s">
        <v>1216</v>
      </c>
    </row>
    <row r="177" spans="1:10" x14ac:dyDescent="0.2">
      <c r="A177" s="2">
        <v>46104.375</v>
      </c>
      <c r="B177">
        <v>967</v>
      </c>
      <c r="C177">
        <v>967</v>
      </c>
      <c r="D177">
        <v>0</v>
      </c>
      <c r="E177" s="3"/>
      <c r="F177" s="3"/>
      <c r="G177">
        <v>0</v>
      </c>
      <c r="H177">
        <v>0</v>
      </c>
      <c r="I177">
        <v>0</v>
      </c>
      <c r="J177" t="s">
        <v>1195</v>
      </c>
    </row>
    <row r="178" spans="1:10" x14ac:dyDescent="0.2">
      <c r="A178" s="2">
        <v>46103.583333333336</v>
      </c>
      <c r="B178">
        <v>967</v>
      </c>
      <c r="C178">
        <v>967</v>
      </c>
      <c r="D178">
        <v>0</v>
      </c>
      <c r="E178" s="3"/>
      <c r="F178" s="3"/>
      <c r="G178">
        <v>0</v>
      </c>
      <c r="H178">
        <v>0</v>
      </c>
      <c r="I178">
        <v>0</v>
      </c>
      <c r="J178" t="s">
        <v>1195</v>
      </c>
    </row>
    <row r="179" spans="1:10" x14ac:dyDescent="0.2">
      <c r="A179" s="2">
        <v>46103.474305555559</v>
      </c>
      <c r="B179">
        <v>905</v>
      </c>
      <c r="C179">
        <v>967</v>
      </c>
      <c r="D179">
        <v>62</v>
      </c>
      <c r="E179" s="3">
        <v>46076</v>
      </c>
      <c r="F179" s="3">
        <v>46102</v>
      </c>
      <c r="G179">
        <v>42</v>
      </c>
      <c r="H179">
        <v>67.7</v>
      </c>
      <c r="I179">
        <v>3</v>
      </c>
      <c r="J179" t="s">
        <v>1217</v>
      </c>
    </row>
    <row r="180" spans="1:10" x14ac:dyDescent="0.2">
      <c r="A180" s="2"/>
      <c r="E180" s="3"/>
      <c r="F180" s="3"/>
      <c r="J180" t="s">
        <v>1218</v>
      </c>
    </row>
    <row r="181" spans="1:10" x14ac:dyDescent="0.2">
      <c r="A181" s="2"/>
      <c r="E181" s="3"/>
      <c r="F181" s="3"/>
      <c r="J181" t="s">
        <v>1219</v>
      </c>
    </row>
    <row r="182" spans="1:10" x14ac:dyDescent="0.2">
      <c r="A182" s="2">
        <v>46103.375</v>
      </c>
      <c r="B182">
        <v>905</v>
      </c>
      <c r="C182">
        <v>905</v>
      </c>
      <c r="D182">
        <v>0</v>
      </c>
      <c r="E182" s="3"/>
      <c r="F182" s="3"/>
      <c r="G182">
        <v>0</v>
      </c>
      <c r="H182">
        <v>0</v>
      </c>
      <c r="I182">
        <v>0</v>
      </c>
      <c r="J182" t="s">
        <v>1195</v>
      </c>
    </row>
    <row r="183" spans="1:10" x14ac:dyDescent="0.2">
      <c r="A183" s="2">
        <v>46102.579861111109</v>
      </c>
      <c r="B183">
        <v>886</v>
      </c>
      <c r="C183">
        <v>905</v>
      </c>
      <c r="D183">
        <v>19</v>
      </c>
      <c r="E183" s="3">
        <v>46076</v>
      </c>
      <c r="F183" s="3">
        <v>46101</v>
      </c>
      <c r="G183">
        <v>11</v>
      </c>
      <c r="H183">
        <v>57.9</v>
      </c>
      <c r="I183">
        <v>10</v>
      </c>
      <c r="J183" t="s">
        <v>1220</v>
      </c>
    </row>
    <row r="184" spans="1:10" x14ac:dyDescent="0.2">
      <c r="A184" s="2"/>
      <c r="E184" s="3"/>
      <c r="F184" s="3"/>
      <c r="J184" t="s">
        <v>1221</v>
      </c>
    </row>
    <row r="185" spans="1:10" x14ac:dyDescent="0.2">
      <c r="A185" s="2"/>
      <c r="E185" s="3"/>
      <c r="F185" s="3"/>
      <c r="J185" t="s">
        <v>1222</v>
      </c>
    </row>
    <row r="186" spans="1:10" x14ac:dyDescent="0.2">
      <c r="A186" s="2"/>
      <c r="E186" s="3"/>
      <c r="F186" s="3"/>
      <c r="J186" t="s">
        <v>1223</v>
      </c>
    </row>
    <row r="187" spans="1:10" x14ac:dyDescent="0.2">
      <c r="A187" s="2"/>
      <c r="E187" s="3"/>
      <c r="F187" s="3"/>
      <c r="J187" t="s">
        <v>1224</v>
      </c>
    </row>
    <row r="188" spans="1:10" x14ac:dyDescent="0.2">
      <c r="A188" s="2"/>
      <c r="E188" s="3"/>
      <c r="F188" s="3"/>
      <c r="J188" t="s">
        <v>1225</v>
      </c>
    </row>
    <row r="189" spans="1:10" x14ac:dyDescent="0.2">
      <c r="A189" s="2"/>
      <c r="E189" s="3"/>
      <c r="F189" s="3"/>
      <c r="J189" t="s">
        <v>1226</v>
      </c>
    </row>
    <row r="190" spans="1:10" x14ac:dyDescent="0.2">
      <c r="A190" s="2"/>
      <c r="E190" s="3"/>
      <c r="F190" s="3"/>
      <c r="J190" t="s">
        <v>1227</v>
      </c>
    </row>
    <row r="191" spans="1:10" x14ac:dyDescent="0.2">
      <c r="A191" s="2"/>
      <c r="E191" s="3"/>
      <c r="F191" s="3"/>
      <c r="J191" t="s">
        <v>1228</v>
      </c>
    </row>
    <row r="192" spans="1:10" x14ac:dyDescent="0.2">
      <c r="A192" s="2"/>
      <c r="E192" s="3"/>
      <c r="F192" s="3"/>
      <c r="J192" t="s">
        <v>1229</v>
      </c>
    </row>
    <row r="193" spans="1:10" x14ac:dyDescent="0.2">
      <c r="A193" s="2">
        <v>46102.375</v>
      </c>
      <c r="B193">
        <v>886</v>
      </c>
      <c r="C193">
        <v>886</v>
      </c>
      <c r="D193">
        <v>0</v>
      </c>
      <c r="E193" s="3"/>
      <c r="F193" s="3"/>
      <c r="G193">
        <v>0</v>
      </c>
      <c r="H193">
        <v>0</v>
      </c>
      <c r="I193">
        <v>0</v>
      </c>
      <c r="J193" t="s">
        <v>1195</v>
      </c>
    </row>
    <row r="194" spans="1:10" x14ac:dyDescent="0.2">
      <c r="A194" s="2">
        <v>46101.396527777775</v>
      </c>
      <c r="B194">
        <v>854</v>
      </c>
      <c r="C194">
        <v>886</v>
      </c>
      <c r="D194">
        <v>32</v>
      </c>
      <c r="E194" s="3">
        <v>46095</v>
      </c>
      <c r="F194" s="3">
        <v>46100</v>
      </c>
      <c r="G194">
        <v>24</v>
      </c>
      <c r="H194">
        <v>75</v>
      </c>
      <c r="I194">
        <v>1</v>
      </c>
      <c r="J194" t="s">
        <v>1230</v>
      </c>
    </row>
    <row r="195" spans="1:10" x14ac:dyDescent="0.2">
      <c r="A195" s="2">
        <v>46100.375</v>
      </c>
      <c r="B195">
        <v>822</v>
      </c>
      <c r="C195">
        <v>854</v>
      </c>
      <c r="D195">
        <v>32</v>
      </c>
      <c r="E195" s="3">
        <v>46074</v>
      </c>
      <c r="F195" s="3">
        <v>46099</v>
      </c>
      <c r="G195">
        <v>21</v>
      </c>
      <c r="H195">
        <v>65.599999999999994</v>
      </c>
      <c r="I195">
        <v>6</v>
      </c>
      <c r="J195" t="s">
        <v>1231</v>
      </c>
    </row>
    <row r="196" spans="1:10" x14ac:dyDescent="0.2">
      <c r="A196" s="2"/>
      <c r="E196" s="3"/>
      <c r="F196" s="3"/>
      <c r="J196" t="s">
        <v>1232</v>
      </c>
    </row>
    <row r="197" spans="1:10" x14ac:dyDescent="0.2">
      <c r="A197" s="2"/>
      <c r="E197" s="3"/>
      <c r="F197" s="3"/>
      <c r="J197" t="s">
        <v>1233</v>
      </c>
    </row>
    <row r="198" spans="1:10" x14ac:dyDescent="0.2">
      <c r="A198" s="2"/>
      <c r="E198" s="3"/>
      <c r="F198" s="3"/>
      <c r="J198" t="s">
        <v>1234</v>
      </c>
    </row>
    <row r="199" spans="1:10" x14ac:dyDescent="0.2">
      <c r="A199" s="2"/>
      <c r="E199" s="3"/>
      <c r="F199" s="3"/>
      <c r="J199" t="s">
        <v>1235</v>
      </c>
    </row>
    <row r="200" spans="1:10" x14ac:dyDescent="0.2">
      <c r="A200" s="2"/>
      <c r="E200" s="3"/>
      <c r="F200" s="3"/>
      <c r="J200" t="s">
        <v>1236</v>
      </c>
    </row>
    <row r="201" spans="1:10" x14ac:dyDescent="0.2">
      <c r="A201" s="2">
        <v>46099.375</v>
      </c>
      <c r="B201">
        <v>777</v>
      </c>
      <c r="C201">
        <v>822</v>
      </c>
      <c r="D201">
        <v>45</v>
      </c>
      <c r="E201" s="3">
        <v>46072</v>
      </c>
      <c r="F201" s="3">
        <v>46098</v>
      </c>
      <c r="G201">
        <v>22</v>
      </c>
      <c r="H201">
        <v>48.9</v>
      </c>
      <c r="I201">
        <v>11</v>
      </c>
      <c r="J201" t="s">
        <v>1237</v>
      </c>
    </row>
    <row r="202" spans="1:10" x14ac:dyDescent="0.2">
      <c r="A202" s="2"/>
      <c r="E202" s="3"/>
      <c r="F202" s="3"/>
      <c r="J202" t="s">
        <v>1238</v>
      </c>
    </row>
    <row r="203" spans="1:10" x14ac:dyDescent="0.2">
      <c r="A203" s="2"/>
      <c r="E203" s="3"/>
      <c r="F203" s="3"/>
      <c r="J203" t="s">
        <v>1239</v>
      </c>
    </row>
    <row r="204" spans="1:10" x14ac:dyDescent="0.2">
      <c r="A204" s="2"/>
      <c r="E204" s="3"/>
      <c r="F204" s="3"/>
      <c r="J204" t="s">
        <v>1240</v>
      </c>
    </row>
    <row r="205" spans="1:10" x14ac:dyDescent="0.2">
      <c r="A205" s="2"/>
      <c r="E205" s="3"/>
      <c r="F205" s="3"/>
      <c r="J205" t="s">
        <v>1241</v>
      </c>
    </row>
    <row r="206" spans="1:10" x14ac:dyDescent="0.2">
      <c r="A206" s="2"/>
      <c r="E206" s="3"/>
      <c r="F206" s="3"/>
      <c r="J206" t="s">
        <v>1242</v>
      </c>
    </row>
    <row r="207" spans="1:10" x14ac:dyDescent="0.2">
      <c r="A207" s="2"/>
      <c r="E207" s="3"/>
      <c r="F207" s="3"/>
      <c r="J207" t="s">
        <v>1243</v>
      </c>
    </row>
    <row r="208" spans="1:10" x14ac:dyDescent="0.2">
      <c r="A208" s="2"/>
      <c r="E208" s="3"/>
      <c r="F208" s="3"/>
      <c r="J208" t="s">
        <v>1244</v>
      </c>
    </row>
    <row r="209" spans="1:10" x14ac:dyDescent="0.2">
      <c r="A209" s="2"/>
      <c r="E209" s="3"/>
      <c r="F209" s="3"/>
      <c r="J209" t="s">
        <v>1245</v>
      </c>
    </row>
    <row r="210" spans="1:10" x14ac:dyDescent="0.2">
      <c r="A210" s="2"/>
      <c r="E210" s="3"/>
      <c r="F210" s="3"/>
      <c r="J210" t="s">
        <v>1246</v>
      </c>
    </row>
    <row r="211" spans="1:10" x14ac:dyDescent="0.2">
      <c r="A211" s="2"/>
      <c r="E211" s="3"/>
      <c r="F211" s="3"/>
      <c r="J211" t="s">
        <v>1247</v>
      </c>
    </row>
    <row r="212" spans="1:10" x14ac:dyDescent="0.2">
      <c r="A212" s="2">
        <v>46098.375</v>
      </c>
      <c r="B212">
        <v>753</v>
      </c>
      <c r="C212">
        <v>777</v>
      </c>
      <c r="D212">
        <v>24</v>
      </c>
      <c r="E212" s="3">
        <v>46072</v>
      </c>
      <c r="F212" s="3">
        <v>46097</v>
      </c>
      <c r="G212">
        <v>13</v>
      </c>
      <c r="H212">
        <v>54.2</v>
      </c>
      <c r="I212">
        <v>5</v>
      </c>
      <c r="J212" t="s">
        <v>1248</v>
      </c>
    </row>
    <row r="213" spans="1:10" x14ac:dyDescent="0.2">
      <c r="A213" s="2"/>
      <c r="E213" s="3"/>
      <c r="F213" s="3"/>
      <c r="J213" t="s">
        <v>1249</v>
      </c>
    </row>
    <row r="214" spans="1:10" x14ac:dyDescent="0.2">
      <c r="A214" s="2"/>
      <c r="E214" s="3"/>
      <c r="F214" s="3"/>
      <c r="J214" t="s">
        <v>1250</v>
      </c>
    </row>
    <row r="215" spans="1:10" x14ac:dyDescent="0.2">
      <c r="A215" s="2"/>
      <c r="E215" s="3"/>
      <c r="F215" s="3"/>
      <c r="J215" t="s">
        <v>1251</v>
      </c>
    </row>
    <row r="216" spans="1:10" x14ac:dyDescent="0.2">
      <c r="A216" s="2"/>
      <c r="E216" s="3"/>
      <c r="F216" s="3"/>
      <c r="J216" t="s">
        <v>1252</v>
      </c>
    </row>
    <row r="217" spans="1:10" x14ac:dyDescent="0.2">
      <c r="A217" s="2">
        <v>46097.527777777781</v>
      </c>
      <c r="B217">
        <v>753</v>
      </c>
      <c r="C217">
        <v>753</v>
      </c>
      <c r="D217">
        <v>0</v>
      </c>
      <c r="E217" s="3"/>
      <c r="F217" s="3"/>
      <c r="G217">
        <v>0</v>
      </c>
      <c r="H217">
        <v>0</v>
      </c>
      <c r="I217">
        <v>0</v>
      </c>
      <c r="J217" t="s">
        <v>1195</v>
      </c>
    </row>
    <row r="218" spans="1:10" x14ac:dyDescent="0.2">
      <c r="A218" s="2">
        <v>46097.526388888888</v>
      </c>
      <c r="B218">
        <v>741</v>
      </c>
      <c r="C218">
        <v>753</v>
      </c>
      <c r="D218">
        <v>12</v>
      </c>
      <c r="E218" s="3">
        <v>46069</v>
      </c>
      <c r="F218" s="3">
        <v>46096</v>
      </c>
      <c r="G218">
        <v>6</v>
      </c>
      <c r="H218">
        <v>0.5</v>
      </c>
      <c r="I218">
        <v>8</v>
      </c>
      <c r="J218" t="s">
        <v>1253</v>
      </c>
    </row>
    <row r="219" spans="1:10" x14ac:dyDescent="0.2">
      <c r="A219" s="2"/>
      <c r="E219" s="3"/>
      <c r="F219" s="3"/>
      <c r="J219" t="s">
        <v>1254</v>
      </c>
    </row>
    <row r="220" spans="1:10" x14ac:dyDescent="0.2">
      <c r="A220" s="2"/>
      <c r="E220" s="3"/>
      <c r="F220" s="3"/>
      <c r="J220" t="s">
        <v>1255</v>
      </c>
    </row>
    <row r="221" spans="1:10" x14ac:dyDescent="0.2">
      <c r="A221" s="2"/>
      <c r="E221" s="3"/>
      <c r="F221" s="3"/>
      <c r="J221" t="s">
        <v>1256</v>
      </c>
    </row>
    <row r="222" spans="1:10" x14ac:dyDescent="0.2">
      <c r="A222" s="2"/>
      <c r="E222" s="3"/>
      <c r="F222" s="3"/>
      <c r="J222" t="s">
        <v>1257</v>
      </c>
    </row>
    <row r="223" spans="1:10" x14ac:dyDescent="0.2">
      <c r="A223" s="2">
        <v>46097.375</v>
      </c>
      <c r="B223">
        <v>718</v>
      </c>
      <c r="C223">
        <v>741</v>
      </c>
      <c r="D223">
        <v>23</v>
      </c>
      <c r="E223" s="3">
        <v>46076</v>
      </c>
      <c r="F223" s="3">
        <v>46095</v>
      </c>
      <c r="G223">
        <v>10</v>
      </c>
      <c r="H223">
        <v>0.43480000000000002</v>
      </c>
      <c r="I223">
        <v>7</v>
      </c>
      <c r="J223" t="s">
        <v>1254</v>
      </c>
    </row>
    <row r="224" spans="1:10" x14ac:dyDescent="0.2">
      <c r="A224" s="2"/>
      <c r="E224" s="3"/>
      <c r="F224" s="3"/>
      <c r="J224" t="s">
        <v>1258</v>
      </c>
    </row>
    <row r="225" spans="1:10" x14ac:dyDescent="0.2">
      <c r="A225" s="2"/>
      <c r="E225" s="3"/>
      <c r="F225" s="3"/>
      <c r="J225" t="s">
        <v>1259</v>
      </c>
    </row>
    <row r="226" spans="1:10" x14ac:dyDescent="0.2">
      <c r="A226" s="2"/>
      <c r="E226" s="3"/>
      <c r="F226" s="3"/>
      <c r="J226" t="s">
        <v>1260</v>
      </c>
    </row>
    <row r="227" spans="1:10" x14ac:dyDescent="0.2">
      <c r="A227" s="2"/>
      <c r="E227" s="3"/>
      <c r="F227" s="3"/>
      <c r="J227" t="s">
        <v>1255</v>
      </c>
    </row>
    <row r="228" spans="1:10" x14ac:dyDescent="0.2">
      <c r="A228" s="2"/>
      <c r="E228" s="3"/>
      <c r="F228" s="3"/>
      <c r="J228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Reason Graph</vt:lpstr>
      <vt:lpstr>Late Night Analysis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2026-05-15T02:05:02Z</dcterms:modified>
</cp:coreProperties>
</file>