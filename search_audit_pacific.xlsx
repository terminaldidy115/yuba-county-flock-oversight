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B8F7E024-9718-4A46-8809-58B31F91C9A5}" xr6:coauthVersionLast="47" xr6:coauthVersionMax="47" xr10:uidLastSave="{00000000-0000-0000-0000-000000000000}"/>
  <bookViews>
    <workbookView xWindow="32340" yWindow="6540" windowWidth="45680" windowHeight="18620" activeTab="5" xr2:uid="{00000000-000D-0000-FFFF-FFFF00000000}"/>
  </bookViews>
  <sheets>
    <sheet name="Late Night Analysis" sheetId="9" r:id="rId1"/>
    <sheet name="Reason Graph" sheetId="8" r:id="rId2"/>
    <sheet name="Searches by Hour" sheetId="3" r:id="rId3"/>
    <sheet name="Network Analysis" sheetId="10" r:id="rId4"/>
    <sheet name="Search Audit" sheetId="4" r:id="rId5"/>
    <sheet name="flock_run_log" sheetId="11" r:id="rId6"/>
  </sheets>
  <definedNames>
    <definedName name="_xlnm._FilterDatabase" localSheetId="0" hidden="1">'Late Night Analysis'!$A$1:$D$25</definedName>
    <definedName name="_xlnm._FilterDatabase" localSheetId="2" hidden="1">'Searches by Hour'!$A$1:$B$25</definedName>
    <definedName name="ExternalData_1" localSheetId="5" hidden="1">flock_run_log!$A$1:$J$84</definedName>
    <definedName name="ExternalData_1" localSheetId="4" hidden="1">'Search Audit'!$A$1:$I$1091</definedName>
    <definedName name="NativeTimeline_Date__Pacific">#N/A</definedName>
  </definedNames>
  <calcPr calcId="191029" iterateDelta="1E-4"/>
  <pivotCaches>
    <pivotCache cacheId="21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D2" i="9" s="1"/>
  <c r="B10" i="9"/>
  <c r="B12" i="9"/>
  <c r="D12" i="9" s="1"/>
  <c r="B14" i="9"/>
  <c r="D14" i="9" s="1"/>
  <c r="B16" i="9"/>
  <c r="D16" i="9" s="1"/>
  <c r="B18" i="9"/>
  <c r="B20" i="9"/>
  <c r="B22" i="9"/>
  <c r="D22" i="9" s="1"/>
  <c r="B24" i="9"/>
  <c r="D24" i="9" s="1"/>
  <c r="B4" i="9"/>
  <c r="D4" i="9" s="1"/>
  <c r="B6" i="9"/>
  <c r="B9" i="9"/>
  <c r="D9" i="9" s="1"/>
  <c r="B3" i="9"/>
  <c r="B11" i="9"/>
  <c r="D11" i="9" s="1"/>
  <c r="B13" i="9"/>
  <c r="D13" i="9" s="1"/>
  <c r="B15" i="9"/>
  <c r="D15" i="9" s="1"/>
  <c r="B17" i="9"/>
  <c r="D17" i="9" s="1"/>
  <c r="B19" i="9"/>
  <c r="B21" i="9"/>
  <c r="B23" i="9"/>
  <c r="B25" i="9"/>
  <c r="D25" i="9" s="1"/>
  <c r="B5" i="9"/>
  <c r="B7" i="9"/>
  <c r="D7" i="9" s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18" i="9" l="1"/>
  <c r="D6" i="9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B28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E35" i="10" l="1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sharedStrings.xml><?xml version="1.0" encoding="utf-8"?>
<sst xmlns="http://schemas.openxmlformats.org/spreadsheetml/2006/main" count="4028" uniqueCount="1363">
  <si>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</si>
  <si>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</si>
  <si>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</si>
  <si>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</si>
  <si>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</si>
  <si>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</si>
  <si>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</si>
  <si>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</si>
  <si>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</si>
  <si>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</si>
  <si>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</si>
  <si>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</si>
  <si>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</si>
  <si>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</si>
  <si>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</si>
  <si>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</si>
  <si>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</si>
  <si>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</si>
  <si>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</si>
  <si>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</si>
  <si>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</si>
  <si>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</si>
  <si>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</si>
  <si>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</si>
  <si>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</si>
  <si>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</si>
  <si>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</si>
  <si>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</si>
  <si>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</si>
  <si>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</si>
  <si>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</si>
  <si>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</si>
  <si>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</si>
  <si>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</si>
  <si>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</si>
  <si>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</si>
  <si>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</si>
  <si>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</si>
  <si>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</si>
  <si>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</si>
  <si>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</si>
  <si>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</si>
  <si>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</si>
  <si>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</si>
  <si>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</si>
  <si>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</si>
  <si>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</si>
  <si>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</si>
  <si>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</si>
  <si>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</si>
  <si>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</si>
  <si>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</si>
  <si>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</si>
  <si>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</si>
  <si>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</si>
  <si>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</si>
  <si>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</si>
  <si>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</si>
  <si>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</si>
  <si>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</si>
  <si>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</si>
  <si>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</si>
  <si>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</si>
  <si>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</si>
  <si>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</si>
  <si>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</si>
  <si>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</si>
  <si>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</si>
  <si>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</si>
  <si>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</si>
  <si>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</si>
  <si>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</si>
  <si>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</si>
  <si>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</si>
  <si>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</si>
  <si>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</si>
  <si>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</si>
  <si>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</si>
  <si>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</si>
  <si>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</si>
  <si>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</si>
  <si>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</si>
  <si>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</si>
  <si>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</si>
  <si>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</si>
  <si>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</si>
  <si>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</si>
  <si>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</si>
  <si>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</si>
  <si>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</si>
  <si>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</si>
  <si>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</si>
  <si>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</si>
  <si>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</si>
  <si>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</si>
  <si>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</si>
  <si>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</si>
  <si>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</si>
  <si>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</si>
  <si>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</si>
  <si>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</si>
  <si>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</si>
  <si>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</si>
  <si>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</si>
  <si>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</si>
  <si>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</si>
  <si>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</si>
  <si>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</si>
  <si>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</si>
  <si>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</si>
  <si>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</si>
  <si>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</si>
  <si>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</si>
  <si>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</si>
  <si>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</si>
  <si>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</si>
  <si>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</si>
  <si>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</si>
  <si>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</si>
  <si>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</si>
  <si>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</si>
  <si>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</si>
  <si>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</si>
  <si>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</si>
  <si>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</si>
  <si>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</si>
  <si>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</si>
  <si>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</si>
  <si>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</si>
  <si>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</si>
  <si>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</si>
  <si>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</si>
  <si>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</si>
  <si>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</si>
  <si>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</si>
  <si>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</si>
  <si>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</si>
  <si>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</si>
  <si>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</si>
  <si>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</si>
  <si>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</si>
  <si>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</si>
  <si>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</si>
  <si>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</si>
  <si>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</si>
  <si>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</si>
  <si>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</si>
  <si>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</si>
  <si>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</si>
  <si>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</si>
  <si>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</si>
  <si>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</si>
  <si>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</si>
  <si>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</si>
  <si>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</si>
  <si>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</si>
  <si>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</si>
  <si>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</si>
  <si>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</si>
  <si>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</si>
  <si>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</si>
  <si>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</si>
  <si>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</si>
  <si>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</si>
  <si>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</si>
  <si>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</si>
  <si>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</si>
  <si>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</si>
  <si>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</si>
  <si>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</si>
  <si>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</si>
  <si>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</si>
  <si>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</si>
  <si>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</si>
  <si>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</si>
  <si>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</si>
  <si>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</si>
  <si>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</si>
  <si>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</si>
  <si>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</si>
  <si>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</si>
  <si>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</si>
  <si>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</si>
  <si>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</si>
  <si>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</si>
  <si>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</si>
  <si>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</si>
  <si>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</si>
  <si>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</si>
  <si>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</si>
  <si>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</si>
  <si>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</si>
  <si>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</si>
  <si>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</si>
  <si>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</si>
  <si>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</si>
  <si>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</si>
  <si>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</si>
  <si>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</si>
  <si>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</si>
  <si>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</si>
  <si>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</si>
  <si>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</si>
  <si>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</si>
  <si>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</si>
  <si>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</si>
  <si>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</si>
  <si>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</si>
  <si>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</si>
  <si>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</si>
  <si>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</si>
  <si>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</si>
  <si>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</si>
  <si>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</si>
  <si>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</si>
  <si>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</si>
  <si>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</si>
  <si>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</si>
  <si>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</si>
  <si>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</si>
  <si>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</si>
  <si>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</si>
  <si>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</si>
  <si>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</si>
  <si>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</si>
  <si>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</si>
  <si>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</si>
  <si>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</si>
  <si>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</si>
  <si>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</si>
  <si>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</si>
  <si>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</si>
  <si>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</si>
  <si>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</si>
  <si>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</si>
  <si>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</si>
  <si>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</si>
  <si>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</si>
  <si>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</si>
  <si>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</si>
  <si>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</si>
  <si>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</si>
  <si>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</si>
  <si>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</si>
  <si>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</si>
  <si>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</si>
  <si>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</si>
  <si>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</si>
  <si>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</si>
  <si>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</si>
  <si>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</si>
  <si>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</si>
  <si>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</si>
  <si>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</si>
  <si>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</si>
  <si>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</si>
  <si>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</si>
  <si>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</si>
  <si>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</si>
  <si>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</si>
  <si>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</si>
  <si>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</si>
  <si>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</si>
  <si>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</si>
  <si>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</si>
  <si>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</si>
  <si>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</si>
  <si>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</si>
  <si>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</si>
  <si>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</si>
  <si>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</si>
  <si>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</si>
  <si>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</si>
  <si>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</si>
  <si>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</si>
  <si>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</si>
  <si>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</si>
  <si>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</si>
  <si>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</si>
  <si>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</si>
  <si>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</si>
  <si>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</si>
  <si>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</si>
  <si>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</si>
  <si>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</si>
  <si>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</si>
  <si>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</si>
  <si>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</si>
  <si>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</si>
  <si>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</si>
  <si>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</si>
  <si>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</si>
  <si>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</si>
  <si>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</si>
  <si>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</si>
  <si>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</si>
  <si>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</si>
  <si>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</si>
  <si>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</si>
  <si>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</si>
  <si>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</si>
  <si>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</si>
  <si>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</si>
  <si>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</si>
  <si>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</si>
  <si>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</si>
  <si>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</si>
  <si>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</si>
  <si>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</si>
  <si>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</si>
  <si>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</si>
  <si>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</si>
  <si>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</si>
  <si>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</si>
  <si>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</si>
  <si>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</si>
  <si>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</si>
  <si>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</si>
  <si>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</si>
  <si>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</si>
  <si>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</si>
  <si>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</si>
  <si>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</si>
  <si>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</si>
  <si>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</si>
  <si>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</si>
  <si>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</si>
  <si>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</si>
  <si>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</si>
  <si>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</si>
  <si>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</si>
  <si>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</si>
  <si>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</si>
  <si>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</si>
  <si>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</si>
  <si>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</si>
  <si>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</si>
  <si>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</si>
  <si>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</si>
  <si>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</si>
  <si>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</si>
  <si>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</si>
  <si>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</si>
  <si>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</si>
  <si>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</si>
  <si>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</si>
  <si>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</si>
  <si>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</si>
  <si>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</si>
  <si>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</si>
  <si>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</si>
  <si>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</si>
  <si>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</si>
  <si>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</si>
  <si>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</si>
  <si>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</si>
  <si>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</si>
  <si>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</si>
  <si>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</si>
  <si>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</si>
  <si>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</si>
  <si>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</si>
  <si>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</si>
  <si>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</si>
  <si>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</si>
  <si>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</si>
  <si>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</si>
  <si>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</si>
  <si>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</si>
  <si>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</si>
  <si>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</si>
  <si>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</si>
  <si>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</si>
  <si>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</si>
  <si>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</si>
  <si>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</si>
  <si>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</si>
  <si>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</si>
  <si>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</si>
  <si>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</si>
  <si>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</si>
  <si>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</si>
  <si>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</si>
  <si>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</si>
  <si>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</si>
  <si>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</si>
  <si>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</si>
  <si>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</si>
  <si>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</si>
  <si>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</si>
  <si>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</si>
  <si>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</si>
  <si>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</si>
  <si>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</si>
  <si>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</si>
  <si>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</si>
  <si>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</si>
  <si>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</si>
  <si>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</si>
  <si>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</si>
  <si>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</si>
  <si>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</si>
  <si>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</si>
  <si>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</si>
  <si>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</si>
  <si>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</si>
  <si>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</si>
  <si>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</si>
  <si>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</si>
  <si>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</si>
  <si>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</si>
  <si>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</si>
  <si>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</si>
  <si>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</si>
  <si>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</si>
  <si>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</si>
  <si>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</si>
  <si>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</si>
  <si>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</si>
  <si>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</si>
  <si>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</si>
  <si>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</si>
  <si>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</si>
  <si>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</si>
  <si>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</si>
  <si>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</si>
  <si>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</si>
  <si>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</si>
  <si>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</si>
  <si>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</si>
  <si>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</si>
  <si>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</si>
  <si>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</si>
  <si>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</si>
  <si>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</si>
  <si>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</si>
  <si>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</si>
  <si>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</si>
  <si>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</si>
  <si>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</si>
  <si>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</si>
  <si>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</si>
  <si>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</si>
  <si>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</si>
  <si>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</si>
  <si>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</si>
  <si>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</si>
  <si>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</si>
  <si>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</si>
  <si>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</si>
  <si>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</si>
  <si>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</si>
  <si>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</si>
  <si>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</si>
  <si>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</si>
  <si>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</si>
  <si>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</si>
  <si>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</si>
  <si>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</si>
  <si>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</si>
  <si>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</si>
  <si>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</si>
  <si>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</si>
  <si>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</si>
  <si>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</si>
  <si>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</si>
  <si>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</si>
  <si>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</si>
  <si>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</si>
  <si>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</si>
  <si>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</si>
  <si>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</si>
  <si>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</si>
  <si>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</si>
  <si>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</si>
  <si>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</si>
  <si>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</si>
  <si>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</si>
  <si>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</si>
  <si>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</si>
  <si>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</si>
  <si>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</si>
  <si>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</si>
  <si>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</si>
  <si>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</si>
  <si>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</si>
  <si>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</si>
  <si>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</si>
  <si>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</si>
  <si>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</si>
  <si>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</si>
  <si>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</si>
  <si>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</si>
  <si>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</si>
  <si>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</si>
  <si>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</si>
  <si>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</si>
  <si>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</si>
  <si>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</si>
  <si>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</si>
  <si>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</si>
  <si>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</si>
  <si>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</si>
  <si>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</si>
  <si>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</si>
  <si>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</si>
  <si>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</si>
  <si>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</si>
  <si>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</si>
  <si>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</si>
  <si>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</si>
  <si>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</si>
  <si>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</si>
  <si>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</si>
  <si>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</si>
  <si>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</si>
  <si>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</si>
  <si>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</si>
  <si>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</si>
  <si>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</si>
  <si>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</si>
  <si>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</si>
  <si>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</si>
  <si>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</si>
  <si>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</si>
  <si>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</si>
  <si>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</si>
  <si>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</si>
  <si>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</si>
  <si>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</si>
  <si>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</si>
  <si>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</si>
  <si>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</si>
  <si>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</si>
  <si>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</si>
  <si>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</si>
  <si>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</si>
  <si>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</si>
  <si>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</si>
  <si>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</si>
  <si>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</si>
  <si>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</si>
  <si>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</si>
  <si>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</si>
  <si>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</si>
  <si>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</si>
  <si>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</si>
  <si>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</si>
  <si>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</si>
  <si>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</si>
  <si>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</si>
  <si>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</si>
  <si>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</si>
  <si>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</si>
  <si>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</si>
  <si>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</si>
  <si>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</si>
  <si>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</si>
  <si>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</si>
  <si>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</si>
  <si>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</si>
  <si>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</si>
  <si>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</si>
  <si>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</si>
  <si>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</si>
  <si>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</si>
  <si>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</si>
  <si>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</si>
  <si>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</si>
  <si>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</si>
  <si>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</si>
  <si>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</si>
  <si>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</si>
  <si>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</si>
  <si>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</si>
  <si>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</si>
  <si>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</si>
  <si>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</si>
  <si>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</si>
  <si>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</si>
  <si>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</si>
  <si>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</si>
  <si>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</si>
  <si>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</si>
  <si>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</si>
  <si>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</si>
  <si>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</si>
  <si>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</si>
  <si>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</si>
  <si>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</si>
  <si>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</si>
  <si>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</si>
  <si>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</si>
  <si>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</si>
  <si>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</si>
  <si>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</si>
  <si>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</si>
  <si>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</si>
  <si>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</si>
  <si>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</si>
  <si>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</si>
  <si>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</si>
  <si>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</si>
  <si>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</si>
  <si>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</si>
  <si>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</si>
  <si>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</si>
  <si>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</si>
  <si>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</si>
  <si>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</si>
  <si>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</si>
  <si>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</si>
  <si>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</si>
  <si>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</si>
  <si>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</si>
  <si>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</si>
  <si>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</si>
  <si>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</si>
  <si>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</si>
  <si>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</si>
  <si>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</si>
  <si>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</si>
  <si>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</si>
  <si>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</si>
  <si>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</si>
  <si>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</si>
  <si>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</si>
  <si>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</si>
  <si>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</si>
  <si>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</si>
  <si>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</si>
  <si>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</si>
  <si>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</si>
  <si>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</si>
  <si>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</si>
  <si>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</si>
  <si>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</si>
  <si>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</si>
  <si>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</si>
  <si>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</si>
  <si>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</si>
  <si>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</si>
  <si>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</si>
  <si>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</si>
  <si>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</si>
  <si>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</si>
  <si>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</si>
  <si>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</si>
  <si>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</si>
  <si>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</si>
  <si>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</si>
  <si>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</si>
  <si>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</si>
  <si>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</si>
  <si>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</si>
  <si>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</si>
  <si>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</si>
  <si>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</si>
  <si>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</si>
  <si>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</si>
  <si>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</si>
  <si>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</si>
  <si>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</si>
  <si>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</si>
  <si>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</si>
  <si>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</si>
  <si>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</si>
  <si>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</si>
  <si>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</si>
  <si>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</si>
  <si>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</si>
  <si>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</si>
  <si>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</si>
  <si>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</si>
  <si>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</si>
  <si>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</si>
  <si>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</si>
  <si>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</si>
  <si>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</si>
  <si>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</si>
  <si>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</si>
  <si>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</si>
  <si>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</si>
  <si>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</si>
  <si>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</si>
  <si>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</si>
  <si>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</si>
  <si>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</si>
  <si>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</si>
  <si>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</si>
  <si>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</si>
  <si>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</si>
  <si>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</si>
  <si>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</si>
  <si>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</si>
  <si>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</si>
  <si>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</si>
  <si>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</si>
  <si>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</si>
  <si>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</si>
  <si>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</si>
  <si>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</si>
  <si>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</si>
  <si>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</si>
  <si>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</si>
  <si>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</si>
  <si>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</si>
  <si>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</si>
  <si>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</si>
  <si>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</si>
  <si>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</si>
  <si>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</si>
  <si>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</si>
  <si>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</si>
  <si>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</si>
  <si>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</si>
  <si>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</si>
  <si>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</si>
  <si>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</si>
  <si>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</si>
  <si>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</si>
  <si>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</si>
  <si>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</si>
  <si>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</si>
  <si>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</si>
  <si>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</si>
  <si>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</si>
  <si>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</si>
  <si>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</si>
  <si>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</si>
  <si>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</si>
  <si>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</si>
  <si>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</si>
  <si>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</si>
  <si>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</si>
  <si>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</si>
  <si>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</si>
  <si>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</si>
  <si>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</si>
  <si>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</si>
  <si>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</si>
  <si>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</si>
  <si>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</si>
  <si>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</si>
  <si>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</si>
  <si>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</si>
  <si>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</si>
  <si>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</si>
  <si>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</si>
  <si>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</si>
  <si>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</si>
  <si>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</si>
  <si>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</si>
  <si>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</si>
  <si>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</si>
  <si>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</si>
  <si>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</si>
  <si>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</si>
  <si>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</si>
  <si>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</si>
  <si>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</si>
  <si>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</si>
  <si>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</si>
  <si>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</si>
  <si>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</si>
  <si>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</si>
  <si>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</si>
  <si>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</si>
  <si>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</si>
  <si>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</si>
  <si>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</si>
  <si>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</si>
  <si>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</si>
  <si>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</si>
  <si>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</si>
  <si>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</si>
  <si>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</si>
  <si>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</si>
  <si>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</si>
  <si>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</si>
  <si>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</si>
  <si>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</si>
  <si>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</si>
  <si>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</si>
  <si>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</si>
  <si>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</si>
  <si>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</si>
  <si>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</si>
  <si>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</si>
  <si>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</si>
  <si>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</si>
  <si>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</si>
  <si>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</si>
  <si>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</si>
  <si>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</si>
  <si>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</si>
  <si>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</si>
  <si>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</si>
  <si>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</si>
  <si>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</si>
  <si>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</si>
  <si>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</si>
  <si>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</si>
  <si>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</si>
  <si>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</si>
  <si>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</si>
  <si>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</si>
  <si>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</si>
  <si>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</si>
  <si>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</si>
  <si>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</si>
  <si>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</si>
  <si>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</si>
  <si>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</si>
  <si>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</si>
  <si>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</si>
  <si>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</si>
  <si>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</si>
  <si>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</si>
  <si>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</si>
  <si>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</si>
  <si>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</si>
  <si>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</si>
  <si>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</si>
  <si>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</si>
  <si>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</si>
  <si>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</si>
  <si>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</si>
  <si>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</si>
  <si>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</si>
  <si>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</si>
  <si>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</si>
  <si>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</si>
  <si>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</si>
  <si>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</si>
  <si>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</si>
  <si>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</si>
  <si>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</si>
  <si>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</si>
  <si>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</si>
  <si>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</si>
  <si>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</si>
  <si>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</si>
  <si>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</si>
  <si>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</si>
  <si>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</si>
  <si>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</si>
  <si>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</si>
  <si>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</si>
  <si>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</si>
  <si>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</si>
  <si>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</si>
  <si>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</si>
  <si>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</si>
  <si>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</si>
  <si>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</si>
  <si>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</si>
  <si>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</si>
  <si>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</si>
  <si>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</si>
  <si>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</si>
  <si>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</si>
  <si>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</si>
  <si>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</si>
  <si>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</si>
  <si>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</si>
  <si>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</si>
  <si>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</si>
  <si>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</si>
  <si>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</si>
  <si>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</si>
  <si>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</si>
  <si>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</si>
  <si>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</si>
  <si>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</si>
  <si>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</si>
  <si>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</si>
  <si>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</si>
  <si>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</si>
  <si>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</si>
  <si>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</si>
  <si>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</si>
  <si>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</si>
  <si>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</si>
  <si>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</si>
  <si>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</si>
  <si>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</si>
  <si>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</si>
  <si>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</si>
  <si>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</si>
  <si>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</si>
  <si>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</si>
  <si>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</si>
  <si>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</si>
  <si>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</si>
  <si>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</si>
  <si>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</si>
  <si>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</si>
  <si>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</si>
  <si>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</si>
  <si>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</si>
  <si>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</si>
  <si>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</si>
  <si>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</si>
  <si>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</si>
  <si>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</si>
  <si>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</si>
  <si>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</si>
  <si>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</si>
  <si>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</si>
  <si>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</si>
  <si>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</si>
  <si>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</si>
  <si>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</si>
  <si>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</si>
  <si>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</si>
  <si>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</si>
  <si>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</si>
  <si>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</si>
  <si>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</si>
  <si>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</si>
  <si>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</si>
  <si>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</si>
  <si>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</si>
  <si>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</si>
  <si>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</si>
  <si>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</si>
  <si>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</si>
  <si>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</si>
  <si>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</si>
  <si>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</si>
  <si>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</si>
  <si>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</si>
  <si>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</si>
  <si>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</si>
  <si>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</si>
  <si>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</si>
  <si>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</si>
  <si>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</si>
  <si>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</si>
  <si>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</si>
  <si>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</si>
  <si>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</si>
  <si>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</si>
  <si>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</si>
  <si>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</si>
  <si>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</si>
  <si>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</si>
  <si>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</si>
  <si>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</si>
  <si>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</si>
  <si>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</si>
  <si>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</si>
  <si>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</si>
  <si>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</si>
  <si>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</si>
  <si>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</si>
  <si>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</si>
  <si>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</si>
  <si>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</si>
  <si>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</si>
  <si>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</si>
  <si>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</si>
  <si>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</si>
  <si>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</si>
  <si>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</si>
  <si>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</si>
  <si>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</si>
  <si>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</si>
  <si>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</si>
  <si>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</si>
  <si>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</si>
  <si>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</si>
  <si>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</si>
  <si>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</si>
  <si>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</si>
  <si>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</si>
  <si>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</si>
  <si>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</si>
  <si>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</si>
  <si>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</si>
  <si>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</si>
  <si>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</si>
  <si>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</si>
  <si>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</si>
  <si>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</si>
  <si>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</si>
  <si>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</si>
  <si>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</si>
  <si>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</si>
  <si>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</si>
  <si>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</si>
  <si>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</si>
  <si>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</si>
  <si>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</si>
  <si>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</si>
  <si>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</si>
  <si>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</si>
  <si>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</si>
  <si>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</si>
  <si>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</si>
  <si>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</si>
  <si>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</si>
  <si>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</si>
  <si>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</si>
  <si>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</si>
  <si>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</si>
  <si>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</si>
  <si>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</si>
  <si>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</si>
  <si>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</si>
  <si>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</si>
  <si>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</si>
  <si>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</si>
  <si>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</si>
  <si>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</si>
  <si>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</si>
  <si>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</si>
  <si>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</si>
  <si>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</si>
  <si>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</si>
  <si>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</si>
  <si>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</si>
  <si>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</si>
  <si>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</si>
  <si>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</si>
  <si>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</si>
  <si>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</si>
  <si>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</si>
  <si>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</si>
  <si>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</si>
  <si>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</si>
  <si>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</si>
  <si>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</si>
  <si>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</si>
  <si>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</si>
  <si>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</si>
  <si>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</si>
  <si>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</si>
  <si>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</si>
  <si>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</si>
  <si>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</si>
  <si>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</si>
  <si>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</si>
  <si>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</si>
  <si>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</si>
  <si>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</si>
  <si>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</si>
  <si>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</si>
  <si>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</si>
  <si>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</si>
  <si>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</si>
  <si>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</si>
  <si>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</si>
  <si>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</si>
  <si>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</si>
  <si>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</si>
  <si>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</si>
  <si>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</si>
  <si>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</si>
  <si>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</si>
  <si>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</si>
  <si>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</si>
  <si>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</si>
  <si>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</si>
  <si>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</si>
  <si>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</si>
  <si>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</si>
  <si>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</si>
  <si>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</si>
  <si>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</si>
  <si>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</si>
  <si>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</si>
  <si>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</si>
  <si>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</si>
  <si>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</si>
  <si>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</si>
  <si>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</si>
  <si>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</si>
  <si>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</si>
  <si>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</si>
  <si>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</si>
  <si>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</si>
  <si>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</si>
  <si>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</si>
  <si>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</si>
  <si>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</si>
  <si>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</si>
  <si>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</si>
  <si>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</si>
  <si>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</si>
  <si>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</si>
  <si>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</si>
  <si>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</si>
  <si>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</si>
  <si>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</si>
  <si>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</si>
  <si>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</si>
  <si>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</si>
  <si>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</si>
  <si>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</si>
  <si>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</si>
  <si>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</si>
  <si>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</si>
  <si>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</si>
  <si>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</si>
  <si>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</si>
  <si>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</si>
  <si>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</si>
  <si>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</si>
  <si>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</si>
  <si>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</si>
  <si>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</si>
  <si>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</si>
  <si>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</si>
  <si>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</si>
  <si>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</si>
  <si>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</si>
  <si>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</si>
  <si>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</si>
  <si>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</si>
  <si>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</si>
  <si>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</si>
  <si>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</si>
  <si>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</si>
  <si>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</si>
  <si>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</si>
  <si>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</si>
  <si>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</si>
  <si>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</si>
  <si>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</si>
  <si>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</si>
  <si>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</si>
  <si>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</si>
  <si>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</si>
  <si>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</si>
  <si>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</si>
  <si>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</si>
  <si>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</si>
  <si>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</si>
  <si>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</si>
  <si>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</si>
  <si>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</si>
  <si>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</si>
  <si>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</si>
  <si>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</si>
  <si>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</si>
  <si>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</si>
  <si>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</si>
  <si>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</si>
  <si>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</si>
  <si>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</si>
  <si>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</si>
  <si>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</si>
  <si>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</si>
  <si>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</si>
  <si>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</si>
  <si>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</si>
  <si>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</si>
  <si>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</si>
  <si>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</si>
  <si>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</si>
  <si>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</si>
  <si>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</si>
  <si>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</si>
  <si>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</si>
  <si>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</si>
  <si>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</si>
  <si>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</si>
  <si>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</si>
  <si>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</si>
  <si>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</si>
  <si>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</si>
  <si>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</si>
  <si>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</si>
  <si>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</si>
  <si>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</si>
  <si>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</si>
  <si>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</si>
  <si>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</si>
  <si>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</si>
  <si>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</si>
  <si>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</si>
  <si>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</si>
  <si>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</si>
  <si>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</si>
  <si>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</si>
  <si>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</si>
  <si>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</si>
  <si>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</si>
  <si>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</si>
  <si>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2026-03-09 03:33  [Drug Investigation]</t>
  </si>
  <si>
    <t>2026-03-10 23:52  [487 pc suspect]</t>
  </si>
  <si>
    <t>2026-03-14 02:51  [wanted person]</t>
  </si>
  <si>
    <t>2026-03-19 17:30  [no reason logged]</t>
  </si>
  <si>
    <t/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</si>
  <si>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</si>
  <si>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</si>
  <si>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</si>
  <si>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</si>
  <si>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</si>
  <si>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</si>
  <si>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</si>
  <si>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</si>
  <si>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</si>
  <si>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</si>
  <si>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</si>
  <si>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</si>
  <si>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</si>
  <si>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</si>
  <si>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</si>
  <si>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</si>
  <si>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</si>
  <si>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</si>
  <si>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</si>
  <si>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</si>
  <si>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</si>
  <si>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</si>
  <si>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</si>
  <si>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</si>
  <si>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</si>
  <si>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</si>
  <si>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</si>
  <si>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</si>
  <si>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</si>
  <si>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</si>
  <si>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</si>
  <si>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</si>
  <si>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</si>
  <si>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</si>
  <si>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</si>
  <si>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</si>
  <si>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</si>
  <si>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</si>
  <si>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</si>
  <si>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</si>
  <si>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</si>
  <si>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</si>
  <si>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</si>
  <si>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</si>
  <si>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</si>
  <si>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</si>
  <si>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</si>
  <si>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</si>
  <si>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</si>
  <si>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</si>
  <si>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</si>
  <si>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</si>
  <si>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</si>
  <si>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</si>
  <si>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</si>
  <si>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</si>
  <si>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</si>
  <si>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</si>
  <si>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</si>
  <si>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</si>
  <si>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</si>
  <si>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</si>
  <si>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</si>
  <si>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</si>
  <si>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</si>
  <si>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</si>
  <si>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</si>
  <si>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</si>
  <si>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</si>
  <si>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</si>
  <si>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</si>
  <si>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</si>
  <si>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</si>
  <si>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</si>
  <si>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</si>
  <si>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</si>
  <si>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</si>
  <si>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</si>
  <si>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</si>
  <si>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</si>
  <si>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</si>
  <si>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</si>
  <si>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</si>
  <si>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</si>
  <si>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</si>
  <si>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</si>
  <si>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</si>
  <si>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</si>
  <si>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</si>
  <si>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</si>
  <si>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</si>
  <si>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</si>
  <si>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</si>
  <si>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</si>
  <si>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</si>
  <si>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</si>
  <si>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</si>
  <si>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</si>
  <si>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</si>
  <si>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</si>
  <si>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</si>
  <si>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</si>
  <si>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</si>
  <si>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</si>
  <si>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</si>
  <si>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</si>
  <si>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</si>
  <si>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</si>
  <si>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</si>
  <si>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</si>
  <si>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</si>
  <si>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</si>
  <si>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</si>
  <si>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</si>
  <si>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</si>
  <si>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</si>
  <si>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</si>
  <si>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</si>
  <si>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</si>
  <si>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</si>
  <si>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</si>
  <si>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</si>
  <si>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</si>
  <si>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</si>
  <si>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</si>
  <si>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</si>
  <si>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</si>
  <si>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</si>
  <si>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</si>
  <si>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</si>
  <si>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</si>
  <si>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</si>
  <si>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</si>
  <si>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</si>
  <si>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</si>
  <si>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</si>
  <si>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</si>
  <si>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</si>
  <si>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</si>
  <si>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</si>
  <si>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</si>
  <si>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</si>
  <si>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</si>
  <si>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</si>
  <si>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</si>
  <si>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</si>
  <si>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</si>
  <si>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</si>
  <si>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</si>
  <si>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</si>
  <si>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</si>
  <si>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</si>
  <si>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</si>
  <si>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</si>
  <si>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</si>
  <si>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</si>
  <si>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</si>
  <si>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</si>
  <si>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</si>
  <si>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</si>
  <si>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</si>
  <si>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</si>
  <si>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</si>
  <si>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</si>
  <si>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</si>
  <si>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2026-03-06 17:31  [suspect ID]</t>
  </si>
  <si>
    <t>2026-03-19 17:23  [no reason logged]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</si>
</sst>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0" fillId="0" borderId="0" xfId="0" applyNumberFormat="1"/>
  </cellXfs>
  <cellStyles count="1">
    <cellStyle name="Normal" xfId="0" builtinId="0"/>
  </cellStyles>
  <dxfs count="9"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  <dxf>
      <numFmt numFmtId="19" formatCode="m/d/yy"/>
    </dxf>
    <dxf>
      <numFmt numFmtId="19" formatCode="m/d/yy"/>
    </dxf>
    <dxf>
      <numFmt numFmtId="27" formatCode="m/d/yy\ h:m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32</c:v>
                </c:pt>
                <c:pt idx="1">
                  <c:v>19</c:v>
                </c:pt>
                <c:pt idx="2">
                  <c:v>30</c:v>
                </c:pt>
                <c:pt idx="3">
                  <c:v>4</c:v>
                </c:pt>
                <c:pt idx="4">
                  <c:v>20</c:v>
                </c:pt>
                <c:pt idx="5">
                  <c:v>4</c:v>
                </c:pt>
                <c:pt idx="6">
                  <c:v>18</c:v>
                </c:pt>
                <c:pt idx="7">
                  <c:v>21</c:v>
                </c:pt>
                <c:pt idx="8">
                  <c:v>37</c:v>
                </c:pt>
                <c:pt idx="9">
                  <c:v>15</c:v>
                </c:pt>
                <c:pt idx="10">
                  <c:v>42</c:v>
                </c:pt>
                <c:pt idx="11">
                  <c:v>18</c:v>
                </c:pt>
                <c:pt idx="12">
                  <c:v>36</c:v>
                </c:pt>
                <c:pt idx="13">
                  <c:v>9</c:v>
                </c:pt>
                <c:pt idx="14">
                  <c:v>32</c:v>
                </c:pt>
                <c:pt idx="15">
                  <c:v>10</c:v>
                </c:pt>
                <c:pt idx="16">
                  <c:v>30</c:v>
                </c:pt>
                <c:pt idx="17">
                  <c:v>9</c:v>
                </c:pt>
                <c:pt idx="18">
                  <c:v>36</c:v>
                </c:pt>
                <c:pt idx="19">
                  <c:v>7</c:v>
                </c:pt>
                <c:pt idx="20">
                  <c:v>33</c:v>
                </c:pt>
                <c:pt idx="21">
                  <c:v>3</c:v>
                </c:pt>
                <c:pt idx="22">
                  <c:v>26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38</c:v>
                </c:pt>
                <c:pt idx="1">
                  <c:v>17</c:v>
                </c:pt>
                <c:pt idx="2">
                  <c:v>33</c:v>
                </c:pt>
                <c:pt idx="3">
                  <c:v>6</c:v>
                </c:pt>
                <c:pt idx="4">
                  <c:v>13</c:v>
                </c:pt>
                <c:pt idx="5">
                  <c:v>20</c:v>
                </c:pt>
                <c:pt idx="6">
                  <c:v>30</c:v>
                </c:pt>
                <c:pt idx="7">
                  <c:v>25</c:v>
                </c:pt>
                <c:pt idx="8">
                  <c:v>41</c:v>
                </c:pt>
                <c:pt idx="9">
                  <c:v>19</c:v>
                </c:pt>
                <c:pt idx="10">
                  <c:v>52</c:v>
                </c:pt>
                <c:pt idx="11">
                  <c:v>21</c:v>
                </c:pt>
                <c:pt idx="12">
                  <c:v>42</c:v>
                </c:pt>
                <c:pt idx="13">
                  <c:v>13</c:v>
                </c:pt>
                <c:pt idx="14">
                  <c:v>45</c:v>
                </c:pt>
                <c:pt idx="15">
                  <c:v>8</c:v>
                </c:pt>
                <c:pt idx="16">
                  <c:v>40</c:v>
                </c:pt>
                <c:pt idx="17">
                  <c:v>6</c:v>
                </c:pt>
                <c:pt idx="18">
                  <c:v>39</c:v>
                </c:pt>
                <c:pt idx="19">
                  <c:v>8</c:v>
                </c:pt>
                <c:pt idx="20">
                  <c:v>36</c:v>
                </c:pt>
                <c:pt idx="21">
                  <c:v>8</c:v>
                </c:pt>
                <c:pt idx="22">
                  <c:v>29</c:v>
                </c:pt>
                <c:pt idx="2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D70-4340-9227-5A00FAB04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D70-4340-9227-5A00FAB048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D70-4340-9227-5A00FAB048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D70-4340-9227-5A00FAB048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D70-4340-9227-5A00FAB0483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D70-4340-9227-5A00FAB0483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D70-4340-9227-5A00FAB0483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5D70-4340-9227-5A00FAB0483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5D70-4340-9227-5A00FAB0483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D70-4340-9227-5A00FAB0483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D70-4340-9227-5A00FAB0483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D70-4340-9227-5A00FAB0483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D70-4340-9227-5A00FAB0483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D70-4340-9227-5A00FAB0483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5D70-4340-9227-5A00FAB0483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5D70-4340-9227-5A00FAB0483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5D70-4340-9227-5A00FAB0483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5D70-4340-9227-5A00FAB0483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5D70-4340-9227-5A00FAB0483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5D70-4340-9227-5A00FAB04837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5D70-4340-9227-5A00FAB04837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5D70-4340-9227-5A00FAB0483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5D70-4340-9227-5A00FAB0483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5D70-4340-9227-5A00FAB0483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5D70-4340-9227-5A00FAB0483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5D70-4340-9227-5A00FAB0483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5D70-4340-9227-5A00FAB04837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5D70-4340-9227-5A00FAB04837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5D70-4340-9227-5A00FAB04837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5D70-4340-9227-5A00FAB04837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5D70-4340-9227-5A00FAB04837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5D70-4340-9227-5A00FAB04837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5D70-4340-9227-5A00FAB04837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5D70-4340-9227-5A00FAB04837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5D70-4340-9227-5A00FAB04837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7-5D70-4340-9227-5A00FAB04837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9-5D70-4340-9227-5A00FAB04837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B-5D70-4340-9227-5A00FAB04837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D-5D70-4340-9227-5A00FAB04837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F-5D70-4340-9227-5A00FAB04837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1-5D70-4340-9227-5A00FAB04837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3-5D70-4340-9227-5A00FAB04837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5-5D70-4340-9227-5A00FAB04837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7-5D70-4340-9227-5A00FAB04837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9-5D70-4340-9227-5A00FAB04837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B-5D70-4340-9227-5A00FAB04837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D-5D70-4340-9227-5A00FAB04837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F-5D70-4340-9227-5A00FAB04837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1-5D70-4340-9227-5A00FAB04837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3-5D70-4340-9227-5A00FAB04837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5-5D70-4340-9227-5A00FAB04837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7-5D70-4340-9227-5A00FAB04837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9-5D70-4340-9227-5A00FAB04837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B-5D70-4340-9227-5A00FAB04837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D-5D70-4340-9227-5A00FAB04837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F-5D70-4340-9227-5A00FAB04837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1-5D70-4340-9227-5A00FAB04837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3-5D70-4340-9227-5A00FAB04837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5-5D70-4340-9227-5A00FAB04837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7-5D70-4340-9227-5A00FAB04837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9-5D70-4340-9227-5A00FAB04837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B-5D70-4340-9227-5A00FAB04837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D-5D70-4340-9227-5A00FAB04837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F-5D70-4340-9227-5A00FAB04837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1-5D70-4340-9227-5A00FAB04837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3-5D70-4340-9227-5A00FAB04837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5-5D70-4340-9227-5A00FAB04837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7-5D70-4340-9227-5A00FAB04837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9-5D70-4340-9227-5A00FAB04837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B-5D70-4340-9227-5A00FAB04837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D-5D70-4340-9227-5A00FAB04837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F-5D70-4340-9227-5A00FAB04837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1-5D70-4340-9227-5A00FAB04837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3-5D70-4340-9227-5A00FAB04837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5-5D70-4340-9227-5A00FAB04837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7-5D70-4340-9227-5A00FAB04837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9-5D70-4340-9227-5A00FAB04837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B-5D70-4340-9227-5A00FAB04837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D-5D70-4340-9227-5A00FAB04837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F-5D70-4340-9227-5A00FAB04837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1-5D70-4340-9227-5A00FAB04837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3-5D70-4340-9227-5A00FAB04837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5-5D70-4340-9227-5A00FAB04837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7-5D70-4340-9227-5A00FAB04837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9-5D70-4340-9227-5A00FAB04837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B-5D70-4340-9227-5A00FAB04837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D-5D70-4340-9227-5A00FAB04837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F-5D70-4340-9227-5A00FAB04837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1-5D70-4340-9227-5A00FAB04837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3-5D70-4340-9227-5A00FAB04837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5-5D70-4340-9227-5A00FAB04837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7-5D70-4340-9227-5A00FAB04837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9-5D70-4340-9227-5A00FAB04837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B-5D70-4340-9227-5A00FAB04837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D-5D70-4340-9227-5A00FAB04837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F-5D70-4340-9227-5A00FAB04837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1-5D70-4340-9227-5A00FAB04837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3-5D70-4340-9227-5A00FAB04837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5-5D70-4340-9227-5A00FAB04837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7-D5EC-CC4D-AB98-FE78EF15FDA2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9-D5EC-CC4D-AB98-FE78EF15FDA2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B-C618-E64D-8446-F3DBDC7D1D01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D-C618-E64D-8446-F3DBDC7D1D01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F-B3EE-8844-9E0D-5195C1AFD337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1-B3EE-8844-9E0D-5195C1AFD337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3-B3EE-8844-9E0D-5195C1AFD337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5-B3EE-8844-9E0D-5195C1AFD337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7-B3EE-8844-9E0D-5195C1AFD337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9-B3EE-8844-9E0D-5195C1AFD337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B-B3EE-8844-9E0D-5195C1AFD337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D-B3EE-8844-9E0D-5195C1AFD337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F-B3EE-8844-9E0D-5195C1AFD337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1-B3EE-8844-9E0D-5195C1AFD337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3-2B3B-7D46-A4FA-715368DFC646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5-C83C-3747-8F12-005B51F4DF75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7-C83C-3747-8F12-005B51F4DF75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9-C83C-3747-8F12-005B51F4DF75}"/>
              </c:ext>
            </c:extLst>
          </c:dPt>
          <c:cat>
            <c:strRef>
              <c:f>'Reason Graph'!$A$4:$A$121</c:f>
              <c:strCache>
                <c:ptCount val="117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</c:strCache>
            </c:strRef>
          </c:cat>
          <c:val>
            <c:numRef>
              <c:f>'Reason Graph'!$B$4:$B$121</c:f>
              <c:numCache>
                <c:formatCode>General</c:formatCode>
                <c:ptCount val="117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4</c:v>
                </c:pt>
                <c:pt idx="28">
                  <c:v>1</c:v>
                </c:pt>
                <c:pt idx="29">
                  <c:v>4</c:v>
                </c:pt>
                <c:pt idx="30">
                  <c:v>2</c:v>
                </c:pt>
                <c:pt idx="31">
                  <c:v>1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55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5</c:v>
                </c:pt>
                <c:pt idx="57">
                  <c:v>1</c:v>
                </c:pt>
                <c:pt idx="58">
                  <c:v>1</c:v>
                </c:pt>
                <c:pt idx="59">
                  <c:v>6</c:v>
                </c:pt>
                <c:pt idx="60">
                  <c:v>1</c:v>
                </c:pt>
                <c:pt idx="61">
                  <c:v>1</c:v>
                </c:pt>
                <c:pt idx="62">
                  <c:v>5</c:v>
                </c:pt>
                <c:pt idx="63">
                  <c:v>1</c:v>
                </c:pt>
                <c:pt idx="64">
                  <c:v>3</c:v>
                </c:pt>
                <c:pt idx="65">
                  <c:v>44</c:v>
                </c:pt>
                <c:pt idx="66">
                  <c:v>82</c:v>
                </c:pt>
                <c:pt idx="67">
                  <c:v>2</c:v>
                </c:pt>
                <c:pt idx="68">
                  <c:v>4</c:v>
                </c:pt>
                <c:pt idx="69">
                  <c:v>5</c:v>
                </c:pt>
                <c:pt idx="70">
                  <c:v>1</c:v>
                </c:pt>
                <c:pt idx="71">
                  <c:v>1</c:v>
                </c:pt>
                <c:pt idx="72">
                  <c:v>45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9</c:v>
                </c:pt>
                <c:pt idx="81">
                  <c:v>1</c:v>
                </c:pt>
                <c:pt idx="82">
                  <c:v>7</c:v>
                </c:pt>
                <c:pt idx="83">
                  <c:v>1</c:v>
                </c:pt>
                <c:pt idx="84">
                  <c:v>11</c:v>
                </c:pt>
                <c:pt idx="85">
                  <c:v>2</c:v>
                </c:pt>
                <c:pt idx="86">
                  <c:v>16</c:v>
                </c:pt>
                <c:pt idx="87">
                  <c:v>596</c:v>
                </c:pt>
                <c:pt idx="88">
                  <c:v>1</c:v>
                </c:pt>
                <c:pt idx="89">
                  <c:v>2</c:v>
                </c:pt>
                <c:pt idx="90">
                  <c:v>3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5</c:v>
                </c:pt>
                <c:pt idx="110">
                  <c:v>1</c:v>
                </c:pt>
                <c:pt idx="111">
                  <c:v>2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BA-CE2E-5643-A8EC-8D6C0C524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48</c:v>
                </c:pt>
                <c:pt idx="1">
                  <c:v>70</c:v>
                </c:pt>
                <c:pt idx="2">
                  <c:v>78</c:v>
                </c:pt>
                <c:pt idx="3">
                  <c:v>94</c:v>
                </c:pt>
                <c:pt idx="4">
                  <c:v>78</c:v>
                </c:pt>
                <c:pt idx="5">
                  <c:v>77</c:v>
                </c:pt>
                <c:pt idx="6">
                  <c:v>70</c:v>
                </c:pt>
                <c:pt idx="7">
                  <c:v>75</c:v>
                </c:pt>
                <c:pt idx="8">
                  <c:v>69</c:v>
                </c:pt>
                <c:pt idx="9">
                  <c:v>55</c:v>
                </c:pt>
                <c:pt idx="10">
                  <c:v>63</c:v>
                </c:pt>
                <c:pt idx="11">
                  <c:v>33</c:v>
                </c:pt>
                <c:pt idx="12">
                  <c:v>46</c:v>
                </c:pt>
                <c:pt idx="13">
                  <c:v>36</c:v>
                </c:pt>
                <c:pt idx="14">
                  <c:v>34</c:v>
                </c:pt>
                <c:pt idx="15">
                  <c:v>39</c:v>
                </c:pt>
                <c:pt idx="16">
                  <c:v>22</c:v>
                </c:pt>
                <c:pt idx="17">
                  <c:v>18</c:v>
                </c:pt>
                <c:pt idx="18">
                  <c:v>15</c:v>
                </c:pt>
                <c:pt idx="19">
                  <c:v>15</c:v>
                </c:pt>
                <c:pt idx="20">
                  <c:v>11</c:v>
                </c:pt>
                <c:pt idx="21">
                  <c:v>10</c:v>
                </c:pt>
                <c:pt idx="22">
                  <c:v>10</c:v>
                </c:pt>
                <c:pt idx="2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79</c:v>
                </c:pt>
                <c:pt idx="1">
                  <c:v>98</c:v>
                </c:pt>
                <c:pt idx="2">
                  <c:v>15</c:v>
                </c:pt>
                <c:pt idx="3">
                  <c:v>37</c:v>
                </c:pt>
                <c:pt idx="4">
                  <c:v>45</c:v>
                </c:pt>
                <c:pt idx="5">
                  <c:v>25</c:v>
                </c:pt>
                <c:pt idx="6">
                  <c:v>37</c:v>
                </c:pt>
                <c:pt idx="7">
                  <c:v>19</c:v>
                </c:pt>
                <c:pt idx="8">
                  <c:v>34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125</c:v>
                </c:pt>
                <c:pt idx="1">
                  <c:v>104</c:v>
                </c:pt>
                <c:pt idx="2">
                  <c:v>79</c:v>
                </c:pt>
                <c:pt idx="3">
                  <c:v>44</c:v>
                </c:pt>
                <c:pt idx="4">
                  <c:v>65</c:v>
                </c:pt>
                <c:pt idx="5">
                  <c:v>29</c:v>
                </c:pt>
                <c:pt idx="6">
                  <c:v>6</c:v>
                </c:pt>
                <c:pt idx="7">
                  <c:v>20</c:v>
                </c:pt>
                <c:pt idx="8">
                  <c:v>5</c:v>
                </c:pt>
                <c:pt idx="9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0.61274509803921573</c:v>
                </c:pt>
                <c:pt idx="1">
                  <c:v>0.51485148514851486</c:v>
                </c:pt>
                <c:pt idx="2">
                  <c:v>0.84042553191489366</c:v>
                </c:pt>
                <c:pt idx="3">
                  <c:v>0.54320987654320985</c:v>
                </c:pt>
                <c:pt idx="4">
                  <c:v>0.59090909090909094</c:v>
                </c:pt>
                <c:pt idx="5">
                  <c:v>0.53703703703703709</c:v>
                </c:pt>
                <c:pt idx="6">
                  <c:v>0.13953488372093023</c:v>
                </c:pt>
                <c:pt idx="7">
                  <c:v>0.51282051282051277</c:v>
                </c:pt>
                <c:pt idx="8">
                  <c:v>0.12820512820512819</c:v>
                </c:pt>
                <c:pt idx="9">
                  <c:v>0.77777777777777779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1130300</xdr:colOff>
      <xdr:row>1</xdr:row>
      <xdr:rowOff>139700</xdr:rowOff>
    </xdr:from>
    <xdr:to>
      <xdr:col>7</xdr:col>
      <xdr:colOff>622300</xdr:colOff>
      <xdr:row>43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C6D32E-956A-72E5-0AB2-6CD841836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1727200</xdr:colOff>
      <xdr:row>51</xdr:row>
      <xdr:rowOff>38100</xdr:rowOff>
    </xdr:from>
    <xdr:to>
      <xdr:col>6</xdr:col>
      <xdr:colOff>2540000</xdr:colOff>
      <xdr:row>58</xdr:row>
      <xdr:rowOff>25400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8400" y="97536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08.601400231484" createdVersion="8" refreshedVersion="8" minRefreshableVersion="3" recordCount="1091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3-26T16:27:29"/>
    </cacheField>
    <cacheField name="Network Count" numFmtId="0">
      <sharedItems containsString="0" containsBlank="1" containsNumber="1" containsInteger="1" minValue="1" maxValue="891"/>
    </cacheField>
    <cacheField name="Reason" numFmtId="0">
      <sharedItems containsBlank="1" containsMixedTypes="1" containsNumber="1" minValue="20" maxValue="49949" count="117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 sus"/>
        <s v="207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</sharedItems>
    </cacheField>
    <cacheField name="Search Date (Pacific)" numFmtId="0">
      <sharedItems containsNonDate="0" containsDate="1" containsString="0" containsBlank="1" minDate="2026-02-02T09:12:14" maxDate="2026-03-26T09:27:29"/>
    </cacheField>
    <cacheField name="Date (Pacific)" numFmtId="0">
      <sharedItems containsNonDate="0" containsDate="1" containsString="0" containsBlank="1" minDate="2026-02-02T00:00:00" maxDate="2026-03-27T00:00:00" count="54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1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56bc436a-e97c-4590-b30d-312a690a8477"/>
    <s v="***"/>
    <d v="2026-03-09T09:17:18"/>
    <n v="3"/>
    <x v="83"/>
    <d v="2026-03-09T02:17:18"/>
    <x v="35"/>
    <s v="Monday"/>
    <n v="2"/>
  </r>
  <r>
    <s v="b2b6a04e-7c65-4b86-b91b-6dcefa2d98fd"/>
    <s v="***"/>
    <d v="2026-03-09T09:24:35"/>
    <n v="3"/>
    <x v="83"/>
    <d v="2026-03-09T02:24:35"/>
    <x v="35"/>
    <s v="Monday"/>
    <n v="2"/>
  </r>
  <r>
    <s v="a6468f2c-d570-44b4-ae96-c5daa5d8e041"/>
    <s v="***"/>
    <d v="2026-03-09T09:25:09"/>
    <n v="532"/>
    <x v="84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4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3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m/>
    <m/>
    <m/>
    <m/>
    <x v="1"/>
    <m/>
    <x v="5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2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>
  <location ref="A3:B121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18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3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showAll="0"/>
    <pivotField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showAll="0"/>
    <pivotField showAll="0"/>
  </pivotFields>
  <rowFields count="1">
    <field x="4"/>
  </rowFields>
  <rowItems count="1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 t="grand">
      <x/>
    </i>
  </rowItems>
  <colItems count="1">
    <i/>
  </colItems>
  <dataFields count="1">
    <dataField name="Count of Search ID" fld="0" subtotal="count" baseField="0" baseItem="0"/>
  </dataFields>
  <chartFormats count="119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44" name="Date (Pacific)">
      <autoFilter ref="A1">
        <filterColumn colId="0">
          <customFilters and="1">
            <customFilter operator="greaterThanOrEqual" val="46054"/>
            <customFilter operator="lessThanOrEqual" val="4611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091" tableType="queryTable" totalsRowShown="0">
  <autoFilter ref="A1:I1091" xr:uid="{FC796341-236E-9446-B972-E05428A0FA8A}"/>
  <sortState xmlns:xlrd2="http://schemas.microsoft.com/office/spreadsheetml/2017/richdata2" ref="A2:I1091">
    <sortCondition ref="C1:C1091"/>
  </sortState>
  <tableColumns count="9">
    <tableColumn id="1" xr3:uid="{A0B180BD-E1E4-8548-AD8D-50C3FC37FA3E}" uniqueName="1" name="Search ID" queryTableFieldId="1" dataDxfId="5"/>
    <tableColumn id="2" xr3:uid="{E7AF0C98-A917-C847-88A1-1578BD923E71}" uniqueName="2" name="User ID" queryTableFieldId="2" dataDxfId="4"/>
    <tableColumn id="3" xr3:uid="{DF29F0DD-76C6-D145-92DB-9CD004242E0F}" uniqueName="3" name="Search Date (UTC/Zulu)" queryTableFieldId="3" dataDxfId="3"/>
    <tableColumn id="4" xr3:uid="{1462AA60-65DB-9A44-8631-D5E03BA03718}" uniqueName="4" name="Network Count" queryTableFieldId="4"/>
    <tableColumn id="5" xr3:uid="{174355B0-57C7-284E-BE8A-FE49E8A1C044}" uniqueName="5" name="Reason" queryTableFieldId="5" dataDxfId="2"/>
    <tableColumn id="6" xr3:uid="{C1654857-0C58-2A4D-B2A8-E85B47DF57EC}" uniqueName="6" name="Search Date (Pacific)" queryTableFieldId="6" dataDxfId="1"/>
    <tableColumn id="7" xr3:uid="{2D9B0520-CDAE-704C-9658-B3E5C8EEBBE9}" uniqueName="7" name="Date (Pacific)" queryTableFieldId="7" dataDxfId="0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84" tableType="queryTable" totalsRowShown="0">
  <autoFilter ref="A1:J84" xr:uid="{CE3F2753-E2F7-744F-BD3D-71BBE1A83250}"/>
  <tableColumns count="10">
    <tableColumn id="1" xr3:uid="{8035F3D7-5496-E142-B43E-CC21EE39FCA4}" uniqueName="1" name="Run Date/Time" queryTableFieldId="1" dataDxfId="8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7"/>
    <tableColumn id="6" xr3:uid="{09061F2A-26E7-B24B-B005-C71CDA62C75B}" uniqueName="6" name="New Rows Date Max" queryTableFieldId="6" dataDxfId="6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3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D28"/>
  <sheetViews>
    <sheetView workbookViewId="0">
      <selection activeCell="A29" sqref="A29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6</v>
      </c>
      <c r="B1" s="9" t="s">
        <v>1013</v>
      </c>
      <c r="C1" s="9" t="s">
        <v>1014</v>
      </c>
      <c r="D1" s="9" t="s">
        <v>1015</v>
      </c>
    </row>
    <row r="2" spans="1:4" x14ac:dyDescent="0.2">
      <c r="A2" s="11" t="s">
        <v>1017</v>
      </c>
      <c r="B2">
        <f>COUNTIFS('Search Audit'!I:I,1,'Search Audit'!E:E,"&lt;&gt;")</f>
        <v>32</v>
      </c>
      <c r="C2">
        <f>COUNTIFS('Search Audit'!I:I,1,'Search Audit'!E:E,"")</f>
        <v>38</v>
      </c>
      <c r="D2" s="10">
        <f t="shared" ref="D2:D25" si="0">IF((B2+C2)=0,0,C2/(B2+C2))</f>
        <v>0.54285714285714282</v>
      </c>
    </row>
    <row r="3" spans="1:4" x14ac:dyDescent="0.2">
      <c r="A3" s="11" t="s">
        <v>1029</v>
      </c>
      <c r="B3">
        <f>COUNTIFS('Search Audit'!I:I,13,'Search Audit'!E:E,"&lt;&gt;")</f>
        <v>19</v>
      </c>
      <c r="C3">
        <f>COUNTIFS('Search Audit'!I:I,13,'Search Audit'!E:E,"")</f>
        <v>17</v>
      </c>
      <c r="D3" s="10">
        <f t="shared" si="0"/>
        <v>0.47222222222222221</v>
      </c>
    </row>
    <row r="4" spans="1:4" x14ac:dyDescent="0.2">
      <c r="A4" s="11" t="s">
        <v>1026</v>
      </c>
      <c r="B4">
        <f>COUNTIFS('Search Audit'!I:I,10,'Search Audit'!E:E,"&lt;&gt;")</f>
        <v>30</v>
      </c>
      <c r="C4">
        <f>COUNTIFS('Search Audit'!I:I,10,'Search Audit'!E:E,"")</f>
        <v>33</v>
      </c>
      <c r="D4" s="10">
        <f t="shared" si="0"/>
        <v>0.52380952380952384</v>
      </c>
    </row>
    <row r="5" spans="1:4" x14ac:dyDescent="0.2">
      <c r="A5" s="11" t="s">
        <v>1038</v>
      </c>
      <c r="B5">
        <f>COUNTIFS('Search Audit'!I:I,22,'Search Audit'!E:E,"&lt;&gt;")</f>
        <v>4</v>
      </c>
      <c r="C5">
        <f>COUNTIFS('Search Audit'!I:I,22,'Search Audit'!E:E,"")</f>
        <v>6</v>
      </c>
      <c r="D5" s="10">
        <f t="shared" si="0"/>
        <v>0.6</v>
      </c>
    </row>
    <row r="6" spans="1:4" x14ac:dyDescent="0.2">
      <c r="A6" s="11" t="s">
        <v>1027</v>
      </c>
      <c r="B6">
        <f>COUNTIFS('Search Audit'!I:I,11,'Search Audit'!E:E,"&lt;&gt;")</f>
        <v>20</v>
      </c>
      <c r="C6">
        <f>COUNTIFS('Search Audit'!I:I,11,'Search Audit'!E:E,"")</f>
        <v>13</v>
      </c>
      <c r="D6" s="10">
        <f t="shared" si="0"/>
        <v>0.39393939393939392</v>
      </c>
    </row>
    <row r="7" spans="1:4" x14ac:dyDescent="0.2">
      <c r="A7" s="11" t="s">
        <v>1039</v>
      </c>
      <c r="B7">
        <f>COUNTIFS('Search Audit'!I:I,23,'Search Audit'!E:E,"&lt;&gt;")</f>
        <v>4</v>
      </c>
      <c r="C7">
        <f>COUNTIFS('Search Audit'!I:I,23,'Search Audit'!E:E,"")</f>
        <v>20</v>
      </c>
      <c r="D7" s="10">
        <f t="shared" si="0"/>
        <v>0.83333333333333337</v>
      </c>
    </row>
    <row r="8" spans="1:4" x14ac:dyDescent="0.2">
      <c r="A8" s="11" t="s">
        <v>1016</v>
      </c>
      <c r="B8">
        <f>COUNTIFS('Search Audit'!I:I,0,'Search Audit'!E:E,"&lt;&gt;")</f>
        <v>18</v>
      </c>
      <c r="C8">
        <f>COUNTIFS('Search Audit'!I:I,0,'Search Audit'!E:E,"")</f>
        <v>30</v>
      </c>
      <c r="D8" s="10">
        <f t="shared" si="0"/>
        <v>0.625</v>
      </c>
    </row>
    <row r="9" spans="1:4" x14ac:dyDescent="0.2">
      <c r="A9" s="11" t="s">
        <v>1028</v>
      </c>
      <c r="B9">
        <f>COUNTIFS('Search Audit'!I:I,12,'Search Audit'!E:E,"&lt;&gt;")</f>
        <v>21</v>
      </c>
      <c r="C9">
        <f>COUNTIFS('Search Audit'!I:I,12,'Search Audit'!E:E,"")</f>
        <v>25</v>
      </c>
      <c r="D9" s="10">
        <f t="shared" si="0"/>
        <v>0.54347826086956519</v>
      </c>
    </row>
    <row r="10" spans="1:4" x14ac:dyDescent="0.2">
      <c r="A10" s="11" t="s">
        <v>1018</v>
      </c>
      <c r="B10">
        <f>COUNTIFS('Search Audit'!I:I,2,'Search Audit'!E:E,"&lt;&gt;")</f>
        <v>37</v>
      </c>
      <c r="C10">
        <f>COUNTIFS('Search Audit'!I:I,2,'Search Audit'!E:E,"")</f>
        <v>41</v>
      </c>
      <c r="D10" s="10">
        <f t="shared" si="0"/>
        <v>0.52564102564102566</v>
      </c>
    </row>
    <row r="11" spans="1:4" x14ac:dyDescent="0.2">
      <c r="A11" s="11" t="s">
        <v>1030</v>
      </c>
      <c r="B11">
        <f>COUNTIFS('Search Audit'!I:I,14,'Search Audit'!E:E,"&lt;&gt;")</f>
        <v>15</v>
      </c>
      <c r="C11">
        <f>COUNTIFS('Search Audit'!I:I,14,'Search Audit'!E:E,"")</f>
        <v>19</v>
      </c>
      <c r="D11" s="10">
        <f t="shared" si="0"/>
        <v>0.55882352941176472</v>
      </c>
    </row>
    <row r="12" spans="1:4" x14ac:dyDescent="0.2">
      <c r="A12" s="11" t="s">
        <v>1019</v>
      </c>
      <c r="B12">
        <f>COUNTIFS('Search Audit'!I:I,3,'Search Audit'!E:E,"&lt;&gt;")</f>
        <v>42</v>
      </c>
      <c r="C12">
        <f>COUNTIFS('Search Audit'!I:I,3,'Search Audit'!E:E,"")</f>
        <v>52</v>
      </c>
      <c r="D12" s="10">
        <f t="shared" si="0"/>
        <v>0.55319148936170215</v>
      </c>
    </row>
    <row r="13" spans="1:4" x14ac:dyDescent="0.2">
      <c r="A13" s="11" t="s">
        <v>1031</v>
      </c>
      <c r="B13">
        <f>COUNTIFS('Search Audit'!I:I,15,'Search Audit'!E:E,"&lt;&gt;")</f>
        <v>18</v>
      </c>
      <c r="C13">
        <f>COUNTIFS('Search Audit'!I:I,15,'Search Audit'!E:E,"")</f>
        <v>21</v>
      </c>
      <c r="D13" s="10">
        <f t="shared" si="0"/>
        <v>0.53846153846153844</v>
      </c>
    </row>
    <row r="14" spans="1:4" x14ac:dyDescent="0.2">
      <c r="A14" s="11" t="s">
        <v>1020</v>
      </c>
      <c r="B14">
        <f>COUNTIFS('Search Audit'!I:I,4,'Search Audit'!E:E,"&lt;&gt;")</f>
        <v>36</v>
      </c>
      <c r="C14">
        <f>COUNTIFS('Search Audit'!I:I,4,'Search Audit'!E:E,"")</f>
        <v>42</v>
      </c>
      <c r="D14" s="10">
        <f t="shared" si="0"/>
        <v>0.53846153846153844</v>
      </c>
    </row>
    <row r="15" spans="1:4" x14ac:dyDescent="0.2">
      <c r="A15" s="11" t="s">
        <v>1032</v>
      </c>
      <c r="B15">
        <f>COUNTIFS('Search Audit'!I:I,16,'Search Audit'!E:E,"&lt;&gt;")</f>
        <v>9</v>
      </c>
      <c r="C15">
        <f>COUNTIFS('Search Audit'!I:I,16,'Search Audit'!E:E,"")</f>
        <v>13</v>
      </c>
      <c r="D15" s="10">
        <f t="shared" si="0"/>
        <v>0.59090909090909094</v>
      </c>
    </row>
    <row r="16" spans="1:4" x14ac:dyDescent="0.2">
      <c r="A16" s="11" t="s">
        <v>1021</v>
      </c>
      <c r="B16">
        <f>COUNTIFS('Search Audit'!I:I,5,'Search Audit'!E:E,"&lt;&gt;")</f>
        <v>32</v>
      </c>
      <c r="C16">
        <f>COUNTIFS('Search Audit'!I:I,5,'Search Audit'!E:E,"")</f>
        <v>45</v>
      </c>
      <c r="D16" s="10">
        <f t="shared" si="0"/>
        <v>0.58441558441558439</v>
      </c>
    </row>
    <row r="17" spans="1:4" x14ac:dyDescent="0.2">
      <c r="A17" s="11" t="s">
        <v>1033</v>
      </c>
      <c r="B17">
        <f>COUNTIFS('Search Audit'!I:I,17,'Search Audit'!E:E,"&lt;&gt;")</f>
        <v>10</v>
      </c>
      <c r="C17">
        <f>COUNTIFS('Search Audit'!I:I,17,'Search Audit'!E:E,"")</f>
        <v>8</v>
      </c>
      <c r="D17" s="10">
        <f t="shared" si="0"/>
        <v>0.44444444444444442</v>
      </c>
    </row>
    <row r="18" spans="1:4" x14ac:dyDescent="0.2">
      <c r="A18" s="11" t="s">
        <v>1022</v>
      </c>
      <c r="B18">
        <f>COUNTIFS('Search Audit'!I:I,6,'Search Audit'!E:E,"&lt;&gt;")</f>
        <v>30</v>
      </c>
      <c r="C18">
        <f>COUNTIFS('Search Audit'!I:I,6,'Search Audit'!E:E,"")</f>
        <v>40</v>
      </c>
      <c r="D18" s="10">
        <f t="shared" si="0"/>
        <v>0.5714285714285714</v>
      </c>
    </row>
    <row r="19" spans="1:4" x14ac:dyDescent="0.2">
      <c r="A19" s="11" t="s">
        <v>1034</v>
      </c>
      <c r="B19">
        <f>COUNTIFS('Search Audit'!I:I,18,'Search Audit'!E:E,"&lt;&gt;")</f>
        <v>9</v>
      </c>
      <c r="C19">
        <f>COUNTIFS('Search Audit'!I:I,18,'Search Audit'!E:E,"")</f>
        <v>6</v>
      </c>
      <c r="D19" s="10">
        <f t="shared" si="0"/>
        <v>0.4</v>
      </c>
    </row>
    <row r="20" spans="1:4" x14ac:dyDescent="0.2">
      <c r="A20" s="11" t="s">
        <v>1023</v>
      </c>
      <c r="B20">
        <f>COUNTIFS('Search Audit'!I:I,7,'Search Audit'!E:E,"&lt;&gt;")</f>
        <v>36</v>
      </c>
      <c r="C20">
        <f>COUNTIFS('Search Audit'!I:I,7,'Search Audit'!E:E,"")</f>
        <v>39</v>
      </c>
      <c r="D20" s="10">
        <f t="shared" si="0"/>
        <v>0.52</v>
      </c>
    </row>
    <row r="21" spans="1:4" x14ac:dyDescent="0.2">
      <c r="A21" s="11" t="s">
        <v>1035</v>
      </c>
      <c r="B21">
        <f>COUNTIFS('Search Audit'!I:I,19,'Search Audit'!E:E,"&lt;&gt;")</f>
        <v>7</v>
      </c>
      <c r="C21">
        <f>COUNTIFS('Search Audit'!I:I,19,'Search Audit'!E:E,"")</f>
        <v>8</v>
      </c>
      <c r="D21" s="10">
        <f t="shared" si="0"/>
        <v>0.53333333333333333</v>
      </c>
    </row>
    <row r="22" spans="1:4" x14ac:dyDescent="0.2">
      <c r="A22" s="11" t="s">
        <v>1024</v>
      </c>
      <c r="B22">
        <f>COUNTIFS('Search Audit'!I:I,8,'Search Audit'!E:E,"&lt;&gt;")</f>
        <v>33</v>
      </c>
      <c r="C22">
        <f>COUNTIFS('Search Audit'!I:I,8,'Search Audit'!E:E,"")</f>
        <v>36</v>
      </c>
      <c r="D22" s="10">
        <f t="shared" si="0"/>
        <v>0.52173913043478259</v>
      </c>
    </row>
    <row r="23" spans="1:4" x14ac:dyDescent="0.2">
      <c r="A23" s="11" t="s">
        <v>1036</v>
      </c>
      <c r="B23">
        <f>COUNTIFS('Search Audit'!I:I,20,'Search Audit'!E:E,"&lt;&gt;")</f>
        <v>3</v>
      </c>
      <c r="C23">
        <f>COUNTIFS('Search Audit'!I:I,20,'Search Audit'!E:E,"")</f>
        <v>8</v>
      </c>
      <c r="D23" s="10">
        <f t="shared" si="0"/>
        <v>0.72727272727272729</v>
      </c>
    </row>
    <row r="24" spans="1:4" x14ac:dyDescent="0.2">
      <c r="A24" s="11" t="s">
        <v>1025</v>
      </c>
      <c r="B24">
        <f>COUNTIFS('Search Audit'!I:I,9,'Search Audit'!E:E,"&lt;&gt;")</f>
        <v>26</v>
      </c>
      <c r="C24">
        <f>COUNTIFS('Search Audit'!I:I,9,'Search Audit'!E:E,"")</f>
        <v>29</v>
      </c>
      <c r="D24" s="10">
        <f t="shared" si="0"/>
        <v>0.52727272727272723</v>
      </c>
    </row>
    <row r="25" spans="1:4" x14ac:dyDescent="0.2">
      <c r="A25" s="11" t="s">
        <v>1037</v>
      </c>
      <c r="B25">
        <f>COUNTIFS('Search Audit'!I:I,21,'Search Audit'!E:E,"&lt;&gt;")</f>
        <v>3</v>
      </c>
      <c r="C25">
        <f>COUNTIFS('Search Audit'!I:I,21,'Search Audit'!E:E,"")</f>
        <v>7</v>
      </c>
      <c r="D25" s="10">
        <f t="shared" si="0"/>
        <v>0.7</v>
      </c>
    </row>
    <row r="28" spans="1:4" x14ac:dyDescent="0.2">
      <c r="A28" s="8" t="s">
        <v>752</v>
      </c>
      <c r="B28">
        <f>SUM(B2:C25)</f>
        <v>1090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21"/>
  <sheetViews>
    <sheetView topLeftCell="A39" workbookViewId="0">
      <selection activeCell="C53" sqref="C53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6">
        <v>1</v>
      </c>
    </row>
    <row r="5" spans="1:2" x14ac:dyDescent="0.2">
      <c r="A5" s="5">
        <v>207</v>
      </c>
      <c r="B5" s="16">
        <v>6</v>
      </c>
    </row>
    <row r="6" spans="1:2" x14ac:dyDescent="0.2">
      <c r="A6" s="5">
        <v>242</v>
      </c>
      <c r="B6" s="16">
        <v>1</v>
      </c>
    </row>
    <row r="7" spans="1:2" x14ac:dyDescent="0.2">
      <c r="A7" s="5">
        <v>288</v>
      </c>
      <c r="B7" s="16">
        <v>3</v>
      </c>
    </row>
    <row r="8" spans="1:2" x14ac:dyDescent="0.2">
      <c r="A8" s="5">
        <v>836</v>
      </c>
      <c r="B8" s="16">
        <v>1</v>
      </c>
    </row>
    <row r="9" spans="1:2" x14ac:dyDescent="0.2">
      <c r="A9" s="5">
        <v>1036</v>
      </c>
      <c r="B9" s="16">
        <v>3</v>
      </c>
    </row>
    <row r="10" spans="1:2" x14ac:dyDescent="0.2">
      <c r="A10" s="5">
        <v>2800.2</v>
      </c>
      <c r="B10" s="16">
        <v>1</v>
      </c>
    </row>
    <row r="11" spans="1:2" x14ac:dyDescent="0.2">
      <c r="A11" s="5">
        <v>5150</v>
      </c>
      <c r="B11" s="16">
        <v>1</v>
      </c>
    </row>
    <row r="12" spans="1:2" x14ac:dyDescent="0.2">
      <c r="A12" s="5">
        <v>10851</v>
      </c>
      <c r="B12" s="16">
        <v>18</v>
      </c>
    </row>
    <row r="13" spans="1:2" x14ac:dyDescent="0.2">
      <c r="A13" s="5">
        <v>49949</v>
      </c>
      <c r="B13" s="16">
        <v>2</v>
      </c>
    </row>
    <row r="14" spans="1:2" x14ac:dyDescent="0.2">
      <c r="A14" s="5" t="s">
        <v>804</v>
      </c>
      <c r="B14" s="16">
        <v>2</v>
      </c>
    </row>
    <row r="15" spans="1:2" x14ac:dyDescent="0.2">
      <c r="A15" s="5" t="s">
        <v>397</v>
      </c>
      <c r="B15" s="16">
        <v>1</v>
      </c>
    </row>
    <row r="16" spans="1:2" x14ac:dyDescent="0.2">
      <c r="A16" s="5" t="s">
        <v>697</v>
      </c>
      <c r="B16" s="16">
        <v>3</v>
      </c>
    </row>
    <row r="17" spans="1:2" x14ac:dyDescent="0.2">
      <c r="A17" s="5" t="s">
        <v>121</v>
      </c>
      <c r="B17" s="16">
        <v>1</v>
      </c>
    </row>
    <row r="18" spans="1:2" x14ac:dyDescent="0.2">
      <c r="A18" s="5" t="s">
        <v>190</v>
      </c>
      <c r="B18" s="16">
        <v>8</v>
      </c>
    </row>
    <row r="19" spans="1:2" x14ac:dyDescent="0.2">
      <c r="A19" s="5" t="s">
        <v>651</v>
      </c>
      <c r="B19" s="16">
        <v>1</v>
      </c>
    </row>
    <row r="20" spans="1:2" x14ac:dyDescent="0.2">
      <c r="A20" s="5" t="s">
        <v>613</v>
      </c>
      <c r="B20" s="16">
        <v>3</v>
      </c>
    </row>
    <row r="21" spans="1:2" x14ac:dyDescent="0.2">
      <c r="A21" s="5" t="s">
        <v>104</v>
      </c>
      <c r="B21" s="16">
        <v>1</v>
      </c>
    </row>
    <row r="22" spans="1:2" x14ac:dyDescent="0.2">
      <c r="A22" s="5" t="s">
        <v>100</v>
      </c>
      <c r="B22" s="16">
        <v>1</v>
      </c>
    </row>
    <row r="23" spans="1:2" x14ac:dyDescent="0.2">
      <c r="A23" s="5" t="s">
        <v>83</v>
      </c>
      <c r="B23" s="16">
        <v>1</v>
      </c>
    </row>
    <row r="24" spans="1:2" x14ac:dyDescent="0.2">
      <c r="A24" s="5" t="s">
        <v>81</v>
      </c>
      <c r="B24" s="16">
        <v>1</v>
      </c>
    </row>
    <row r="25" spans="1:2" x14ac:dyDescent="0.2">
      <c r="A25" s="5" t="s">
        <v>605</v>
      </c>
      <c r="B25" s="16">
        <v>2</v>
      </c>
    </row>
    <row r="26" spans="1:2" x14ac:dyDescent="0.2">
      <c r="A26" s="5" t="s">
        <v>683</v>
      </c>
      <c r="B26" s="16">
        <v>1</v>
      </c>
    </row>
    <row r="27" spans="1:2" x14ac:dyDescent="0.2">
      <c r="A27" s="5" t="s">
        <v>289</v>
      </c>
      <c r="B27" s="16">
        <v>1</v>
      </c>
    </row>
    <row r="28" spans="1:2" x14ac:dyDescent="0.2">
      <c r="A28" s="5" t="s">
        <v>578</v>
      </c>
      <c r="B28" s="16">
        <v>1</v>
      </c>
    </row>
    <row r="29" spans="1:2" x14ac:dyDescent="0.2">
      <c r="A29" s="5" t="s">
        <v>260</v>
      </c>
      <c r="B29" s="16">
        <v>1</v>
      </c>
    </row>
    <row r="30" spans="1:2" x14ac:dyDescent="0.2">
      <c r="A30" s="5" t="s">
        <v>728</v>
      </c>
      <c r="B30" s="16">
        <v>1</v>
      </c>
    </row>
    <row r="31" spans="1:2" x14ac:dyDescent="0.2">
      <c r="A31" s="5" t="s">
        <v>620</v>
      </c>
      <c r="B31" s="16">
        <v>4</v>
      </c>
    </row>
    <row r="32" spans="1:2" x14ac:dyDescent="0.2">
      <c r="A32" s="5" t="s">
        <v>241</v>
      </c>
      <c r="B32" s="16">
        <v>1</v>
      </c>
    </row>
    <row r="33" spans="1:2" x14ac:dyDescent="0.2">
      <c r="A33" s="5" t="s">
        <v>301</v>
      </c>
      <c r="B33" s="16">
        <v>4</v>
      </c>
    </row>
    <row r="34" spans="1:2" x14ac:dyDescent="0.2">
      <c r="A34" s="5" t="s">
        <v>504</v>
      </c>
      <c r="B34" s="16">
        <v>2</v>
      </c>
    </row>
    <row r="35" spans="1:2" x14ac:dyDescent="0.2">
      <c r="A35" s="5" t="s">
        <v>140</v>
      </c>
      <c r="B35" s="16">
        <v>1</v>
      </c>
    </row>
    <row r="36" spans="1:2" x14ac:dyDescent="0.2">
      <c r="A36" s="5" t="s">
        <v>561</v>
      </c>
      <c r="B36" s="16">
        <v>6</v>
      </c>
    </row>
    <row r="37" spans="1:2" x14ac:dyDescent="0.2">
      <c r="A37" s="5" t="s">
        <v>536</v>
      </c>
      <c r="B37" s="16">
        <v>6</v>
      </c>
    </row>
    <row r="38" spans="1:2" x14ac:dyDescent="0.2">
      <c r="A38" s="5" t="s">
        <v>526</v>
      </c>
      <c r="B38" s="16">
        <v>5</v>
      </c>
    </row>
    <row r="39" spans="1:2" x14ac:dyDescent="0.2">
      <c r="A39" s="5" t="s">
        <v>31</v>
      </c>
      <c r="B39" s="16">
        <v>55</v>
      </c>
    </row>
    <row r="40" spans="1:2" x14ac:dyDescent="0.2">
      <c r="A40" s="5" t="s">
        <v>50</v>
      </c>
      <c r="B40" s="16">
        <v>2</v>
      </c>
    </row>
    <row r="41" spans="1:2" x14ac:dyDescent="0.2">
      <c r="A41" s="5" t="s">
        <v>584</v>
      </c>
      <c r="B41" s="16">
        <v>1</v>
      </c>
    </row>
    <row r="42" spans="1:2" x14ac:dyDescent="0.2">
      <c r="A42" s="5" t="s">
        <v>590</v>
      </c>
      <c r="B42" s="16">
        <v>2</v>
      </c>
    </row>
    <row r="43" spans="1:2" x14ac:dyDescent="0.2">
      <c r="A43" s="5" t="s">
        <v>252</v>
      </c>
      <c r="B43" s="16">
        <v>2</v>
      </c>
    </row>
    <row r="44" spans="1:2" x14ac:dyDescent="0.2">
      <c r="A44" s="5" t="s">
        <v>681</v>
      </c>
      <c r="B44" s="16">
        <v>1</v>
      </c>
    </row>
    <row r="45" spans="1:2" x14ac:dyDescent="0.2">
      <c r="A45" s="5" t="s">
        <v>79</v>
      </c>
      <c r="B45" s="16">
        <v>1</v>
      </c>
    </row>
    <row r="46" spans="1:2" x14ac:dyDescent="0.2">
      <c r="A46" s="5" t="s">
        <v>553</v>
      </c>
      <c r="B46" s="16">
        <v>1</v>
      </c>
    </row>
    <row r="47" spans="1:2" x14ac:dyDescent="0.2">
      <c r="A47" s="5" t="s">
        <v>551</v>
      </c>
      <c r="B47" s="16">
        <v>1</v>
      </c>
    </row>
    <row r="48" spans="1:2" x14ac:dyDescent="0.2">
      <c r="A48" s="5" t="s">
        <v>168</v>
      </c>
      <c r="B48" s="16">
        <v>1</v>
      </c>
    </row>
    <row r="49" spans="1:2" x14ac:dyDescent="0.2">
      <c r="A49" s="5" t="s">
        <v>280</v>
      </c>
      <c r="B49" s="16">
        <v>1</v>
      </c>
    </row>
    <row r="50" spans="1:2" x14ac:dyDescent="0.2">
      <c r="A50" s="5" t="s">
        <v>165</v>
      </c>
      <c r="B50" s="16">
        <v>5</v>
      </c>
    </row>
    <row r="51" spans="1:2" x14ac:dyDescent="0.2">
      <c r="A51" s="5" t="s">
        <v>507</v>
      </c>
      <c r="B51" s="16">
        <v>1</v>
      </c>
    </row>
    <row r="52" spans="1:2" x14ac:dyDescent="0.2">
      <c r="A52" s="5" t="s">
        <v>603</v>
      </c>
      <c r="B52" s="16">
        <v>1</v>
      </c>
    </row>
    <row r="53" spans="1:2" x14ac:dyDescent="0.2">
      <c r="A53" s="5" t="s">
        <v>147</v>
      </c>
      <c r="B53" s="16">
        <v>1</v>
      </c>
    </row>
    <row r="54" spans="1:2" x14ac:dyDescent="0.2">
      <c r="A54" s="5" t="s">
        <v>469</v>
      </c>
      <c r="B54" s="16">
        <v>1</v>
      </c>
    </row>
    <row r="55" spans="1:2" x14ac:dyDescent="0.2">
      <c r="A55" s="5" t="s">
        <v>267</v>
      </c>
      <c r="B55" s="16">
        <v>2</v>
      </c>
    </row>
    <row r="56" spans="1:2" x14ac:dyDescent="0.2">
      <c r="A56" s="5" t="s">
        <v>336</v>
      </c>
      <c r="B56" s="16">
        <v>1</v>
      </c>
    </row>
    <row r="57" spans="1:2" x14ac:dyDescent="0.2">
      <c r="A57" s="5" t="s">
        <v>108</v>
      </c>
      <c r="B57" s="16">
        <v>1</v>
      </c>
    </row>
    <row r="58" spans="1:2" x14ac:dyDescent="0.2">
      <c r="A58" s="5" t="s">
        <v>42</v>
      </c>
      <c r="B58" s="16">
        <v>1</v>
      </c>
    </row>
    <row r="59" spans="1:2" x14ac:dyDescent="0.2">
      <c r="A59" s="5" t="s">
        <v>17</v>
      </c>
      <c r="B59" s="16">
        <v>1</v>
      </c>
    </row>
    <row r="60" spans="1:2" x14ac:dyDescent="0.2">
      <c r="A60" s="5" t="s">
        <v>15</v>
      </c>
      <c r="B60" s="16">
        <v>5</v>
      </c>
    </row>
    <row r="61" spans="1:2" x14ac:dyDescent="0.2">
      <c r="A61" s="5" t="s">
        <v>744</v>
      </c>
      <c r="B61" s="16">
        <v>1</v>
      </c>
    </row>
    <row r="62" spans="1:2" x14ac:dyDescent="0.2">
      <c r="A62" s="5" t="s">
        <v>360</v>
      </c>
      <c r="B62" s="16">
        <v>1</v>
      </c>
    </row>
    <row r="63" spans="1:2" x14ac:dyDescent="0.2">
      <c r="A63" s="5" t="s">
        <v>305</v>
      </c>
      <c r="B63" s="16">
        <v>6</v>
      </c>
    </row>
    <row r="64" spans="1:2" x14ac:dyDescent="0.2">
      <c r="A64" s="5" t="s">
        <v>247</v>
      </c>
      <c r="B64" s="16">
        <v>1</v>
      </c>
    </row>
    <row r="65" spans="1:2" x14ac:dyDescent="0.2">
      <c r="A65" s="5" t="s">
        <v>522</v>
      </c>
      <c r="B65" s="16">
        <v>1</v>
      </c>
    </row>
    <row r="66" spans="1:2" x14ac:dyDescent="0.2">
      <c r="A66" s="5" t="s">
        <v>323</v>
      </c>
      <c r="B66" s="16">
        <v>5</v>
      </c>
    </row>
    <row r="67" spans="1:2" x14ac:dyDescent="0.2">
      <c r="A67" s="5" t="s">
        <v>705</v>
      </c>
      <c r="B67" s="16">
        <v>1</v>
      </c>
    </row>
    <row r="68" spans="1:2" x14ac:dyDescent="0.2">
      <c r="A68" s="5" t="s">
        <v>112</v>
      </c>
      <c r="B68" s="16">
        <v>3</v>
      </c>
    </row>
    <row r="69" spans="1:2" x14ac:dyDescent="0.2">
      <c r="A69" s="5" t="s">
        <v>89</v>
      </c>
      <c r="B69" s="16">
        <v>44</v>
      </c>
    </row>
    <row r="70" spans="1:2" x14ac:dyDescent="0.2">
      <c r="A70" s="5" t="s">
        <v>34</v>
      </c>
      <c r="B70" s="16">
        <v>82</v>
      </c>
    </row>
    <row r="71" spans="1:2" x14ac:dyDescent="0.2">
      <c r="A71" s="5" t="s">
        <v>68</v>
      </c>
      <c r="B71" s="16">
        <v>2</v>
      </c>
    </row>
    <row r="72" spans="1:2" x14ac:dyDescent="0.2">
      <c r="A72" s="5" t="s">
        <v>86</v>
      </c>
      <c r="B72" s="16">
        <v>4</v>
      </c>
    </row>
    <row r="73" spans="1:2" x14ac:dyDescent="0.2">
      <c r="A73" s="5" t="s">
        <v>135</v>
      </c>
      <c r="B73" s="16">
        <v>5</v>
      </c>
    </row>
    <row r="74" spans="1:2" x14ac:dyDescent="0.2">
      <c r="A74" s="5" t="s">
        <v>257</v>
      </c>
      <c r="B74" s="16">
        <v>1</v>
      </c>
    </row>
    <row r="75" spans="1:2" x14ac:dyDescent="0.2">
      <c r="A75" s="5" t="s">
        <v>137</v>
      </c>
      <c r="B75" s="16">
        <v>1</v>
      </c>
    </row>
    <row r="76" spans="1:2" x14ac:dyDescent="0.2">
      <c r="A76" s="5" t="s">
        <v>60</v>
      </c>
      <c r="B76" s="16">
        <v>45</v>
      </c>
    </row>
    <row r="77" spans="1:2" x14ac:dyDescent="0.2">
      <c r="A77" s="5" t="s">
        <v>175</v>
      </c>
      <c r="B77" s="16">
        <v>1</v>
      </c>
    </row>
    <row r="78" spans="1:2" x14ac:dyDescent="0.2">
      <c r="A78" s="5" t="s">
        <v>152</v>
      </c>
      <c r="B78" s="16">
        <v>3</v>
      </c>
    </row>
    <row r="79" spans="1:2" x14ac:dyDescent="0.2">
      <c r="A79" s="5" t="s">
        <v>325</v>
      </c>
      <c r="B79" s="16">
        <v>6</v>
      </c>
    </row>
    <row r="80" spans="1:2" x14ac:dyDescent="0.2">
      <c r="A80" s="5" t="s">
        <v>716</v>
      </c>
      <c r="B80" s="16">
        <v>1</v>
      </c>
    </row>
    <row r="81" spans="1:2" x14ac:dyDescent="0.2">
      <c r="A81" s="5" t="s">
        <v>517</v>
      </c>
      <c r="B81" s="16">
        <v>1</v>
      </c>
    </row>
    <row r="82" spans="1:2" x14ac:dyDescent="0.2">
      <c r="A82" s="5" t="s">
        <v>188</v>
      </c>
      <c r="B82" s="16">
        <v>2</v>
      </c>
    </row>
    <row r="83" spans="1:2" x14ac:dyDescent="0.2">
      <c r="A83" s="5" t="s">
        <v>477</v>
      </c>
      <c r="B83" s="16">
        <v>1</v>
      </c>
    </row>
    <row r="84" spans="1:2" x14ac:dyDescent="0.2">
      <c r="A84" s="5" t="s">
        <v>70</v>
      </c>
      <c r="B84" s="16">
        <v>9</v>
      </c>
    </row>
    <row r="85" spans="1:2" x14ac:dyDescent="0.2">
      <c r="A85" s="5" t="s">
        <v>383</v>
      </c>
      <c r="B85" s="16">
        <v>1</v>
      </c>
    </row>
    <row r="86" spans="1:2" x14ac:dyDescent="0.2">
      <c r="A86" s="5" t="s">
        <v>367</v>
      </c>
      <c r="B86" s="16">
        <v>7</v>
      </c>
    </row>
    <row r="87" spans="1:2" x14ac:dyDescent="0.2">
      <c r="A87" s="5" t="s">
        <v>409</v>
      </c>
      <c r="B87" s="16">
        <v>1</v>
      </c>
    </row>
    <row r="88" spans="1:2" x14ac:dyDescent="0.2">
      <c r="A88" s="5" t="s">
        <v>401</v>
      </c>
      <c r="B88" s="16">
        <v>11</v>
      </c>
    </row>
    <row r="89" spans="1:2" x14ac:dyDescent="0.2">
      <c r="A89" s="5" t="s">
        <v>128</v>
      </c>
      <c r="B89" s="16">
        <v>2</v>
      </c>
    </row>
    <row r="90" spans="1:2" x14ac:dyDescent="0.2">
      <c r="A90" s="5" t="s">
        <v>582</v>
      </c>
      <c r="B90" s="16">
        <v>16</v>
      </c>
    </row>
    <row r="91" spans="1:2" x14ac:dyDescent="0.2">
      <c r="A91" s="5" t="s">
        <v>829</v>
      </c>
      <c r="B91" s="16">
        <v>596</v>
      </c>
    </row>
    <row r="92" spans="1:2" x14ac:dyDescent="0.2">
      <c r="A92" s="5" t="s">
        <v>853</v>
      </c>
      <c r="B92" s="16">
        <v>1</v>
      </c>
    </row>
    <row r="93" spans="1:2" x14ac:dyDescent="0.2">
      <c r="A93" s="5" t="s">
        <v>859</v>
      </c>
      <c r="B93" s="16">
        <v>2</v>
      </c>
    </row>
    <row r="94" spans="1:2" x14ac:dyDescent="0.2">
      <c r="A94" s="5" t="s">
        <v>874</v>
      </c>
      <c r="B94" s="16">
        <v>3</v>
      </c>
    </row>
    <row r="95" spans="1:2" x14ac:dyDescent="0.2">
      <c r="A95" s="5" t="s">
        <v>878</v>
      </c>
      <c r="B95" s="16">
        <v>3</v>
      </c>
    </row>
    <row r="96" spans="1:2" x14ac:dyDescent="0.2">
      <c r="A96" s="5" t="s">
        <v>880</v>
      </c>
      <c r="B96" s="16">
        <v>1</v>
      </c>
    </row>
    <row r="97" spans="1:2" x14ac:dyDescent="0.2">
      <c r="A97" s="5" t="s">
        <v>907</v>
      </c>
      <c r="B97" s="16">
        <v>1</v>
      </c>
    </row>
    <row r="98" spans="1:2" x14ac:dyDescent="0.2">
      <c r="A98" s="5" t="s">
        <v>910</v>
      </c>
      <c r="B98" s="16">
        <v>1</v>
      </c>
    </row>
    <row r="99" spans="1:2" x14ac:dyDescent="0.2">
      <c r="A99" s="5" t="s">
        <v>920</v>
      </c>
      <c r="B99" s="16">
        <v>2</v>
      </c>
    </row>
    <row r="100" spans="1:2" x14ac:dyDescent="0.2">
      <c r="A100" s="5" t="s">
        <v>939</v>
      </c>
      <c r="B100" s="16">
        <v>1</v>
      </c>
    </row>
    <row r="101" spans="1:2" x14ac:dyDescent="0.2">
      <c r="A101" s="5" t="s">
        <v>968</v>
      </c>
      <c r="B101" s="16">
        <v>1</v>
      </c>
    </row>
    <row r="102" spans="1:2" x14ac:dyDescent="0.2">
      <c r="A102" s="5" t="s">
        <v>973</v>
      </c>
      <c r="B102" s="16">
        <v>1</v>
      </c>
    </row>
    <row r="103" spans="1:2" x14ac:dyDescent="0.2">
      <c r="A103" s="5" t="s">
        <v>990</v>
      </c>
      <c r="B103" s="16">
        <v>2</v>
      </c>
    </row>
    <row r="104" spans="1:2" x14ac:dyDescent="0.2">
      <c r="A104" s="5" t="s">
        <v>1000</v>
      </c>
      <c r="B104" s="16">
        <v>1</v>
      </c>
    </row>
    <row r="105" spans="1:2" x14ac:dyDescent="0.2">
      <c r="A105" s="5" t="s">
        <v>1071</v>
      </c>
      <c r="B105" s="16">
        <v>1</v>
      </c>
    </row>
    <row r="106" spans="1:2" x14ac:dyDescent="0.2">
      <c r="A106" s="5" t="s">
        <v>1073</v>
      </c>
      <c r="B106" s="16">
        <v>1</v>
      </c>
    </row>
    <row r="107" spans="1:2" x14ac:dyDescent="0.2">
      <c r="A107" s="5" t="s">
        <v>1086</v>
      </c>
      <c r="B107" s="16">
        <v>1</v>
      </c>
    </row>
    <row r="108" spans="1:2" x14ac:dyDescent="0.2">
      <c r="A108" s="5" t="s">
        <v>1088</v>
      </c>
      <c r="B108" s="16">
        <v>2</v>
      </c>
    </row>
    <row r="109" spans="1:2" x14ac:dyDescent="0.2">
      <c r="A109" s="5" t="s">
        <v>1097</v>
      </c>
      <c r="B109" s="16">
        <v>1</v>
      </c>
    </row>
    <row r="110" spans="1:2" x14ac:dyDescent="0.2">
      <c r="A110" s="5" t="s">
        <v>1099</v>
      </c>
      <c r="B110" s="16">
        <v>2</v>
      </c>
    </row>
    <row r="111" spans="1:2" x14ac:dyDescent="0.2">
      <c r="A111" s="5" t="s">
        <v>1101</v>
      </c>
      <c r="B111" s="16">
        <v>2</v>
      </c>
    </row>
    <row r="112" spans="1:2" x14ac:dyDescent="0.2">
      <c r="A112" s="5" t="s">
        <v>1112</v>
      </c>
      <c r="B112" s="16">
        <v>1</v>
      </c>
    </row>
    <row r="113" spans="1:2" x14ac:dyDescent="0.2">
      <c r="A113" s="5" t="s">
        <v>1115</v>
      </c>
      <c r="B113" s="16">
        <v>5</v>
      </c>
    </row>
    <row r="114" spans="1:2" x14ac:dyDescent="0.2">
      <c r="A114" s="5" t="s">
        <v>1130</v>
      </c>
      <c r="B114" s="16">
        <v>1</v>
      </c>
    </row>
    <row r="115" spans="1:2" x14ac:dyDescent="0.2">
      <c r="A115" s="5" t="s">
        <v>1139</v>
      </c>
      <c r="B115" s="16">
        <v>2</v>
      </c>
    </row>
    <row r="116" spans="1:2" x14ac:dyDescent="0.2">
      <c r="A116" s="5" t="s">
        <v>1151</v>
      </c>
      <c r="B116" s="16">
        <v>2</v>
      </c>
    </row>
    <row r="117" spans="1:2" x14ac:dyDescent="0.2">
      <c r="A117" s="5" t="s">
        <v>1180</v>
      </c>
      <c r="B117" s="16">
        <v>1</v>
      </c>
    </row>
    <row r="118" spans="1:2" x14ac:dyDescent="0.2">
      <c r="A118" s="5" t="s">
        <v>1294</v>
      </c>
      <c r="B118" s="16">
        <v>1</v>
      </c>
    </row>
    <row r="119" spans="1:2" x14ac:dyDescent="0.2">
      <c r="A119" s="5" t="s">
        <v>1302</v>
      </c>
      <c r="B119" s="16">
        <v>1</v>
      </c>
    </row>
    <row r="120" spans="1:2" x14ac:dyDescent="0.2">
      <c r="A120" s="5" t="s">
        <v>1334</v>
      </c>
      <c r="B120" s="16">
        <v>1</v>
      </c>
    </row>
    <row r="121" spans="1:2" x14ac:dyDescent="0.2">
      <c r="A121" s="5" t="s">
        <v>752</v>
      </c>
      <c r="B121" s="16">
        <v>1090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48</v>
      </c>
      <c r="F2" s="6"/>
    </row>
    <row r="3" spans="1:6" x14ac:dyDescent="0.2">
      <c r="A3">
        <v>1</v>
      </c>
      <c r="B3">
        <f>COUNTIF('Search Audit'!I:I,1)</f>
        <v>70</v>
      </c>
    </row>
    <row r="4" spans="1:6" x14ac:dyDescent="0.2">
      <c r="A4">
        <v>2</v>
      </c>
      <c r="B4">
        <f>COUNTIF('Search Audit'!I:I,2)</f>
        <v>78</v>
      </c>
    </row>
    <row r="5" spans="1:6" x14ac:dyDescent="0.2">
      <c r="A5">
        <v>3</v>
      </c>
      <c r="B5">
        <f>COUNTIF('Search Audit'!I:I,3)</f>
        <v>94</v>
      </c>
    </row>
    <row r="6" spans="1:6" x14ac:dyDescent="0.2">
      <c r="A6">
        <v>4</v>
      </c>
      <c r="B6">
        <f>COUNTIF('Search Audit'!I:I,4)</f>
        <v>78</v>
      </c>
    </row>
    <row r="7" spans="1:6" x14ac:dyDescent="0.2">
      <c r="A7">
        <v>5</v>
      </c>
      <c r="B7">
        <f>COUNTIF('Search Audit'!I:I,5)</f>
        <v>77</v>
      </c>
    </row>
    <row r="8" spans="1:6" x14ac:dyDescent="0.2">
      <c r="A8">
        <v>6</v>
      </c>
      <c r="B8">
        <f>COUNTIF('Search Audit'!I:I,6)</f>
        <v>70</v>
      </c>
    </row>
    <row r="9" spans="1:6" x14ac:dyDescent="0.2">
      <c r="A9">
        <v>7</v>
      </c>
      <c r="B9">
        <f>COUNTIF('Search Audit'!I:I,7)</f>
        <v>75</v>
      </c>
    </row>
    <row r="10" spans="1:6" x14ac:dyDescent="0.2">
      <c r="A10">
        <v>8</v>
      </c>
      <c r="B10">
        <f>COUNTIF('Search Audit'!I:I,8)</f>
        <v>69</v>
      </c>
    </row>
    <row r="11" spans="1:6" x14ac:dyDescent="0.2">
      <c r="A11">
        <v>9</v>
      </c>
      <c r="B11">
        <f>COUNTIF('Search Audit'!I:I,9)</f>
        <v>55</v>
      </c>
    </row>
    <row r="12" spans="1:6" x14ac:dyDescent="0.2">
      <c r="A12">
        <v>10</v>
      </c>
      <c r="B12">
        <f>COUNTIF('Search Audit'!I:I,10)</f>
        <v>63</v>
      </c>
    </row>
    <row r="13" spans="1:6" x14ac:dyDescent="0.2">
      <c r="A13">
        <v>11</v>
      </c>
      <c r="B13">
        <f>COUNTIF('Search Audit'!I:I,11)</f>
        <v>33</v>
      </c>
    </row>
    <row r="14" spans="1:6" x14ac:dyDescent="0.2">
      <c r="A14">
        <v>12</v>
      </c>
      <c r="B14">
        <f>COUNTIF('Search Audit'!I:I,12)</f>
        <v>46</v>
      </c>
    </row>
    <row r="15" spans="1:6" x14ac:dyDescent="0.2">
      <c r="A15">
        <v>13</v>
      </c>
      <c r="B15">
        <f>COUNTIF('Search Audit'!I:I,13)</f>
        <v>36</v>
      </c>
    </row>
    <row r="16" spans="1:6" x14ac:dyDescent="0.2">
      <c r="A16">
        <v>14</v>
      </c>
      <c r="B16">
        <f>COUNTIF('Search Audit'!I:I,14)</f>
        <v>34</v>
      </c>
    </row>
    <row r="17" spans="1:2" x14ac:dyDescent="0.2">
      <c r="A17">
        <v>15</v>
      </c>
      <c r="B17">
        <f>COUNTIF('Search Audit'!I:I,15)</f>
        <v>39</v>
      </c>
    </row>
    <row r="18" spans="1:2" x14ac:dyDescent="0.2">
      <c r="A18">
        <v>16</v>
      </c>
      <c r="B18">
        <f>COUNTIF('Search Audit'!I:I,16)</f>
        <v>22</v>
      </c>
    </row>
    <row r="19" spans="1:2" x14ac:dyDescent="0.2">
      <c r="A19">
        <v>17</v>
      </c>
      <c r="B19">
        <f>COUNTIF('Search Audit'!I:I,17)</f>
        <v>18</v>
      </c>
    </row>
    <row r="20" spans="1:2" x14ac:dyDescent="0.2">
      <c r="A20">
        <v>18</v>
      </c>
      <c r="B20">
        <f>COUNTIF('Search Audit'!I:I,18)</f>
        <v>15</v>
      </c>
    </row>
    <row r="21" spans="1:2" x14ac:dyDescent="0.2">
      <c r="A21">
        <v>19</v>
      </c>
      <c r="B21">
        <f>COUNTIF('Search Audit'!I:I,19)</f>
        <v>15</v>
      </c>
    </row>
    <row r="22" spans="1:2" x14ac:dyDescent="0.2">
      <c r="A22">
        <v>20</v>
      </c>
      <c r="B22">
        <f>COUNTIF('Search Audit'!I:I,20)</f>
        <v>11</v>
      </c>
    </row>
    <row r="23" spans="1:2" x14ac:dyDescent="0.2">
      <c r="A23">
        <v>21</v>
      </c>
      <c r="B23">
        <f>COUNTIF('Search Audit'!I:I,21)</f>
        <v>10</v>
      </c>
    </row>
    <row r="24" spans="1:2" x14ac:dyDescent="0.2">
      <c r="A24">
        <v>22</v>
      </c>
      <c r="B24">
        <f>COUNTIF('Search Audit'!I:I,22)</f>
        <v>10</v>
      </c>
    </row>
    <row r="25" spans="1:2" x14ac:dyDescent="0.2">
      <c r="A25">
        <v>23</v>
      </c>
      <c r="B25">
        <f>COUNTIF('Search Audit'!I:I,23)</f>
        <v>24</v>
      </c>
    </row>
    <row r="28" spans="1:2" x14ac:dyDescent="0.2">
      <c r="A28" s="8" t="s">
        <v>1012</v>
      </c>
      <c r="B28">
        <f>SUM(B2:B25)</f>
        <v>1090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204</v>
      </c>
      <c r="C4">
        <f>COUNTIFS('Search Audit'!D:D,A4,'Search Audit'!E:E,"")</f>
        <v>125</v>
      </c>
      <c r="D4">
        <f t="shared" ref="D4:D34" si="0">B4-C4</f>
        <v>79</v>
      </c>
      <c r="E4" s="10">
        <f t="shared" ref="E4:E35" si="1">IF(B4=0,0,C4/B4)</f>
        <v>0.61274509803921573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202</v>
      </c>
      <c r="C5">
        <f>COUNTIFS('Search Audit'!D:D,A5,'Search Audit'!E:E,"")</f>
        <v>104</v>
      </c>
      <c r="D5">
        <f t="shared" si="0"/>
        <v>98</v>
      </c>
      <c r="E5" s="10">
        <f t="shared" si="1"/>
        <v>0.51485148514851486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94</v>
      </c>
      <c r="C6">
        <f>COUNTIFS('Search Audit'!D:D,A6,'Search Audit'!E:E,"")</f>
        <v>79</v>
      </c>
      <c r="D6">
        <f t="shared" si="0"/>
        <v>15</v>
      </c>
      <c r="E6" s="10">
        <f t="shared" si="1"/>
        <v>0.84042553191489366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110</v>
      </c>
      <c r="C8">
        <f>COUNTIFS('Search Audit'!D:D,A8,'Search Audit'!E:E,"")</f>
        <v>65</v>
      </c>
      <c r="D8">
        <f t="shared" si="0"/>
        <v>45</v>
      </c>
      <c r="E8" s="10">
        <f t="shared" si="1"/>
        <v>0.59090909090909094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54</v>
      </c>
      <c r="C9">
        <f>COUNTIFS('Search Audit'!D:D,A9,'Search Audit'!E:E,"")</f>
        <v>29</v>
      </c>
      <c r="D9">
        <f t="shared" si="0"/>
        <v>25</v>
      </c>
      <c r="E9" s="10">
        <f t="shared" si="1"/>
        <v>0.53703703703703709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39</v>
      </c>
      <c r="C11">
        <f>COUNTIFS('Search Audit'!D:D,A11,'Search Audit'!E:E,"")</f>
        <v>20</v>
      </c>
      <c r="D11">
        <f t="shared" si="0"/>
        <v>19</v>
      </c>
      <c r="E11" s="10">
        <f t="shared" si="1"/>
        <v>0.51282051282051277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39</v>
      </c>
      <c r="C12">
        <f>COUNTIFS('Search Audit'!D:D,A12,'Search Audit'!E:E,"")</f>
        <v>5</v>
      </c>
      <c r="D12">
        <f t="shared" si="0"/>
        <v>34</v>
      </c>
      <c r="E12" s="10">
        <f t="shared" si="1"/>
        <v>0.12820512820512819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36</v>
      </c>
      <c r="C13">
        <f>COUNTIFS('Search Audit'!D:D,A13,'Search Audit'!E:E,"")</f>
        <v>28</v>
      </c>
      <c r="D13">
        <f t="shared" si="0"/>
        <v>8</v>
      </c>
      <c r="E13" s="10">
        <f t="shared" si="1"/>
        <v>0.77777777777777779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61</v>
      </c>
      <c r="C14">
        <f>COUNTIFS('Search Audit'!D:D,A14,'Search Audit'!E:E,"")</f>
        <v>37</v>
      </c>
      <c r="D14">
        <f t="shared" si="0"/>
        <v>24</v>
      </c>
      <c r="E14" s="10">
        <f t="shared" si="1"/>
        <v>0.60655737704918034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29</v>
      </c>
      <c r="C15">
        <f>COUNTIFS('Search Audit'!D:D,A15,'Search Audit'!E:E,"")</f>
        <v>20</v>
      </c>
      <c r="D15">
        <f t="shared" si="0"/>
        <v>9</v>
      </c>
      <c r="E15" s="10">
        <f t="shared" si="1"/>
        <v>0.68965517241379315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26</v>
      </c>
      <c r="C16">
        <f>COUNTIFS('Search Audit'!D:D,A16,'Search Audit'!E:E,"")</f>
        <v>5</v>
      </c>
      <c r="D16">
        <f t="shared" si="0"/>
        <v>21</v>
      </c>
      <c r="E16" s="10">
        <f t="shared" si="1"/>
        <v>0.19230769230769232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3</v>
      </c>
      <c r="C21">
        <f>COUNTIFS('Search Audit'!D:D,A21,'Search Audit'!E:E,"")</f>
        <v>3</v>
      </c>
      <c r="D21">
        <f t="shared" si="0"/>
        <v>0</v>
      </c>
      <c r="E21" s="10">
        <f t="shared" si="1"/>
        <v>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5</v>
      </c>
      <c r="C25">
        <f>COUNTIFS('Search Audit'!D:D,A25,'Search Audit'!E:E,"")</f>
        <v>1</v>
      </c>
      <c r="D25">
        <f t="shared" si="0"/>
        <v>4</v>
      </c>
      <c r="E25" s="10">
        <f t="shared" si="1"/>
        <v>0.2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2</v>
      </c>
      <c r="C29">
        <f>COUNTIFS('Search Audit'!D:D,A29,'Search Audit'!E:E,"")</f>
        <v>2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1084</v>
      </c>
      <c r="C35" s="13">
        <f>SUM(C4:C34)</f>
        <v>590</v>
      </c>
      <c r="D35" s="13">
        <f>SUM(D4:D34)</f>
        <v>494</v>
      </c>
      <c r="E35" s="14">
        <f t="shared" si="1"/>
        <v>0.544280442804428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79</v>
      </c>
      <c r="C40">
        <f t="shared" ref="C40:C49" si="3">C4</f>
        <v>125</v>
      </c>
    </row>
    <row r="41" spans="1:7" x14ac:dyDescent="0.2">
      <c r="A41" t="s">
        <v>1049</v>
      </c>
      <c r="B41">
        <f t="shared" si="2"/>
        <v>98</v>
      </c>
      <c r="C41">
        <f t="shared" si="3"/>
        <v>104</v>
      </c>
    </row>
    <row r="42" spans="1:7" x14ac:dyDescent="0.2">
      <c r="A42" t="s">
        <v>1050</v>
      </c>
      <c r="B42">
        <f t="shared" si="2"/>
        <v>15</v>
      </c>
      <c r="C42">
        <f t="shared" si="3"/>
        <v>79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45</v>
      </c>
      <c r="C44">
        <f t="shared" si="3"/>
        <v>65</v>
      </c>
    </row>
    <row r="45" spans="1:7" x14ac:dyDescent="0.2">
      <c r="A45" t="s">
        <v>1053</v>
      </c>
      <c r="B45">
        <f t="shared" si="2"/>
        <v>25</v>
      </c>
      <c r="C45">
        <f t="shared" si="3"/>
        <v>29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19</v>
      </c>
      <c r="C47">
        <f t="shared" si="3"/>
        <v>20</v>
      </c>
    </row>
    <row r="48" spans="1:7" x14ac:dyDescent="0.2">
      <c r="A48" t="s">
        <v>1056</v>
      </c>
      <c r="B48">
        <f t="shared" si="2"/>
        <v>34</v>
      </c>
      <c r="C48">
        <f t="shared" si="3"/>
        <v>5</v>
      </c>
    </row>
    <row r="49" spans="1:3" x14ac:dyDescent="0.2">
      <c r="A49" t="s">
        <v>1057</v>
      </c>
      <c r="B49">
        <f t="shared" si="2"/>
        <v>8</v>
      </c>
      <c r="C49">
        <f t="shared" si="3"/>
        <v>28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0.61274509803921573</v>
      </c>
    </row>
    <row r="55" spans="1:3" x14ac:dyDescent="0.2">
      <c r="A55">
        <v>3</v>
      </c>
      <c r="B55" s="10">
        <f t="shared" si="4"/>
        <v>0.51485148514851486</v>
      </c>
    </row>
    <row r="56" spans="1:3" x14ac:dyDescent="0.2">
      <c r="A56">
        <v>36</v>
      </c>
      <c r="B56" s="10">
        <f t="shared" si="4"/>
        <v>0.84042553191489366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0.59090909090909094</v>
      </c>
    </row>
    <row r="59" spans="1:3" x14ac:dyDescent="0.2">
      <c r="A59">
        <v>1</v>
      </c>
      <c r="B59" s="10">
        <f t="shared" si="4"/>
        <v>0.53703703703703709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0.51282051282051277</v>
      </c>
    </row>
    <row r="62" spans="1:3" x14ac:dyDescent="0.2">
      <c r="A62">
        <v>432</v>
      </c>
      <c r="B62" s="10">
        <f t="shared" si="4"/>
        <v>0.12820512820512819</v>
      </c>
    </row>
    <row r="63" spans="1:3" x14ac:dyDescent="0.2">
      <c r="A63">
        <v>35</v>
      </c>
      <c r="B63" s="10">
        <f t="shared" si="4"/>
        <v>0.77777777777777779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09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29" sqref="L29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6" t="s">
        <v>9</v>
      </c>
      <c r="B2" s="16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6" t="s">
        <v>12</v>
      </c>
      <c r="B3" s="16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6" t="s">
        <v>13</v>
      </c>
      <c r="B4" s="16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6" t="s">
        <v>14</v>
      </c>
      <c r="B5" s="16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6" t="s">
        <v>16</v>
      </c>
      <c r="B6" s="16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6" t="s">
        <v>18</v>
      </c>
      <c r="B7" s="16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6" t="s">
        <v>19</v>
      </c>
      <c r="B8" s="16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6" t="s">
        <v>20</v>
      </c>
      <c r="B9" s="16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6" t="s">
        <v>21</v>
      </c>
      <c r="B10" s="16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6" t="s">
        <v>22</v>
      </c>
      <c r="B11" s="16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6" t="s">
        <v>23</v>
      </c>
      <c r="B12" s="16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6" t="s">
        <v>24</v>
      </c>
      <c r="B13" s="16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6" t="s">
        <v>25</v>
      </c>
      <c r="B14" s="16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6" t="s">
        <v>26</v>
      </c>
      <c r="B15" s="16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6" t="s">
        <v>27</v>
      </c>
      <c r="B16" s="16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6" t="s">
        <v>29</v>
      </c>
      <c r="B17" s="16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6" t="s">
        <v>30</v>
      </c>
      <c r="B18" s="16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6" t="s">
        <v>32</v>
      </c>
      <c r="B19" s="16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6" t="s">
        <v>33</v>
      </c>
      <c r="B20" s="16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6" t="s">
        <v>35</v>
      </c>
      <c r="B21" s="16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6" t="s">
        <v>36</v>
      </c>
      <c r="B22" s="16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6" t="s">
        <v>37</v>
      </c>
      <c r="B23" s="16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6" t="s">
        <v>38</v>
      </c>
      <c r="B24" s="16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6" t="s">
        <v>39</v>
      </c>
      <c r="B25" s="16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6" t="s">
        <v>40</v>
      </c>
      <c r="B26" s="16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6" t="s">
        <v>41</v>
      </c>
      <c r="B27" s="16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6" t="s">
        <v>43</v>
      </c>
      <c r="B28" s="16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6" t="s">
        <v>44</v>
      </c>
      <c r="B29" s="16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6" t="s">
        <v>46</v>
      </c>
      <c r="B30" s="16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6" t="s">
        <v>47</v>
      </c>
      <c r="B31" s="16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6" t="s">
        <v>48</v>
      </c>
      <c r="B32" s="16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6" t="s">
        <v>49</v>
      </c>
      <c r="B33" s="16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6" t="s">
        <v>51</v>
      </c>
      <c r="B34" s="16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6" t="s">
        <v>52</v>
      </c>
      <c r="B35" s="16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6" t="s">
        <v>53</v>
      </c>
      <c r="B36" s="16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6" t="s">
        <v>54</v>
      </c>
      <c r="B37" s="16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6" t="s">
        <v>55</v>
      </c>
      <c r="B38" s="16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6" t="s">
        <v>56</v>
      </c>
      <c r="B39" s="16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6" t="s">
        <v>57</v>
      </c>
      <c r="B40" s="16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6" t="s">
        <v>58</v>
      </c>
      <c r="B41" s="16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6" t="s">
        <v>59</v>
      </c>
      <c r="B42" s="16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6" t="s">
        <v>61</v>
      </c>
      <c r="B43" s="16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6" t="s">
        <v>62</v>
      </c>
      <c r="B44" s="16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6" t="s">
        <v>64</v>
      </c>
      <c r="B45" s="16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6" t="s">
        <v>65</v>
      </c>
      <c r="B46" s="16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6" t="s">
        <v>66</v>
      </c>
      <c r="B47" s="16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6" t="s">
        <v>67</v>
      </c>
      <c r="B48" s="16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6" t="s">
        <v>69</v>
      </c>
      <c r="B49" s="16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6" t="s">
        <v>71</v>
      </c>
      <c r="B50" s="16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6" t="s">
        <v>72</v>
      </c>
      <c r="B51" s="16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6" t="s">
        <v>73</v>
      </c>
      <c r="B52" s="16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6" t="s">
        <v>74</v>
      </c>
      <c r="B53" s="16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6" t="s">
        <v>75</v>
      </c>
      <c r="B54" s="16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6" t="s">
        <v>76</v>
      </c>
      <c r="B55" s="16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6" t="s">
        <v>77</v>
      </c>
      <c r="B56" s="16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6" t="s">
        <v>78</v>
      </c>
      <c r="B57" s="16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6" t="s">
        <v>80</v>
      </c>
      <c r="B58" s="16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6" t="s">
        <v>82</v>
      </c>
      <c r="B59" s="16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6" t="s">
        <v>84</v>
      </c>
      <c r="B60" s="16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6" t="s">
        <v>85</v>
      </c>
      <c r="B61" s="16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6" t="s">
        <v>87</v>
      </c>
      <c r="B62" s="16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6" t="s">
        <v>88</v>
      </c>
      <c r="B63" s="16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6" t="s">
        <v>90</v>
      </c>
      <c r="B64" s="16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6" t="s">
        <v>91</v>
      </c>
      <c r="B65" s="16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6" t="s">
        <v>92</v>
      </c>
      <c r="B66" s="16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6" t="s">
        <v>93</v>
      </c>
      <c r="B67" s="16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6" t="s">
        <v>94</v>
      </c>
      <c r="B68" s="16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6" t="s">
        <v>96</v>
      </c>
      <c r="B69" s="16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6" t="s">
        <v>97</v>
      </c>
      <c r="B70" s="16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6" t="s">
        <v>98</v>
      </c>
      <c r="B71" s="16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6" t="s">
        <v>99</v>
      </c>
      <c r="B72" s="16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6" t="s">
        <v>101</v>
      </c>
      <c r="B73" s="16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6" t="s">
        <v>102</v>
      </c>
      <c r="B74" s="16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6" t="s">
        <v>103</v>
      </c>
      <c r="B75" s="16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6" t="s">
        <v>105</v>
      </c>
      <c r="B76" s="16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6" t="s">
        <v>106</v>
      </c>
      <c r="B77" s="16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6" t="s">
        <v>107</v>
      </c>
      <c r="B78" s="16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6" t="s">
        <v>109</v>
      </c>
      <c r="B79" s="16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6" t="s">
        <v>110</v>
      </c>
      <c r="B80" s="16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6" t="s">
        <v>111</v>
      </c>
      <c r="B81" s="16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6" t="s">
        <v>113</v>
      </c>
      <c r="B82" s="16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6" t="s">
        <v>114</v>
      </c>
      <c r="B83" s="16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6" t="s">
        <v>116</v>
      </c>
      <c r="B84" s="16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6" t="s">
        <v>117</v>
      </c>
      <c r="B85" s="16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6" t="s">
        <v>118</v>
      </c>
      <c r="B86" s="16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6" t="s">
        <v>119</v>
      </c>
      <c r="B87" s="16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6" t="s">
        <v>122</v>
      </c>
      <c r="B88" s="16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6" t="s">
        <v>123</v>
      </c>
      <c r="B89" s="16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6" t="s">
        <v>124</v>
      </c>
      <c r="B90" s="16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6" t="s">
        <v>126</v>
      </c>
      <c r="B91" s="16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6" t="s">
        <v>127</v>
      </c>
      <c r="B92" s="16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6" t="s">
        <v>129</v>
      </c>
      <c r="B93" s="16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6" t="s">
        <v>130</v>
      </c>
      <c r="B94" s="16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6" t="s">
        <v>131</v>
      </c>
      <c r="B95" s="16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6" t="s">
        <v>132</v>
      </c>
      <c r="B96" s="16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6" t="s">
        <v>133</v>
      </c>
      <c r="B97" s="16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6" t="s">
        <v>134</v>
      </c>
      <c r="B98" s="16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6" t="s">
        <v>136</v>
      </c>
      <c r="B99" s="16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6" t="s">
        <v>138</v>
      </c>
      <c r="B100" s="16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6" t="s">
        <v>139</v>
      </c>
      <c r="B101" s="16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6" t="s">
        <v>141</v>
      </c>
      <c r="B102" s="16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6" t="s">
        <v>142</v>
      </c>
      <c r="B103" s="16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6" t="s">
        <v>143</v>
      </c>
      <c r="B104" s="16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6" t="s">
        <v>144</v>
      </c>
      <c r="B105" s="16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6" t="s">
        <v>145</v>
      </c>
      <c r="B106" s="16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6" t="s">
        <v>146</v>
      </c>
      <c r="B107" s="16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6" t="s">
        <v>148</v>
      </c>
      <c r="B108" s="16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6" t="s">
        <v>149</v>
      </c>
      <c r="B109" s="16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6" t="s">
        <v>151</v>
      </c>
      <c r="B110" s="16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6" t="s">
        <v>153</v>
      </c>
      <c r="B111" s="16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6" t="s">
        <v>154</v>
      </c>
      <c r="B112" s="16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6" t="s">
        <v>155</v>
      </c>
      <c r="B113" s="16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6" t="s">
        <v>156</v>
      </c>
      <c r="B114" s="16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6" t="s">
        <v>157</v>
      </c>
      <c r="B115" s="16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6" t="s">
        <v>158</v>
      </c>
      <c r="B116" s="16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6" t="s">
        <v>159</v>
      </c>
      <c r="B117" s="16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6" t="s">
        <v>160</v>
      </c>
      <c r="B118" s="16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6" t="s">
        <v>161</v>
      </c>
      <c r="B119" s="16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6" t="s">
        <v>162</v>
      </c>
      <c r="B120" s="16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6" t="s">
        <v>163</v>
      </c>
      <c r="B121" s="16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6" t="s">
        <v>164</v>
      </c>
      <c r="B122" s="16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6" t="s">
        <v>166</v>
      </c>
      <c r="B123" s="16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6" t="s">
        <v>167</v>
      </c>
      <c r="B124" s="16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6" t="s">
        <v>169</v>
      </c>
      <c r="B125" s="16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6" t="s">
        <v>170</v>
      </c>
      <c r="B126" s="16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6" t="s">
        <v>171</v>
      </c>
      <c r="B127" s="16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6" t="s">
        <v>172</v>
      </c>
      <c r="B128" s="16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6" t="s">
        <v>173</v>
      </c>
      <c r="B129" s="16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6" t="s">
        <v>174</v>
      </c>
      <c r="B130" s="16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6" t="s">
        <v>176</v>
      </c>
      <c r="B131" s="16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6" t="s">
        <v>177</v>
      </c>
      <c r="B132" s="16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6" t="s">
        <v>178</v>
      </c>
      <c r="B133" s="16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6" t="s">
        <v>179</v>
      </c>
      <c r="B134" s="16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6" t="s">
        <v>180</v>
      </c>
      <c r="B135" s="16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6" t="s">
        <v>181</v>
      </c>
      <c r="B136" s="16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6" t="s">
        <v>182</v>
      </c>
      <c r="B137" s="16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6" t="s">
        <v>183</v>
      </c>
      <c r="B138" s="16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6" t="s">
        <v>184</v>
      </c>
      <c r="B139" s="16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6" t="s">
        <v>185</v>
      </c>
      <c r="B140" s="16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6" t="s">
        <v>186</v>
      </c>
      <c r="B141" s="16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6" t="s">
        <v>187</v>
      </c>
      <c r="B142" s="16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6" t="s">
        <v>189</v>
      </c>
      <c r="B143" s="16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6" t="s">
        <v>191</v>
      </c>
      <c r="B144" s="16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6" t="s">
        <v>192</v>
      </c>
      <c r="B145" s="16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6" t="s">
        <v>193</v>
      </c>
      <c r="B146" s="16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6" t="s">
        <v>194</v>
      </c>
      <c r="B147" s="16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6" t="s">
        <v>195</v>
      </c>
      <c r="B148" s="16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6" t="s">
        <v>196</v>
      </c>
      <c r="B149" s="16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6" t="s">
        <v>197</v>
      </c>
      <c r="B150" s="16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6" t="s">
        <v>198</v>
      </c>
      <c r="B151" s="16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6" t="s">
        <v>199</v>
      </c>
      <c r="B152" s="16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6" t="s">
        <v>200</v>
      </c>
      <c r="B153" s="16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6" t="s">
        <v>201</v>
      </c>
      <c r="B154" s="16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6" t="s">
        <v>202</v>
      </c>
      <c r="B155" s="16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6" t="s">
        <v>203</v>
      </c>
      <c r="B156" s="16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6" t="s">
        <v>788</v>
      </c>
      <c r="B157" s="16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6" t="s">
        <v>204</v>
      </c>
      <c r="B158" s="16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6" t="s">
        <v>205</v>
      </c>
      <c r="B159" s="16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6" t="s">
        <v>206</v>
      </c>
      <c r="B160" s="16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6" t="s">
        <v>207</v>
      </c>
      <c r="B161" s="16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6" t="s">
        <v>208</v>
      </c>
      <c r="B162" s="16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6" t="s">
        <v>209</v>
      </c>
      <c r="B163" s="16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6" t="s">
        <v>210</v>
      </c>
      <c r="B164" s="16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6" t="s">
        <v>789</v>
      </c>
      <c r="B165" s="16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6" t="s">
        <v>211</v>
      </c>
      <c r="B166" s="16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6" t="s">
        <v>212</v>
      </c>
      <c r="B167" s="16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6" t="s">
        <v>213</v>
      </c>
      <c r="B168" s="16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6" t="s">
        <v>214</v>
      </c>
      <c r="B169" s="16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6" t="s">
        <v>215</v>
      </c>
      <c r="B170" s="16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6" t="s">
        <v>216</v>
      </c>
      <c r="B171" s="16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6" t="s">
        <v>217</v>
      </c>
      <c r="B172" s="16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6" t="s">
        <v>218</v>
      </c>
      <c r="B173" s="16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6" t="s">
        <v>219</v>
      </c>
      <c r="B174" s="16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6" t="s">
        <v>220</v>
      </c>
      <c r="B175" s="16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6" t="s">
        <v>221</v>
      </c>
      <c r="B176" s="16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6" t="s">
        <v>222</v>
      </c>
      <c r="B177" s="16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6" t="s">
        <v>223</v>
      </c>
      <c r="B178" s="16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6" t="s">
        <v>224</v>
      </c>
      <c r="B179" s="16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6" t="s">
        <v>225</v>
      </c>
      <c r="B180" s="16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6" t="s">
        <v>226</v>
      </c>
      <c r="B181" s="16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6" t="s">
        <v>227</v>
      </c>
      <c r="B182" s="16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6" t="s">
        <v>228</v>
      </c>
      <c r="B183" s="16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6" t="s">
        <v>229</v>
      </c>
      <c r="B184" s="16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6" t="s">
        <v>230</v>
      </c>
      <c r="B185" s="16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6" t="s">
        <v>231</v>
      </c>
      <c r="B186" s="16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6" t="s">
        <v>232</v>
      </c>
      <c r="B187" s="16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6" t="s">
        <v>233</v>
      </c>
      <c r="B188" s="16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6" t="s">
        <v>234</v>
      </c>
      <c r="B189" s="16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6" t="s">
        <v>235</v>
      </c>
      <c r="B190" s="16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6" t="s">
        <v>236</v>
      </c>
      <c r="B191" s="16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6" t="s">
        <v>237</v>
      </c>
      <c r="B192" s="16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6" t="s">
        <v>238</v>
      </c>
      <c r="B193" s="16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6" t="s">
        <v>239</v>
      </c>
      <c r="B194" s="16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6" t="s">
        <v>240</v>
      </c>
      <c r="B195" s="16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6" t="s">
        <v>242</v>
      </c>
      <c r="B196" s="16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6" t="s">
        <v>243</v>
      </c>
      <c r="B197" s="16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6" t="s">
        <v>244</v>
      </c>
      <c r="B198" s="16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6" t="s">
        <v>245</v>
      </c>
      <c r="B199" s="16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6" t="s">
        <v>246</v>
      </c>
      <c r="B200" s="16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6" t="s">
        <v>248</v>
      </c>
      <c r="B201" s="16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6" t="s">
        <v>249</v>
      </c>
      <c r="B202" s="16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6" t="s">
        <v>250</v>
      </c>
      <c r="B203" s="16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6" t="s">
        <v>251</v>
      </c>
      <c r="B204" s="16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6" t="s">
        <v>253</v>
      </c>
      <c r="B205" s="16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6" t="s">
        <v>254</v>
      </c>
      <c r="B206" s="16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6" t="s">
        <v>255</v>
      </c>
      <c r="B207" s="16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6" t="s">
        <v>256</v>
      </c>
      <c r="B208" s="16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6" t="s">
        <v>258</v>
      </c>
      <c r="B209" s="16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6" t="s">
        <v>259</v>
      </c>
      <c r="B210" s="16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6" t="s">
        <v>261</v>
      </c>
      <c r="B211" s="16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6" t="s">
        <v>262</v>
      </c>
      <c r="B212" s="16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6" t="s">
        <v>263</v>
      </c>
      <c r="B213" s="16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6" t="s">
        <v>264</v>
      </c>
      <c r="B214" s="16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6" t="s">
        <v>265</v>
      </c>
      <c r="B215" s="16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6" t="s">
        <v>266</v>
      </c>
      <c r="B216" s="16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6" t="s">
        <v>268</v>
      </c>
      <c r="B217" s="16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6" t="s">
        <v>269</v>
      </c>
      <c r="B218" s="16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6" t="s">
        <v>270</v>
      </c>
      <c r="B219" s="16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6" t="s">
        <v>271</v>
      </c>
      <c r="B220" s="16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6" t="s">
        <v>272</v>
      </c>
      <c r="B221" s="16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6" t="s">
        <v>273</v>
      </c>
      <c r="B222" s="16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6" t="s">
        <v>274</v>
      </c>
      <c r="B223" s="16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6" t="s">
        <v>854</v>
      </c>
      <c r="B224" s="16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6" t="s">
        <v>276</v>
      </c>
      <c r="B225" s="16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6" t="s">
        <v>277</v>
      </c>
      <c r="B226" s="16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6" t="s">
        <v>278</v>
      </c>
      <c r="B227" s="16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6" t="s">
        <v>279</v>
      </c>
      <c r="B228" s="16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6" t="s">
        <v>281</v>
      </c>
      <c r="B229" s="16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6" t="s">
        <v>282</v>
      </c>
      <c r="B230" s="16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6" t="s">
        <v>283</v>
      </c>
      <c r="B231" s="16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6" t="s">
        <v>284</v>
      </c>
      <c r="B232" s="16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6" t="s">
        <v>285</v>
      </c>
      <c r="B233" s="16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6" t="s">
        <v>286</v>
      </c>
      <c r="B234" s="16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6" t="s">
        <v>287</v>
      </c>
      <c r="B235" s="16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6" t="s">
        <v>288</v>
      </c>
      <c r="B236" s="16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6" t="s">
        <v>290</v>
      </c>
      <c r="B237" s="16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6" t="s">
        <v>291</v>
      </c>
      <c r="B238" s="16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6" t="s">
        <v>292</v>
      </c>
      <c r="B239" s="16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6" t="s">
        <v>293</v>
      </c>
      <c r="B240" s="16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6" t="s">
        <v>294</v>
      </c>
      <c r="B241" s="16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6" t="s">
        <v>295</v>
      </c>
      <c r="B242" s="16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6" t="s">
        <v>296</v>
      </c>
      <c r="B243" s="16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6" t="s">
        <v>298</v>
      </c>
      <c r="B244" s="16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6" t="s">
        <v>299</v>
      </c>
      <c r="B245" s="16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6" t="s">
        <v>300</v>
      </c>
      <c r="B246" s="16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6" t="s">
        <v>302</v>
      </c>
      <c r="B247" s="16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6" t="s">
        <v>303</v>
      </c>
      <c r="B248" s="16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6" t="s">
        <v>304</v>
      </c>
      <c r="B249" s="16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6" t="s">
        <v>306</v>
      </c>
      <c r="B250" s="16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6" t="s">
        <v>307</v>
      </c>
      <c r="B251" s="16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6" t="s">
        <v>308</v>
      </c>
      <c r="B252" s="16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6" t="s">
        <v>309</v>
      </c>
      <c r="B253" s="16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6" t="s">
        <v>310</v>
      </c>
      <c r="B254" s="16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6" t="s">
        <v>311</v>
      </c>
      <c r="B255" s="16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6" t="s">
        <v>312</v>
      </c>
      <c r="B256" s="16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6" t="s">
        <v>313</v>
      </c>
      <c r="B257" s="16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6" t="s">
        <v>314</v>
      </c>
      <c r="B258" s="16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6" t="s">
        <v>315</v>
      </c>
      <c r="B259" s="16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6" t="s">
        <v>316</v>
      </c>
      <c r="B260" s="16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6" t="s">
        <v>317</v>
      </c>
      <c r="B261" s="16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6" t="s">
        <v>318</v>
      </c>
      <c r="B262" s="16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6" t="s">
        <v>319</v>
      </c>
      <c r="B263" s="16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6" t="s">
        <v>320</v>
      </c>
      <c r="B264" s="16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6" t="s">
        <v>321</v>
      </c>
      <c r="B265" s="16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6" t="s">
        <v>322</v>
      </c>
      <c r="B266" s="16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6" t="s">
        <v>324</v>
      </c>
      <c r="B267" s="16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6" t="s">
        <v>894</v>
      </c>
      <c r="B268" s="16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6" t="s">
        <v>326</v>
      </c>
      <c r="B269" s="16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6" t="s">
        <v>327</v>
      </c>
      <c r="B270" s="16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6" t="s">
        <v>328</v>
      </c>
      <c r="B271" s="16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6" t="s">
        <v>329</v>
      </c>
      <c r="B272" s="16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6" t="s">
        <v>330</v>
      </c>
      <c r="B273" s="16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6" t="s">
        <v>331</v>
      </c>
      <c r="B274" s="16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6" t="s">
        <v>332</v>
      </c>
      <c r="B275" s="16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6" t="s">
        <v>333</v>
      </c>
      <c r="B276" s="16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6" t="s">
        <v>334</v>
      </c>
      <c r="B277" s="16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6" t="s">
        <v>335</v>
      </c>
      <c r="B278" s="16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6" t="s">
        <v>337</v>
      </c>
      <c r="B279" s="16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6" t="s">
        <v>867</v>
      </c>
      <c r="B280" s="16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6" t="s">
        <v>868</v>
      </c>
      <c r="B281" s="16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6" t="s">
        <v>869</v>
      </c>
      <c r="B282" s="16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6" t="s">
        <v>338</v>
      </c>
      <c r="B283" s="16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6" t="s">
        <v>339</v>
      </c>
      <c r="B284" s="16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6" t="s">
        <v>340</v>
      </c>
      <c r="B285" s="16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6" t="s">
        <v>341</v>
      </c>
      <c r="B286" s="16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6" t="s">
        <v>342</v>
      </c>
      <c r="B287" s="16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6" t="s">
        <v>343</v>
      </c>
      <c r="B288" s="16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6" t="s">
        <v>344</v>
      </c>
      <c r="B289" s="16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6" t="s">
        <v>345</v>
      </c>
      <c r="B290" s="16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6" t="s">
        <v>346</v>
      </c>
      <c r="B291" s="16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6" t="s">
        <v>347</v>
      </c>
      <c r="B292" s="16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6" t="s">
        <v>348</v>
      </c>
      <c r="B293" s="16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6" t="s">
        <v>349</v>
      </c>
      <c r="B294" s="16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6" t="s">
        <v>350</v>
      </c>
      <c r="B295" s="16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6" t="s">
        <v>351</v>
      </c>
      <c r="B296" s="16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6" t="s">
        <v>352</v>
      </c>
      <c r="B297" s="16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6" t="s">
        <v>353</v>
      </c>
      <c r="B298" s="16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6" t="s">
        <v>354</v>
      </c>
      <c r="B299" s="16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6" t="s">
        <v>355</v>
      </c>
      <c r="B300" s="16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6" t="s">
        <v>356</v>
      </c>
      <c r="B301" s="16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6" t="s">
        <v>357</v>
      </c>
      <c r="B302" s="16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6" t="s">
        <v>358</v>
      </c>
      <c r="B303" s="16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6" t="s">
        <v>359</v>
      </c>
      <c r="B304" s="16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6" t="s">
        <v>361</v>
      </c>
      <c r="B305" s="16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6" t="s">
        <v>362</v>
      </c>
      <c r="B306" s="16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6" t="s">
        <v>363</v>
      </c>
      <c r="B307" s="16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6" t="s">
        <v>364</v>
      </c>
      <c r="B308" s="16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6" t="s">
        <v>365</v>
      </c>
      <c r="B309" s="16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6" t="s">
        <v>366</v>
      </c>
      <c r="B310" s="16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6" t="s">
        <v>943</v>
      </c>
      <c r="B311" s="16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6" t="s">
        <v>368</v>
      </c>
      <c r="B312" s="16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6" t="s">
        <v>369</v>
      </c>
      <c r="B313" s="16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6" t="s">
        <v>370</v>
      </c>
      <c r="B314" s="16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6" t="s">
        <v>371</v>
      </c>
      <c r="B315" s="16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6" t="s">
        <v>372</v>
      </c>
      <c r="B316" s="16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6" t="s">
        <v>373</v>
      </c>
      <c r="B317" s="16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6" t="s">
        <v>374</v>
      </c>
      <c r="B318" s="16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6" t="s">
        <v>375</v>
      </c>
      <c r="B319" s="16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6" t="s">
        <v>376</v>
      </c>
      <c r="B320" s="16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6" t="s">
        <v>377</v>
      </c>
      <c r="B321" s="16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6" t="s">
        <v>378</v>
      </c>
      <c r="B322" s="16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6" t="s">
        <v>379</v>
      </c>
      <c r="B323" s="16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6" t="s">
        <v>380</v>
      </c>
      <c r="B324" s="16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6" t="s">
        <v>790</v>
      </c>
      <c r="B325" s="16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6" t="s">
        <v>381</v>
      </c>
      <c r="B326" s="16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6" t="s">
        <v>382</v>
      </c>
      <c r="B327" s="16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6" t="s">
        <v>384</v>
      </c>
      <c r="B328" s="16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6" t="s">
        <v>386</v>
      </c>
      <c r="B329" s="16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6" t="s">
        <v>387</v>
      </c>
      <c r="B330" s="16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6" t="s">
        <v>388</v>
      </c>
      <c r="B331" s="16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6" t="s">
        <v>389</v>
      </c>
      <c r="B332" s="16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6" t="s">
        <v>390</v>
      </c>
      <c r="B333" s="16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6" t="s">
        <v>392</v>
      </c>
      <c r="B334" s="16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6" t="s">
        <v>393</v>
      </c>
      <c r="B335" s="16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6" t="s">
        <v>394</v>
      </c>
      <c r="B336" s="16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6" t="s">
        <v>395</v>
      </c>
      <c r="B337" s="16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6" t="s">
        <v>396</v>
      </c>
      <c r="B338" s="16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6" t="s">
        <v>398</v>
      </c>
      <c r="B339" s="16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6" t="s">
        <v>399</v>
      </c>
      <c r="B340" s="16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6" t="s">
        <v>400</v>
      </c>
      <c r="B341" s="16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6" t="s">
        <v>402</v>
      </c>
      <c r="B342" s="16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6" t="s">
        <v>403</v>
      </c>
      <c r="B343" s="16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6" t="s">
        <v>895</v>
      </c>
      <c r="B344" s="16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6" t="s">
        <v>896</v>
      </c>
      <c r="B345" s="16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6" t="s">
        <v>404</v>
      </c>
      <c r="B346" s="16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6" t="s">
        <v>405</v>
      </c>
      <c r="B347" s="16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6" t="s">
        <v>406</v>
      </c>
      <c r="B348" s="16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6" t="s">
        <v>407</v>
      </c>
      <c r="B349" s="16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6" t="s">
        <v>855</v>
      </c>
      <c r="B350" s="16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6" t="s">
        <v>856</v>
      </c>
      <c r="B351" s="16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6" t="s">
        <v>1152</v>
      </c>
      <c r="B352" s="16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s="16" t="s">
        <v>1153</v>
      </c>
      <c r="B353" s="16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s="16" t="s">
        <v>1154</v>
      </c>
      <c r="B354" s="16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s="16" t="s">
        <v>408</v>
      </c>
      <c r="B355" s="16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s="16" t="s">
        <v>944</v>
      </c>
      <c r="B356" s="16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s="16" t="s">
        <v>945</v>
      </c>
      <c r="B357" s="16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s="16" t="s">
        <v>410</v>
      </c>
      <c r="B358" s="16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s="16" t="s">
        <v>411</v>
      </c>
      <c r="B359" s="16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s="16" t="s">
        <v>1261</v>
      </c>
      <c r="B360" s="16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s="16" t="s">
        <v>830</v>
      </c>
      <c r="B361" s="16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s="16" t="s">
        <v>831</v>
      </c>
      <c r="B362" s="16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s="16" t="s">
        <v>412</v>
      </c>
      <c r="B363" s="16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s="16" t="s">
        <v>413</v>
      </c>
      <c r="B364" s="16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s="16" t="s">
        <v>414</v>
      </c>
      <c r="B365" s="16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s="16" t="s">
        <v>415</v>
      </c>
      <c r="B366" s="16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s="16" t="s">
        <v>416</v>
      </c>
      <c r="B367" s="16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s="16" t="s">
        <v>417</v>
      </c>
      <c r="B368" s="16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s="16" t="s">
        <v>418</v>
      </c>
      <c r="B369" s="16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s="16" t="s">
        <v>799</v>
      </c>
      <c r="B370" s="16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s="16" t="s">
        <v>800</v>
      </c>
      <c r="B371" s="16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s="16" t="s">
        <v>801</v>
      </c>
      <c r="B372" s="16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s="16" t="s">
        <v>802</v>
      </c>
      <c r="B373" s="16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s="16" t="s">
        <v>803</v>
      </c>
      <c r="B374" s="16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s="16" t="s">
        <v>419</v>
      </c>
      <c r="B375" s="16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s="16" t="s">
        <v>805</v>
      </c>
      <c r="B376" s="16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s="16" t="s">
        <v>420</v>
      </c>
      <c r="B377" s="16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s="16" t="s">
        <v>421</v>
      </c>
      <c r="B378" s="16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s="16" t="s">
        <v>422</v>
      </c>
      <c r="B379" s="16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s="16" t="s">
        <v>423</v>
      </c>
      <c r="B380" s="16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s="16" t="s">
        <v>424</v>
      </c>
      <c r="B381" s="16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s="16" t="s">
        <v>425</v>
      </c>
      <c r="B382" s="16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s="16" t="s">
        <v>1059</v>
      </c>
      <c r="B383" s="16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s="16" t="s">
        <v>426</v>
      </c>
      <c r="B384" s="16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s="16" t="s">
        <v>1060</v>
      </c>
      <c r="B385" s="16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s="16" t="s">
        <v>1061</v>
      </c>
      <c r="B386" s="16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s="16" t="s">
        <v>1062</v>
      </c>
      <c r="B387" s="16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s="16" t="s">
        <v>427</v>
      </c>
      <c r="B388" s="16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s="16" t="s">
        <v>1080</v>
      </c>
      <c r="B389" s="16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s="16" t="s">
        <v>428</v>
      </c>
      <c r="B390" s="16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s="16" t="s">
        <v>430</v>
      </c>
      <c r="B391" s="16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s="16" t="s">
        <v>431</v>
      </c>
      <c r="B392" s="16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s="16" t="s">
        <v>432</v>
      </c>
      <c r="B393" s="16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s="16" t="s">
        <v>433</v>
      </c>
      <c r="B394" s="16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s="16" t="s">
        <v>434</v>
      </c>
      <c r="B395" s="16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s="16" t="s">
        <v>435</v>
      </c>
      <c r="B396" s="16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s="16" t="s">
        <v>436</v>
      </c>
      <c r="B397" s="16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s="16" t="s">
        <v>437</v>
      </c>
      <c r="B398" s="16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s="16" t="s">
        <v>438</v>
      </c>
      <c r="B399" s="16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s="16" t="s">
        <v>439</v>
      </c>
      <c r="B400" s="16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s="16" t="s">
        <v>440</v>
      </c>
      <c r="B401" s="16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s="16" t="s">
        <v>441</v>
      </c>
      <c r="B402" s="16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s="16" t="s">
        <v>442</v>
      </c>
      <c r="B403" s="16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s="16" t="s">
        <v>443</v>
      </c>
      <c r="B404" s="16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s="16" t="s">
        <v>444</v>
      </c>
      <c r="B405" s="16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s="16" t="s">
        <v>445</v>
      </c>
      <c r="B406" s="16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s="16" t="s">
        <v>446</v>
      </c>
      <c r="B407" s="16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s="16" t="s">
        <v>447</v>
      </c>
      <c r="B408" s="16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s="16" t="s">
        <v>448</v>
      </c>
      <c r="B409" s="16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s="16" t="s">
        <v>449</v>
      </c>
      <c r="B410" s="16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s="16" t="s">
        <v>450</v>
      </c>
      <c r="B411" s="16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s="16" t="s">
        <v>451</v>
      </c>
      <c r="B412" s="16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s="16" t="s">
        <v>453</v>
      </c>
      <c r="B413" s="16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s="16" t="s">
        <v>454</v>
      </c>
      <c r="B414" s="16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s="16" t="s">
        <v>455</v>
      </c>
      <c r="B415" s="16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s="16" t="s">
        <v>791</v>
      </c>
      <c r="B416" s="16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s="16" t="s">
        <v>456</v>
      </c>
      <c r="B417" s="16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s="16" t="s">
        <v>457</v>
      </c>
      <c r="B418" s="16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s="16" t="s">
        <v>458</v>
      </c>
      <c r="B419" s="16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s="16" t="s">
        <v>459</v>
      </c>
      <c r="B420" s="16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s="16" t="s">
        <v>460</v>
      </c>
      <c r="B421" s="16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s="16" t="s">
        <v>461</v>
      </c>
      <c r="B422" s="16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s="16" t="s">
        <v>462</v>
      </c>
      <c r="B423" s="16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s="16" t="s">
        <v>463</v>
      </c>
      <c r="B424" s="16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s="16" t="s">
        <v>464</v>
      </c>
      <c r="B425" s="16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s="16" t="s">
        <v>465</v>
      </c>
      <c r="B426" s="16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s="16" t="s">
        <v>466</v>
      </c>
      <c r="B427" s="16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s="16" t="s">
        <v>468</v>
      </c>
      <c r="B428" s="16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s="16" t="s">
        <v>470</v>
      </c>
      <c r="B429" s="16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s="16" t="s">
        <v>471</v>
      </c>
      <c r="B430" s="16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s="16" t="s">
        <v>472</v>
      </c>
      <c r="B431" s="16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s="16" t="s">
        <v>473</v>
      </c>
      <c r="B432" s="16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s="16" t="s">
        <v>474</v>
      </c>
      <c r="B433" s="16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s="16" t="s">
        <v>475</v>
      </c>
      <c r="B434" s="16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s="16" t="s">
        <v>476</v>
      </c>
      <c r="B435" s="16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s="16" t="s">
        <v>478</v>
      </c>
      <c r="B436" s="16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s="16" t="s">
        <v>479</v>
      </c>
      <c r="B437" s="16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s="16" t="s">
        <v>480</v>
      </c>
      <c r="B438" s="16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s="16" t="s">
        <v>481</v>
      </c>
      <c r="B439" s="16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s="16" t="s">
        <v>1262</v>
      </c>
      <c r="B440" s="16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s="16" t="s">
        <v>482</v>
      </c>
      <c r="B441" s="16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s="16" t="s">
        <v>483</v>
      </c>
      <c r="B442" s="16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s="16" t="s">
        <v>946</v>
      </c>
      <c r="B443" s="16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s="16" t="s">
        <v>484</v>
      </c>
      <c r="B444" s="16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s="16" t="s">
        <v>485</v>
      </c>
      <c r="B445" s="16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s="16" t="s">
        <v>486</v>
      </c>
      <c r="B446" s="16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s="16" t="s">
        <v>487</v>
      </c>
      <c r="B447" s="16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s="16" t="s">
        <v>488</v>
      </c>
      <c r="B448" s="16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s="16" t="s">
        <v>489</v>
      </c>
      <c r="B449" s="16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s="16" t="s">
        <v>490</v>
      </c>
      <c r="B450" s="16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s="16" t="s">
        <v>491</v>
      </c>
      <c r="B451" s="16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s="16" t="s">
        <v>492</v>
      </c>
      <c r="B452" s="16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s="16" t="s">
        <v>493</v>
      </c>
      <c r="B453" s="16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s="16" t="s">
        <v>494</v>
      </c>
      <c r="B454" s="16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s="16" t="s">
        <v>495</v>
      </c>
      <c r="B455" s="16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s="16" t="s">
        <v>496</v>
      </c>
      <c r="B456" s="16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s="16" t="s">
        <v>1081</v>
      </c>
      <c r="B457" s="16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s="16" t="s">
        <v>1275</v>
      </c>
      <c r="B458" s="16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s="16" t="s">
        <v>897</v>
      </c>
      <c r="B459" s="16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s="16" t="s">
        <v>497</v>
      </c>
      <c r="B460" s="16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s="16" t="s">
        <v>498</v>
      </c>
      <c r="B461" s="16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s="16" t="s">
        <v>499</v>
      </c>
      <c r="B462" s="16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s="16" t="s">
        <v>500</v>
      </c>
      <c r="B463" s="16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s="16" t="s">
        <v>792</v>
      </c>
      <c r="B464" s="16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s="16" t="s">
        <v>501</v>
      </c>
      <c r="B465" s="16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s="16" t="s">
        <v>502</v>
      </c>
      <c r="B466" s="16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s="16" t="s">
        <v>503</v>
      </c>
      <c r="B467" s="16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s="16" t="s">
        <v>505</v>
      </c>
      <c r="B468" s="16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s="16" t="s">
        <v>506</v>
      </c>
      <c r="B469" s="16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s="16" t="s">
        <v>508</v>
      </c>
      <c r="B470" s="16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s="16" t="s">
        <v>509</v>
      </c>
      <c r="B471" s="16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s="16" t="s">
        <v>510</v>
      </c>
      <c r="B472" s="16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s="16" t="s">
        <v>511</v>
      </c>
      <c r="B473" s="16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s="16" t="s">
        <v>512</v>
      </c>
      <c r="B474" s="16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s="16" t="s">
        <v>513</v>
      </c>
      <c r="B475" s="16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s="16" t="s">
        <v>514</v>
      </c>
      <c r="B476" s="16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s="16" t="s">
        <v>515</v>
      </c>
      <c r="B477" s="16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s="16" t="s">
        <v>516</v>
      </c>
      <c r="B478" s="16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s="16" t="s">
        <v>518</v>
      </c>
      <c r="B479" s="16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s="16" t="s">
        <v>519</v>
      </c>
      <c r="B480" s="16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s="16" t="s">
        <v>520</v>
      </c>
      <c r="B481" s="16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s="16" t="s">
        <v>521</v>
      </c>
      <c r="B482" s="16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s="16" t="s">
        <v>523</v>
      </c>
      <c r="B483" s="16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s="16" t="s">
        <v>524</v>
      </c>
      <c r="B484" s="16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s="16" t="s">
        <v>525</v>
      </c>
      <c r="B485" s="16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s="16" t="s">
        <v>527</v>
      </c>
      <c r="B486" s="16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s="16" t="s">
        <v>528</v>
      </c>
      <c r="B487" s="16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s="16" t="s">
        <v>832</v>
      </c>
      <c r="B488" s="16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s="16" t="s">
        <v>529</v>
      </c>
      <c r="B489" s="16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s="16" t="s">
        <v>530</v>
      </c>
      <c r="B490" s="16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s="16" t="s">
        <v>531</v>
      </c>
      <c r="B491" s="16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s="16" t="s">
        <v>532</v>
      </c>
      <c r="B492" s="16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s="16" t="s">
        <v>533</v>
      </c>
      <c r="B493" s="16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s="16" t="s">
        <v>534</v>
      </c>
      <c r="B494" s="16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s="16" t="s">
        <v>535</v>
      </c>
      <c r="B495" s="16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s="16" t="s">
        <v>1155</v>
      </c>
      <c r="B496" s="16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s="16" t="s">
        <v>537</v>
      </c>
      <c r="B497" s="16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s="16" t="s">
        <v>538</v>
      </c>
      <c r="B498" s="16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s="16" t="s">
        <v>539</v>
      </c>
      <c r="B499" s="16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s="16" t="s">
        <v>540</v>
      </c>
      <c r="B500" s="16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s="16" t="s">
        <v>541</v>
      </c>
      <c r="B501" s="16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s="16" t="s">
        <v>542</v>
      </c>
      <c r="B502" s="16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s="16" t="s">
        <v>543</v>
      </c>
      <c r="B503" s="16" t="s">
        <v>10</v>
      </c>
      <c r="C503" s="2">
        <v>46084.342814722222</v>
      </c>
      <c r="D503">
        <v>432</v>
      </c>
      <c r="E503" s="7" t="s">
        <v>34</v>
      </c>
      <c r="F503" s="2">
        <v>46084.009481388886</v>
      </c>
      <c r="G503" s="3">
        <v>46084</v>
      </c>
      <c r="H503" t="s">
        <v>28</v>
      </c>
      <c r="I503">
        <v>0</v>
      </c>
    </row>
    <row r="504" spans="1:9" x14ac:dyDescent="0.2">
      <c r="A504" s="16" t="s">
        <v>544</v>
      </c>
      <c r="B504" s="16" t="s">
        <v>10</v>
      </c>
      <c r="C504" s="2">
        <v>46084.413972824077</v>
      </c>
      <c r="D504">
        <v>432</v>
      </c>
      <c r="E504" s="7" t="s">
        <v>31</v>
      </c>
      <c r="F504" s="2">
        <v>46084.080639490741</v>
      </c>
      <c r="G504" s="3">
        <v>46084</v>
      </c>
      <c r="H504" t="s">
        <v>28</v>
      </c>
      <c r="I504">
        <v>1</v>
      </c>
    </row>
    <row r="505" spans="1:9" x14ac:dyDescent="0.2">
      <c r="A505" s="16" t="s">
        <v>545</v>
      </c>
      <c r="B505" s="16" t="s">
        <v>10</v>
      </c>
      <c r="C505" s="2">
        <v>46084.473117893518</v>
      </c>
      <c r="D505">
        <v>471</v>
      </c>
      <c r="E505" s="7" t="s">
        <v>536</v>
      </c>
      <c r="F505" s="2">
        <v>46084.139784560182</v>
      </c>
      <c r="G505" s="3">
        <v>46084</v>
      </c>
      <c r="H505" t="s">
        <v>28</v>
      </c>
      <c r="I505">
        <v>3</v>
      </c>
    </row>
    <row r="506" spans="1:9" x14ac:dyDescent="0.2">
      <c r="A506" s="16" t="s">
        <v>546</v>
      </c>
      <c r="B506" s="16" t="s">
        <v>10</v>
      </c>
      <c r="C506" s="2">
        <v>46084.493473530092</v>
      </c>
      <c r="D506">
        <v>36</v>
      </c>
      <c r="F506" s="2">
        <v>46084.160140196756</v>
      </c>
      <c r="G506" s="3">
        <v>46084</v>
      </c>
      <c r="H506" t="s">
        <v>28</v>
      </c>
      <c r="I506">
        <v>3</v>
      </c>
    </row>
    <row r="507" spans="1:9" x14ac:dyDescent="0.2">
      <c r="A507" s="16" t="s">
        <v>898</v>
      </c>
      <c r="B507" s="16" t="s">
        <v>10</v>
      </c>
      <c r="C507" s="2">
        <v>46084.495349328703</v>
      </c>
      <c r="D507">
        <v>36</v>
      </c>
      <c r="F507" s="2">
        <v>46084.162015995367</v>
      </c>
      <c r="G507" s="3">
        <v>46084</v>
      </c>
      <c r="H507" t="s">
        <v>28</v>
      </c>
      <c r="I507">
        <v>3</v>
      </c>
    </row>
    <row r="508" spans="1:9" x14ac:dyDescent="0.2">
      <c r="A508" s="16" t="s">
        <v>547</v>
      </c>
      <c r="B508" s="16" t="s">
        <v>10</v>
      </c>
      <c r="C508" s="2">
        <v>46084.512245625003</v>
      </c>
      <c r="D508">
        <v>432</v>
      </c>
      <c r="E508" s="7" t="s">
        <v>34</v>
      </c>
      <c r="F508" s="2">
        <v>46084.178912291667</v>
      </c>
      <c r="G508" s="3">
        <v>46084</v>
      </c>
      <c r="H508" t="s">
        <v>28</v>
      </c>
      <c r="I508">
        <v>4</v>
      </c>
    </row>
    <row r="509" spans="1:9" x14ac:dyDescent="0.2">
      <c r="A509" s="16" t="s">
        <v>548</v>
      </c>
      <c r="B509" s="16" t="s">
        <v>10</v>
      </c>
      <c r="C509" s="2">
        <v>46084.548051377315</v>
      </c>
      <c r="D509">
        <v>36</v>
      </c>
      <c r="F509" s="2">
        <v>46084.214718043979</v>
      </c>
      <c r="G509" s="3">
        <v>46084</v>
      </c>
      <c r="H509" t="s">
        <v>28</v>
      </c>
      <c r="I509">
        <v>5</v>
      </c>
    </row>
    <row r="510" spans="1:9" x14ac:dyDescent="0.2">
      <c r="A510" s="16" t="s">
        <v>947</v>
      </c>
      <c r="B510" s="16" t="s">
        <v>10</v>
      </c>
      <c r="C510" s="2">
        <v>46084.571492986113</v>
      </c>
      <c r="D510">
        <v>2</v>
      </c>
      <c r="F510" s="2">
        <v>46084.238159652778</v>
      </c>
      <c r="G510" s="3">
        <v>46084</v>
      </c>
      <c r="H510" t="s">
        <v>28</v>
      </c>
      <c r="I510">
        <v>5</v>
      </c>
    </row>
    <row r="511" spans="1:9" x14ac:dyDescent="0.2">
      <c r="A511" s="16" t="s">
        <v>549</v>
      </c>
      <c r="B511" s="16" t="s">
        <v>10</v>
      </c>
      <c r="C511" s="2">
        <v>46084.61635275463</v>
      </c>
      <c r="D511">
        <v>3</v>
      </c>
      <c r="E511" s="7" t="s">
        <v>34</v>
      </c>
      <c r="F511" s="2">
        <v>46084.283019421295</v>
      </c>
      <c r="G511" s="3">
        <v>46084</v>
      </c>
      <c r="H511" t="s">
        <v>28</v>
      </c>
      <c r="I511">
        <v>6</v>
      </c>
    </row>
    <row r="512" spans="1:9" x14ac:dyDescent="0.2">
      <c r="A512" s="16" t="s">
        <v>550</v>
      </c>
      <c r="B512" s="16" t="s">
        <v>10</v>
      </c>
      <c r="C512" s="2">
        <v>46084.623468680555</v>
      </c>
      <c r="D512">
        <v>35</v>
      </c>
      <c r="E512" s="7" t="s">
        <v>551</v>
      </c>
      <c r="F512" s="2">
        <v>46084.290135347219</v>
      </c>
      <c r="G512" s="3">
        <v>46084</v>
      </c>
      <c r="H512" t="s">
        <v>28</v>
      </c>
      <c r="I512">
        <v>6</v>
      </c>
    </row>
    <row r="513" spans="1:9" x14ac:dyDescent="0.2">
      <c r="A513" s="16" t="s">
        <v>552</v>
      </c>
      <c r="B513" s="16" t="s">
        <v>10</v>
      </c>
      <c r="C513" s="2">
        <v>46084.624403877315</v>
      </c>
      <c r="D513">
        <v>35</v>
      </c>
      <c r="E513" s="7" t="s">
        <v>553</v>
      </c>
      <c r="F513" s="2">
        <v>46084.291070543979</v>
      </c>
      <c r="G513" s="3">
        <v>46084</v>
      </c>
      <c r="H513" t="s">
        <v>28</v>
      </c>
      <c r="I513">
        <v>6</v>
      </c>
    </row>
    <row r="514" spans="1:9" x14ac:dyDescent="0.2">
      <c r="A514" s="16" t="s">
        <v>554</v>
      </c>
      <c r="B514" s="16" t="s">
        <v>10</v>
      </c>
      <c r="C514" s="2">
        <v>46084.624748877315</v>
      </c>
      <c r="D514">
        <v>16</v>
      </c>
      <c r="F514" s="2">
        <v>46084.291415543979</v>
      </c>
      <c r="G514" s="3">
        <v>46084</v>
      </c>
      <c r="H514" t="s">
        <v>28</v>
      </c>
      <c r="I514">
        <v>6</v>
      </c>
    </row>
    <row r="515" spans="1:9" x14ac:dyDescent="0.2">
      <c r="A515" s="16" t="s">
        <v>555</v>
      </c>
      <c r="B515" s="16" t="s">
        <v>10</v>
      </c>
      <c r="C515" s="2">
        <v>46084.625270358796</v>
      </c>
      <c r="D515">
        <v>471</v>
      </c>
      <c r="E515" s="7" t="s">
        <v>536</v>
      </c>
      <c r="F515" s="2">
        <v>46084.29193702546</v>
      </c>
      <c r="G515" s="3">
        <v>46084</v>
      </c>
      <c r="H515" t="s">
        <v>28</v>
      </c>
      <c r="I515">
        <v>7</v>
      </c>
    </row>
    <row r="516" spans="1:9" x14ac:dyDescent="0.2">
      <c r="A516" s="16" t="s">
        <v>556</v>
      </c>
      <c r="B516" s="16" t="s">
        <v>10</v>
      </c>
      <c r="C516" s="2">
        <v>46084.626833310183</v>
      </c>
      <c r="D516">
        <v>16</v>
      </c>
      <c r="F516" s="2">
        <v>46084.293499976855</v>
      </c>
      <c r="G516" s="3">
        <v>46084</v>
      </c>
      <c r="H516" t="s">
        <v>28</v>
      </c>
      <c r="I516">
        <v>7</v>
      </c>
    </row>
    <row r="517" spans="1:9" x14ac:dyDescent="0.2">
      <c r="A517" s="16" t="s">
        <v>557</v>
      </c>
      <c r="B517" s="16" t="s">
        <v>10</v>
      </c>
      <c r="C517" s="2">
        <v>46084.641122824076</v>
      </c>
      <c r="D517">
        <v>471</v>
      </c>
      <c r="E517" s="7" t="s">
        <v>34</v>
      </c>
      <c r="F517" s="2">
        <v>46084.30778949074</v>
      </c>
      <c r="G517" s="3">
        <v>46084</v>
      </c>
      <c r="H517" t="s">
        <v>28</v>
      </c>
      <c r="I517">
        <v>7</v>
      </c>
    </row>
    <row r="518" spans="1:9" x14ac:dyDescent="0.2">
      <c r="A518" s="16" t="s">
        <v>558</v>
      </c>
      <c r="B518" s="16" t="s">
        <v>10</v>
      </c>
      <c r="C518" s="2">
        <v>46084.686362569446</v>
      </c>
      <c r="D518">
        <v>1</v>
      </c>
      <c r="F518" s="2">
        <v>46084.35302923611</v>
      </c>
      <c r="G518" s="3">
        <v>46084</v>
      </c>
      <c r="H518" t="s">
        <v>28</v>
      </c>
      <c r="I518">
        <v>8</v>
      </c>
    </row>
    <row r="519" spans="1:9" x14ac:dyDescent="0.2">
      <c r="A519" s="16" t="s">
        <v>559</v>
      </c>
      <c r="B519" s="16" t="s">
        <v>10</v>
      </c>
      <c r="C519" s="2">
        <v>46084.696196898149</v>
      </c>
      <c r="D519">
        <v>1</v>
      </c>
      <c r="E519" s="7" t="s">
        <v>135</v>
      </c>
      <c r="F519" s="2">
        <v>46084.362863564813</v>
      </c>
      <c r="G519" s="3">
        <v>46084</v>
      </c>
      <c r="H519" t="s">
        <v>28</v>
      </c>
      <c r="I519">
        <v>8</v>
      </c>
    </row>
    <row r="520" spans="1:9" x14ac:dyDescent="0.2">
      <c r="A520" s="16" t="s">
        <v>560</v>
      </c>
      <c r="B520" s="16" t="s">
        <v>10</v>
      </c>
      <c r="C520" s="2">
        <v>46084.779296157409</v>
      </c>
      <c r="D520">
        <v>432</v>
      </c>
      <c r="E520" s="7" t="s">
        <v>561</v>
      </c>
      <c r="F520" s="2">
        <v>46084.445962824073</v>
      </c>
      <c r="G520" s="3">
        <v>46084</v>
      </c>
      <c r="H520" t="s">
        <v>28</v>
      </c>
      <c r="I520">
        <v>10</v>
      </c>
    </row>
    <row r="521" spans="1:9" x14ac:dyDescent="0.2">
      <c r="A521" s="16" t="s">
        <v>562</v>
      </c>
      <c r="B521" s="16" t="s">
        <v>10</v>
      </c>
      <c r="C521" s="2">
        <v>46084.879033217592</v>
      </c>
      <c r="D521">
        <v>3</v>
      </c>
      <c r="E521" s="7" t="s">
        <v>536</v>
      </c>
      <c r="F521" s="2">
        <v>46084.545699884256</v>
      </c>
      <c r="G521" s="3">
        <v>46084</v>
      </c>
      <c r="H521" t="s">
        <v>28</v>
      </c>
      <c r="I521">
        <v>13</v>
      </c>
    </row>
    <row r="522" spans="1:9" x14ac:dyDescent="0.2">
      <c r="A522" s="16" t="s">
        <v>563</v>
      </c>
      <c r="B522" s="16" t="s">
        <v>10</v>
      </c>
      <c r="C522" s="2">
        <v>46085.313992627314</v>
      </c>
      <c r="D522">
        <v>432</v>
      </c>
      <c r="F522" s="2">
        <v>46084.980659293979</v>
      </c>
      <c r="G522" s="3">
        <v>46084</v>
      </c>
      <c r="H522" t="s">
        <v>28</v>
      </c>
      <c r="I522">
        <v>23</v>
      </c>
    </row>
    <row r="523" spans="1:9" x14ac:dyDescent="0.2">
      <c r="A523" s="16" t="s">
        <v>564</v>
      </c>
      <c r="B523" s="16" t="s">
        <v>10</v>
      </c>
      <c r="C523" s="2">
        <v>46085.350547245369</v>
      </c>
      <c r="D523">
        <v>2</v>
      </c>
      <c r="F523" s="2">
        <v>46085.01721391204</v>
      </c>
      <c r="G523" s="3">
        <v>46085</v>
      </c>
      <c r="H523" t="s">
        <v>63</v>
      </c>
      <c r="I523">
        <v>0</v>
      </c>
    </row>
    <row r="524" spans="1:9" x14ac:dyDescent="0.2">
      <c r="A524" s="16" t="s">
        <v>565</v>
      </c>
      <c r="B524" s="16" t="s">
        <v>10</v>
      </c>
      <c r="C524" s="2">
        <v>46085.394234224535</v>
      </c>
      <c r="D524">
        <v>471</v>
      </c>
      <c r="E524" s="7" t="s">
        <v>566</v>
      </c>
      <c r="F524" s="2">
        <v>46085.060900891207</v>
      </c>
      <c r="G524" s="3">
        <v>46085</v>
      </c>
      <c r="H524" t="s">
        <v>63</v>
      </c>
      <c r="I524">
        <v>1</v>
      </c>
    </row>
    <row r="525" spans="1:9" x14ac:dyDescent="0.2">
      <c r="A525" s="16" t="s">
        <v>1276</v>
      </c>
      <c r="B525" s="16" t="s">
        <v>10</v>
      </c>
      <c r="C525" s="2">
        <v>46085.4029031713</v>
      </c>
      <c r="D525">
        <v>471</v>
      </c>
      <c r="E525" s="7" t="s">
        <v>566</v>
      </c>
      <c r="F525" s="2">
        <v>46085.069569837964</v>
      </c>
      <c r="G525" s="3">
        <v>46085</v>
      </c>
      <c r="H525" t="s">
        <v>63</v>
      </c>
      <c r="I525">
        <v>1</v>
      </c>
    </row>
    <row r="526" spans="1:9" x14ac:dyDescent="0.2">
      <c r="A526" s="16" t="s">
        <v>567</v>
      </c>
      <c r="B526" s="16" t="s">
        <v>10</v>
      </c>
      <c r="C526" s="2">
        <v>46085.428373668983</v>
      </c>
      <c r="D526">
        <v>471</v>
      </c>
      <c r="E526" s="7" t="s">
        <v>566</v>
      </c>
      <c r="F526" s="2">
        <v>46085.095040335647</v>
      </c>
      <c r="G526" s="3">
        <v>46085</v>
      </c>
      <c r="H526" t="s">
        <v>63</v>
      </c>
      <c r="I526">
        <v>2</v>
      </c>
    </row>
    <row r="527" spans="1:9" x14ac:dyDescent="0.2">
      <c r="A527" s="16" t="s">
        <v>833</v>
      </c>
      <c r="B527" s="16" t="s">
        <v>10</v>
      </c>
      <c r="C527" s="2">
        <v>46085.457657407409</v>
      </c>
      <c r="D527">
        <v>471</v>
      </c>
      <c r="E527" s="7" t="s">
        <v>566</v>
      </c>
      <c r="F527" s="2">
        <v>46085.124324074073</v>
      </c>
      <c r="G527" s="3">
        <v>46085</v>
      </c>
      <c r="H527" t="s">
        <v>63</v>
      </c>
      <c r="I527">
        <v>2</v>
      </c>
    </row>
    <row r="528" spans="1:9" x14ac:dyDescent="0.2">
      <c r="A528" s="16" t="s">
        <v>568</v>
      </c>
      <c r="B528" s="16" t="s">
        <v>10</v>
      </c>
      <c r="C528" s="2">
        <v>46085.459347881944</v>
      </c>
      <c r="D528">
        <v>432</v>
      </c>
      <c r="E528" s="7" t="s">
        <v>34</v>
      </c>
      <c r="F528" s="2">
        <v>46085.126014548609</v>
      </c>
      <c r="G528" s="3">
        <v>46085</v>
      </c>
      <c r="H528" t="s">
        <v>63</v>
      </c>
      <c r="I528">
        <v>3</v>
      </c>
    </row>
    <row r="529" spans="1:9" x14ac:dyDescent="0.2">
      <c r="A529" s="16" t="s">
        <v>569</v>
      </c>
      <c r="B529" s="16" t="s">
        <v>10</v>
      </c>
      <c r="C529" s="2">
        <v>46085.529224456019</v>
      </c>
      <c r="D529">
        <v>3</v>
      </c>
      <c r="F529" s="2">
        <v>46085.195891122683</v>
      </c>
      <c r="G529" s="3">
        <v>46085</v>
      </c>
      <c r="H529" t="s">
        <v>63</v>
      </c>
      <c r="I529">
        <v>4</v>
      </c>
    </row>
    <row r="530" spans="1:9" x14ac:dyDescent="0.2">
      <c r="A530" s="16" t="s">
        <v>570</v>
      </c>
      <c r="B530" s="16" t="s">
        <v>10</v>
      </c>
      <c r="C530" s="2">
        <v>46085.530602685183</v>
      </c>
      <c r="D530">
        <v>432</v>
      </c>
      <c r="E530" s="7" t="s">
        <v>34</v>
      </c>
      <c r="F530" s="2">
        <v>46085.197269351855</v>
      </c>
      <c r="G530" s="3">
        <v>46085</v>
      </c>
      <c r="H530" t="s">
        <v>63</v>
      </c>
      <c r="I530">
        <v>4</v>
      </c>
    </row>
    <row r="531" spans="1:9" x14ac:dyDescent="0.2">
      <c r="A531" s="16" t="s">
        <v>571</v>
      </c>
      <c r="B531" s="16" t="s">
        <v>10</v>
      </c>
      <c r="C531" s="2">
        <v>46085.542783159719</v>
      </c>
      <c r="D531">
        <v>429</v>
      </c>
      <c r="F531" s="2">
        <v>46085.20944982639</v>
      </c>
      <c r="G531" s="3">
        <v>46085</v>
      </c>
      <c r="H531" t="s">
        <v>63</v>
      </c>
      <c r="I531">
        <v>5</v>
      </c>
    </row>
    <row r="532" spans="1:9" x14ac:dyDescent="0.2">
      <c r="A532" s="16" t="s">
        <v>572</v>
      </c>
      <c r="B532" s="16" t="s">
        <v>10</v>
      </c>
      <c r="C532" s="2">
        <v>46085.579761064815</v>
      </c>
      <c r="D532">
        <v>3</v>
      </c>
      <c r="E532" s="7" t="s">
        <v>34</v>
      </c>
      <c r="F532" s="2">
        <v>46085.246427731479</v>
      </c>
      <c r="G532" s="3">
        <v>46085</v>
      </c>
      <c r="H532" t="s">
        <v>63</v>
      </c>
      <c r="I532">
        <v>5</v>
      </c>
    </row>
    <row r="533" spans="1:9" x14ac:dyDescent="0.2">
      <c r="A533" s="16" t="s">
        <v>573</v>
      </c>
      <c r="B533" s="16" t="s">
        <v>10</v>
      </c>
      <c r="C533" s="2">
        <v>46085.621477060187</v>
      </c>
      <c r="D533">
        <v>432</v>
      </c>
      <c r="F533" s="2">
        <v>46085.288143726852</v>
      </c>
      <c r="G533" s="3">
        <v>46085</v>
      </c>
      <c r="H533" t="s">
        <v>63</v>
      </c>
      <c r="I533">
        <v>6</v>
      </c>
    </row>
    <row r="534" spans="1:9" x14ac:dyDescent="0.2">
      <c r="A534" s="16" t="s">
        <v>574</v>
      </c>
      <c r="B534" s="16" t="s">
        <v>10</v>
      </c>
      <c r="C534" s="2">
        <v>46085.6963918287</v>
      </c>
      <c r="D534">
        <v>3</v>
      </c>
      <c r="F534" s="2">
        <v>46085.363058495372</v>
      </c>
      <c r="G534" s="3">
        <v>46085</v>
      </c>
      <c r="H534" t="s">
        <v>63</v>
      </c>
      <c r="I534">
        <v>8</v>
      </c>
    </row>
    <row r="535" spans="1:9" x14ac:dyDescent="0.2">
      <c r="A535" s="16" t="s">
        <v>575</v>
      </c>
      <c r="B535" s="16" t="s">
        <v>10</v>
      </c>
      <c r="C535" s="2">
        <v>46085.8101469213</v>
      </c>
      <c r="D535">
        <v>432</v>
      </c>
      <c r="F535" s="2">
        <v>46085.476813587964</v>
      </c>
      <c r="G535" s="3">
        <v>46085</v>
      </c>
      <c r="H535" t="s">
        <v>63</v>
      </c>
      <c r="I535">
        <v>11</v>
      </c>
    </row>
    <row r="536" spans="1:9" x14ac:dyDescent="0.2">
      <c r="A536" s="16" t="s">
        <v>576</v>
      </c>
      <c r="B536" s="16" t="s">
        <v>10</v>
      </c>
      <c r="C536" s="2">
        <v>46086.205474131944</v>
      </c>
      <c r="D536">
        <v>2</v>
      </c>
      <c r="F536" s="2">
        <v>46085.872140798609</v>
      </c>
      <c r="G536" s="3">
        <v>46085</v>
      </c>
      <c r="H536" t="s">
        <v>63</v>
      </c>
      <c r="I536">
        <v>20</v>
      </c>
    </row>
    <row r="537" spans="1:9" x14ac:dyDescent="0.2">
      <c r="A537" s="16" t="s">
        <v>577</v>
      </c>
      <c r="B537" s="16" t="s">
        <v>10</v>
      </c>
      <c r="C537" s="2">
        <v>46086.213184583336</v>
      </c>
      <c r="D537">
        <v>1</v>
      </c>
      <c r="E537" s="7" t="s">
        <v>578</v>
      </c>
      <c r="F537" s="2">
        <v>46085.87985125</v>
      </c>
      <c r="G537" s="3">
        <v>46085</v>
      </c>
      <c r="H537" t="s">
        <v>63</v>
      </c>
      <c r="I537">
        <v>21</v>
      </c>
    </row>
    <row r="538" spans="1:9" x14ac:dyDescent="0.2">
      <c r="A538" s="16" t="s">
        <v>579</v>
      </c>
      <c r="B538" s="16" t="s">
        <v>10</v>
      </c>
      <c r="C538" s="2">
        <v>46086.351046759257</v>
      </c>
      <c r="D538">
        <v>432</v>
      </c>
      <c r="E538" s="7" t="s">
        <v>34</v>
      </c>
      <c r="F538" s="2">
        <v>46086.017713425928</v>
      </c>
      <c r="G538" s="3">
        <v>46086</v>
      </c>
      <c r="H538" t="s">
        <v>95</v>
      </c>
      <c r="I538">
        <v>0</v>
      </c>
    </row>
    <row r="539" spans="1:9" x14ac:dyDescent="0.2">
      <c r="A539" s="16" t="s">
        <v>580</v>
      </c>
      <c r="B539" s="16" t="s">
        <v>10</v>
      </c>
      <c r="C539" s="2">
        <v>46086.354359872683</v>
      </c>
      <c r="D539">
        <v>3</v>
      </c>
      <c r="F539" s="2">
        <v>46086.021026539354</v>
      </c>
      <c r="G539" s="3">
        <v>46086</v>
      </c>
      <c r="H539" t="s">
        <v>95</v>
      </c>
      <c r="I539">
        <v>0</v>
      </c>
    </row>
    <row r="540" spans="1:9" x14ac:dyDescent="0.2">
      <c r="A540" s="16" t="s">
        <v>581</v>
      </c>
      <c r="B540" s="16" t="s">
        <v>10</v>
      </c>
      <c r="C540" s="2">
        <v>46086.358967708336</v>
      </c>
      <c r="D540">
        <v>471</v>
      </c>
      <c r="E540" s="7" t="s">
        <v>582</v>
      </c>
      <c r="F540" s="2">
        <v>46086.025634375001</v>
      </c>
      <c r="G540" s="3">
        <v>46086</v>
      </c>
      <c r="H540" t="s">
        <v>95</v>
      </c>
      <c r="I540">
        <v>0</v>
      </c>
    </row>
    <row r="541" spans="1:9" x14ac:dyDescent="0.2">
      <c r="A541" s="16" t="s">
        <v>583</v>
      </c>
      <c r="B541" s="16" t="s">
        <v>10</v>
      </c>
      <c r="C541" s="2">
        <v>46086.408274074071</v>
      </c>
      <c r="D541">
        <v>2</v>
      </c>
      <c r="E541" s="7" t="s">
        <v>584</v>
      </c>
      <c r="F541" s="2">
        <v>46086.074940740742</v>
      </c>
      <c r="G541" s="3">
        <v>46086</v>
      </c>
      <c r="H541" t="s">
        <v>95</v>
      </c>
      <c r="I541">
        <v>1</v>
      </c>
    </row>
    <row r="542" spans="1:9" x14ac:dyDescent="0.2">
      <c r="A542" s="16" t="s">
        <v>585</v>
      </c>
      <c r="B542" s="16" t="s">
        <v>10</v>
      </c>
      <c r="C542" s="2">
        <v>46086.444829525462</v>
      </c>
      <c r="D542">
        <v>532</v>
      </c>
      <c r="F542" s="2">
        <v>46086.111496192127</v>
      </c>
      <c r="G542" s="3">
        <v>46086</v>
      </c>
      <c r="H542" t="s">
        <v>95</v>
      </c>
      <c r="I542">
        <v>2</v>
      </c>
    </row>
    <row r="543" spans="1:9" x14ac:dyDescent="0.2">
      <c r="A543" s="16" t="s">
        <v>586</v>
      </c>
      <c r="B543" s="16" t="s">
        <v>10</v>
      </c>
      <c r="C543" s="2">
        <v>46086.466305509261</v>
      </c>
      <c r="D543">
        <v>532</v>
      </c>
      <c r="F543" s="2">
        <v>46086.132972175925</v>
      </c>
      <c r="G543" s="3">
        <v>46086</v>
      </c>
      <c r="H543" t="s">
        <v>95</v>
      </c>
      <c r="I543">
        <v>3</v>
      </c>
    </row>
    <row r="544" spans="1:9" x14ac:dyDescent="0.2">
      <c r="A544" s="16" t="s">
        <v>587</v>
      </c>
      <c r="B544" s="16" t="s">
        <v>10</v>
      </c>
      <c r="C544" s="2">
        <v>46086.471331261571</v>
      </c>
      <c r="D544">
        <v>576</v>
      </c>
      <c r="E544" s="7" t="s">
        <v>582</v>
      </c>
      <c r="F544" s="2">
        <v>46086.137997928243</v>
      </c>
      <c r="G544" s="3">
        <v>46086</v>
      </c>
      <c r="H544" t="s">
        <v>95</v>
      </c>
      <c r="I544">
        <v>3</v>
      </c>
    </row>
    <row r="545" spans="1:9" x14ac:dyDescent="0.2">
      <c r="A545" s="16" t="s">
        <v>588</v>
      </c>
      <c r="B545" s="16" t="s">
        <v>10</v>
      </c>
      <c r="C545" s="2">
        <v>46086.479474513886</v>
      </c>
      <c r="D545">
        <v>432</v>
      </c>
      <c r="E545" s="7" t="s">
        <v>34</v>
      </c>
      <c r="F545" s="2">
        <v>46086.146141180558</v>
      </c>
      <c r="G545" s="3">
        <v>46086</v>
      </c>
      <c r="H545" t="s">
        <v>95</v>
      </c>
      <c r="I545">
        <v>3</v>
      </c>
    </row>
    <row r="546" spans="1:9" x14ac:dyDescent="0.2">
      <c r="A546" s="16" t="s">
        <v>793</v>
      </c>
      <c r="B546" s="16" t="s">
        <v>10</v>
      </c>
      <c r="C546" s="2">
        <v>46086.494396747687</v>
      </c>
      <c r="D546">
        <v>576</v>
      </c>
      <c r="E546" s="7" t="s">
        <v>582</v>
      </c>
      <c r="F546" s="2">
        <v>46086.161063414351</v>
      </c>
      <c r="G546" s="3">
        <v>46086</v>
      </c>
      <c r="H546" t="s">
        <v>95</v>
      </c>
      <c r="I546">
        <v>3</v>
      </c>
    </row>
    <row r="547" spans="1:9" x14ac:dyDescent="0.2">
      <c r="A547" s="16" t="s">
        <v>589</v>
      </c>
      <c r="B547" s="16" t="s">
        <v>10</v>
      </c>
      <c r="C547" s="2">
        <v>46086.497148807874</v>
      </c>
      <c r="D547">
        <v>3</v>
      </c>
      <c r="E547" s="7" t="s">
        <v>590</v>
      </c>
      <c r="F547" s="2">
        <v>46086.163815474538</v>
      </c>
      <c r="G547" s="3">
        <v>46086</v>
      </c>
      <c r="H547" t="s">
        <v>95</v>
      </c>
      <c r="I547">
        <v>3</v>
      </c>
    </row>
    <row r="548" spans="1:9" x14ac:dyDescent="0.2">
      <c r="A548" s="16" t="s">
        <v>591</v>
      </c>
      <c r="B548" s="16" t="s">
        <v>10</v>
      </c>
      <c r="C548" s="2">
        <v>46086.520829363428</v>
      </c>
      <c r="D548">
        <v>432</v>
      </c>
      <c r="E548" s="7" t="s">
        <v>34</v>
      </c>
      <c r="F548" s="2">
        <v>46086.187496030092</v>
      </c>
      <c r="G548" s="3">
        <v>46086</v>
      </c>
      <c r="H548" t="s">
        <v>95</v>
      </c>
      <c r="I548">
        <v>4</v>
      </c>
    </row>
    <row r="549" spans="1:9" x14ac:dyDescent="0.2">
      <c r="A549" s="16" t="s">
        <v>592</v>
      </c>
      <c r="B549" s="16" t="s">
        <v>10</v>
      </c>
      <c r="C549" s="2">
        <v>46086.540283078706</v>
      </c>
      <c r="D549">
        <v>532</v>
      </c>
      <c r="E549" s="7" t="s">
        <v>590</v>
      </c>
      <c r="F549" s="2">
        <v>46086.20694974537</v>
      </c>
      <c r="G549" s="3">
        <v>46086</v>
      </c>
      <c r="H549" t="s">
        <v>95</v>
      </c>
      <c r="I549">
        <v>4</v>
      </c>
    </row>
    <row r="550" spans="1:9" x14ac:dyDescent="0.2">
      <c r="A550" s="16" t="s">
        <v>593</v>
      </c>
      <c r="B550" s="16" t="s">
        <v>10</v>
      </c>
      <c r="C550" s="2">
        <v>46086.554579988428</v>
      </c>
      <c r="D550">
        <v>532</v>
      </c>
      <c r="F550" s="2">
        <v>46086.221246655092</v>
      </c>
      <c r="G550" s="3">
        <v>46086</v>
      </c>
      <c r="H550" t="s">
        <v>95</v>
      </c>
      <c r="I550">
        <v>5</v>
      </c>
    </row>
    <row r="551" spans="1:9" x14ac:dyDescent="0.2">
      <c r="A551" s="16" t="s">
        <v>594</v>
      </c>
      <c r="B551" s="16" t="s">
        <v>10</v>
      </c>
      <c r="C551" s="2">
        <v>46086.572327939815</v>
      </c>
      <c r="D551">
        <v>3</v>
      </c>
      <c r="E551" s="7" t="s">
        <v>60</v>
      </c>
      <c r="F551" s="2">
        <v>46086.23899460648</v>
      </c>
      <c r="G551" s="3">
        <v>46086</v>
      </c>
      <c r="H551" t="s">
        <v>95</v>
      </c>
      <c r="I551">
        <v>5</v>
      </c>
    </row>
    <row r="552" spans="1:9" x14ac:dyDescent="0.2">
      <c r="A552" s="16" t="s">
        <v>595</v>
      </c>
      <c r="B552" s="16" t="s">
        <v>10</v>
      </c>
      <c r="C552" s="2">
        <v>46086.584600451388</v>
      </c>
      <c r="D552">
        <v>576</v>
      </c>
      <c r="E552" s="7" t="s">
        <v>34</v>
      </c>
      <c r="F552" s="2">
        <v>46086.251267118052</v>
      </c>
      <c r="G552" s="3">
        <v>46086</v>
      </c>
      <c r="H552" t="s">
        <v>95</v>
      </c>
      <c r="I552">
        <v>6</v>
      </c>
    </row>
    <row r="553" spans="1:9" x14ac:dyDescent="0.2">
      <c r="A553" s="16" t="s">
        <v>899</v>
      </c>
      <c r="B553" s="16" t="s">
        <v>10</v>
      </c>
      <c r="C553" s="2">
        <v>46086.586039016205</v>
      </c>
      <c r="D553">
        <v>576</v>
      </c>
      <c r="E553" s="7" t="s">
        <v>34</v>
      </c>
      <c r="F553" s="2">
        <v>46086.252705682869</v>
      </c>
      <c r="G553" s="3">
        <v>46086</v>
      </c>
      <c r="H553" t="s">
        <v>95</v>
      </c>
      <c r="I553">
        <v>6</v>
      </c>
    </row>
    <row r="554" spans="1:9" x14ac:dyDescent="0.2">
      <c r="A554" s="16" t="s">
        <v>596</v>
      </c>
      <c r="B554" s="16" t="s">
        <v>10</v>
      </c>
      <c r="C554" s="2">
        <v>46086.59762064815</v>
      </c>
      <c r="D554">
        <v>576</v>
      </c>
      <c r="F554" s="2">
        <v>46086.264287314814</v>
      </c>
      <c r="G554" s="3">
        <v>46086</v>
      </c>
      <c r="H554" t="s">
        <v>95</v>
      </c>
      <c r="I554">
        <v>6</v>
      </c>
    </row>
    <row r="555" spans="1:9" x14ac:dyDescent="0.2">
      <c r="A555" s="16" t="s">
        <v>597</v>
      </c>
      <c r="B555" s="16" t="s">
        <v>10</v>
      </c>
      <c r="C555" s="2">
        <v>46086.622786446758</v>
      </c>
      <c r="D555">
        <v>532</v>
      </c>
      <c r="F555" s="2">
        <v>46086.289453113422</v>
      </c>
      <c r="G555" s="3">
        <v>46086</v>
      </c>
      <c r="H555" t="s">
        <v>95</v>
      </c>
      <c r="I555">
        <v>6</v>
      </c>
    </row>
    <row r="556" spans="1:9" x14ac:dyDescent="0.2">
      <c r="A556" s="16" t="s">
        <v>598</v>
      </c>
      <c r="B556" s="16" t="s">
        <v>10</v>
      </c>
      <c r="C556" s="2">
        <v>46086.626078958332</v>
      </c>
      <c r="D556">
        <v>576</v>
      </c>
      <c r="E556" s="7" t="s">
        <v>34</v>
      </c>
      <c r="F556" s="2">
        <v>46086.292745625004</v>
      </c>
      <c r="G556" s="3">
        <v>46086</v>
      </c>
      <c r="H556" t="s">
        <v>95</v>
      </c>
      <c r="I556">
        <v>7</v>
      </c>
    </row>
    <row r="557" spans="1:9" x14ac:dyDescent="0.2">
      <c r="A557" s="16" t="s">
        <v>834</v>
      </c>
      <c r="B557" s="16" t="s">
        <v>10</v>
      </c>
      <c r="C557" s="2">
        <v>46086.655843553242</v>
      </c>
      <c r="D557">
        <v>432</v>
      </c>
      <c r="E557" s="7" t="s">
        <v>34</v>
      </c>
      <c r="F557" s="2">
        <v>46086.322510219907</v>
      </c>
      <c r="G557" s="3">
        <v>46086</v>
      </c>
      <c r="H557" t="s">
        <v>95</v>
      </c>
      <c r="I557">
        <v>7</v>
      </c>
    </row>
    <row r="558" spans="1:9" x14ac:dyDescent="0.2">
      <c r="A558" s="16" t="s">
        <v>599</v>
      </c>
      <c r="B558" s="16" t="s">
        <v>10</v>
      </c>
      <c r="C558" s="2">
        <v>46086.682960127313</v>
      </c>
      <c r="D558">
        <v>532</v>
      </c>
      <c r="F558" s="2">
        <v>46086.349626793984</v>
      </c>
      <c r="G558" s="3">
        <v>46086</v>
      </c>
      <c r="H558" t="s">
        <v>95</v>
      </c>
      <c r="I558">
        <v>8</v>
      </c>
    </row>
    <row r="559" spans="1:9" x14ac:dyDescent="0.2">
      <c r="A559" s="16" t="s">
        <v>600</v>
      </c>
      <c r="B559" s="16" t="s">
        <v>10</v>
      </c>
      <c r="C559" s="2">
        <v>46086.71753587963</v>
      </c>
      <c r="D559">
        <v>35</v>
      </c>
      <c r="F559" s="2">
        <v>46086.384202546295</v>
      </c>
      <c r="G559" s="3">
        <v>46086</v>
      </c>
      <c r="H559" t="s">
        <v>95</v>
      </c>
      <c r="I559">
        <v>9</v>
      </c>
    </row>
    <row r="560" spans="1:9" x14ac:dyDescent="0.2">
      <c r="A560" s="16" t="s">
        <v>601</v>
      </c>
      <c r="B560" s="16" t="s">
        <v>10</v>
      </c>
      <c r="C560" s="2">
        <v>46086.733169050924</v>
      </c>
      <c r="D560">
        <v>3</v>
      </c>
      <c r="F560" s="2">
        <v>46086.399835717595</v>
      </c>
      <c r="G560" s="3">
        <v>46086</v>
      </c>
      <c r="H560" t="s">
        <v>95</v>
      </c>
      <c r="I560">
        <v>9</v>
      </c>
    </row>
    <row r="561" spans="1:9" x14ac:dyDescent="0.2">
      <c r="A561" s="16" t="s">
        <v>602</v>
      </c>
      <c r="B561" s="16" t="s">
        <v>10</v>
      </c>
      <c r="C561" s="2">
        <v>46086.764711678239</v>
      </c>
      <c r="D561">
        <v>2</v>
      </c>
      <c r="E561" s="7" t="s">
        <v>603</v>
      </c>
      <c r="F561" s="2">
        <v>46086.431378344911</v>
      </c>
      <c r="G561" s="3">
        <v>46086</v>
      </c>
      <c r="H561" t="s">
        <v>95</v>
      </c>
      <c r="I561">
        <v>10</v>
      </c>
    </row>
    <row r="562" spans="1:9" x14ac:dyDescent="0.2">
      <c r="A562" s="16" t="s">
        <v>604</v>
      </c>
      <c r="B562" s="16" t="s">
        <v>10</v>
      </c>
      <c r="C562" s="2">
        <v>46086.770379201385</v>
      </c>
      <c r="D562">
        <v>1</v>
      </c>
      <c r="E562" s="7" t="s">
        <v>605</v>
      </c>
      <c r="F562" s="2">
        <v>46086.437045868057</v>
      </c>
      <c r="G562" s="3">
        <v>46086</v>
      </c>
      <c r="H562" t="s">
        <v>95</v>
      </c>
      <c r="I562">
        <v>10</v>
      </c>
    </row>
    <row r="563" spans="1:9" x14ac:dyDescent="0.2">
      <c r="A563" s="16" t="s">
        <v>606</v>
      </c>
      <c r="B563" s="16" t="s">
        <v>10</v>
      </c>
      <c r="C563" s="2">
        <v>46086.786126192128</v>
      </c>
      <c r="D563">
        <v>3</v>
      </c>
      <c r="F563" s="2">
        <v>46086.4527928588</v>
      </c>
      <c r="G563" s="3">
        <v>46086</v>
      </c>
      <c r="H563" t="s">
        <v>95</v>
      </c>
      <c r="I563">
        <v>10</v>
      </c>
    </row>
    <row r="564" spans="1:9" x14ac:dyDescent="0.2">
      <c r="A564" s="16" t="s">
        <v>607</v>
      </c>
      <c r="B564" s="16" t="s">
        <v>10</v>
      </c>
      <c r="C564" s="2">
        <v>46086.80045422454</v>
      </c>
      <c r="D564">
        <v>1</v>
      </c>
      <c r="E564" s="7" t="s">
        <v>605</v>
      </c>
      <c r="F564" s="2">
        <v>46086.467120891204</v>
      </c>
      <c r="G564" s="3">
        <v>46086</v>
      </c>
      <c r="H564" t="s">
        <v>95</v>
      </c>
      <c r="I564">
        <v>11</v>
      </c>
    </row>
    <row r="565" spans="1:9" x14ac:dyDescent="0.2">
      <c r="A565" s="16" t="s">
        <v>608</v>
      </c>
      <c r="B565" s="16" t="s">
        <v>10</v>
      </c>
      <c r="C565" s="2">
        <v>46086.838780347221</v>
      </c>
      <c r="D565">
        <v>2</v>
      </c>
      <c r="F565" s="2">
        <v>46086.505447013886</v>
      </c>
      <c r="G565" s="3">
        <v>46086</v>
      </c>
      <c r="H565" t="s">
        <v>95</v>
      </c>
      <c r="I565">
        <v>12</v>
      </c>
    </row>
    <row r="566" spans="1:9" x14ac:dyDescent="0.2">
      <c r="A566" s="16" t="s">
        <v>609</v>
      </c>
      <c r="B566" s="16" t="s">
        <v>10</v>
      </c>
      <c r="C566" s="2">
        <v>46086.902724560183</v>
      </c>
      <c r="D566">
        <v>3</v>
      </c>
      <c r="F566" s="2">
        <v>46086.569391226854</v>
      </c>
      <c r="G566" s="3">
        <v>46086</v>
      </c>
      <c r="H566" t="s">
        <v>95</v>
      </c>
      <c r="I566">
        <v>13</v>
      </c>
    </row>
    <row r="567" spans="1:9" x14ac:dyDescent="0.2">
      <c r="A567" s="16" t="s">
        <v>610</v>
      </c>
      <c r="B567" s="16" t="s">
        <v>10</v>
      </c>
      <c r="C567" s="2">
        <v>46086.964681701385</v>
      </c>
      <c r="D567">
        <v>532</v>
      </c>
      <c r="E567" s="7" t="s">
        <v>31</v>
      </c>
      <c r="F567" s="2">
        <v>46086.631348368057</v>
      </c>
      <c r="G567" s="3">
        <v>46086</v>
      </c>
      <c r="H567" t="s">
        <v>95</v>
      </c>
      <c r="I567">
        <v>15</v>
      </c>
    </row>
    <row r="568" spans="1:9" x14ac:dyDescent="0.2">
      <c r="A568" s="16" t="s">
        <v>611</v>
      </c>
      <c r="B568" s="16" t="s">
        <v>10</v>
      </c>
      <c r="C568" s="2">
        <v>46087.265411886576</v>
      </c>
      <c r="D568">
        <v>432</v>
      </c>
      <c r="E568" s="7" t="s">
        <v>34</v>
      </c>
      <c r="F568" s="2">
        <v>46086.93207855324</v>
      </c>
      <c r="G568" s="3">
        <v>46086</v>
      </c>
      <c r="H568" t="s">
        <v>95</v>
      </c>
      <c r="I568">
        <v>22</v>
      </c>
    </row>
    <row r="569" spans="1:9" x14ac:dyDescent="0.2">
      <c r="A569" s="16" t="s">
        <v>612</v>
      </c>
      <c r="B569" s="16" t="s">
        <v>10</v>
      </c>
      <c r="C569" s="2">
        <v>46087.272741493056</v>
      </c>
      <c r="D569">
        <v>576</v>
      </c>
      <c r="E569" s="7" t="s">
        <v>613</v>
      </c>
      <c r="F569" s="2">
        <v>46086.93940815972</v>
      </c>
      <c r="G569" s="3">
        <v>46086</v>
      </c>
      <c r="H569" t="s">
        <v>95</v>
      </c>
      <c r="I569">
        <v>22</v>
      </c>
    </row>
    <row r="570" spans="1:9" x14ac:dyDescent="0.2">
      <c r="A570" s="16" t="s">
        <v>614</v>
      </c>
      <c r="B570" s="16" t="s">
        <v>10</v>
      </c>
      <c r="C570" s="2">
        <v>46087.273157002317</v>
      </c>
      <c r="D570">
        <v>532</v>
      </c>
      <c r="F570" s="2">
        <v>46086.939823668981</v>
      </c>
      <c r="G570" s="3">
        <v>46086</v>
      </c>
      <c r="H570" t="s">
        <v>95</v>
      </c>
      <c r="I570">
        <v>22</v>
      </c>
    </row>
    <row r="571" spans="1:9" x14ac:dyDescent="0.2">
      <c r="A571" s="16" t="s">
        <v>615</v>
      </c>
      <c r="B571" s="16" t="s">
        <v>10</v>
      </c>
      <c r="C571" s="2">
        <v>46087.310952245367</v>
      </c>
      <c r="D571">
        <v>3</v>
      </c>
      <c r="F571" s="2">
        <v>46086.977618912038</v>
      </c>
      <c r="G571" s="3">
        <v>46086</v>
      </c>
      <c r="H571" t="s">
        <v>95</v>
      </c>
      <c r="I571">
        <v>23</v>
      </c>
    </row>
    <row r="572" spans="1:9" x14ac:dyDescent="0.2">
      <c r="A572" s="16" t="s">
        <v>616</v>
      </c>
      <c r="B572" s="16" t="s">
        <v>10</v>
      </c>
      <c r="C572" s="2">
        <v>46087.314840486113</v>
      </c>
      <c r="D572">
        <v>576</v>
      </c>
      <c r="E572" s="7" t="s">
        <v>34</v>
      </c>
      <c r="F572" s="2">
        <v>46086.981507152777</v>
      </c>
      <c r="G572" s="3">
        <v>46086</v>
      </c>
      <c r="H572" t="s">
        <v>95</v>
      </c>
      <c r="I572">
        <v>23</v>
      </c>
    </row>
    <row r="573" spans="1:9" x14ac:dyDescent="0.2">
      <c r="A573" s="16" t="s">
        <v>617</v>
      </c>
      <c r="B573" s="16" t="s">
        <v>10</v>
      </c>
      <c r="C573" s="2">
        <v>46087.335874212964</v>
      </c>
      <c r="D573">
        <v>576</v>
      </c>
      <c r="E573" s="7" t="s">
        <v>34</v>
      </c>
      <c r="F573" s="2">
        <v>46087.002540879628</v>
      </c>
      <c r="G573" s="3">
        <v>46087</v>
      </c>
      <c r="H573" t="s">
        <v>115</v>
      </c>
      <c r="I573">
        <v>0</v>
      </c>
    </row>
    <row r="574" spans="1:9" x14ac:dyDescent="0.2">
      <c r="A574" s="16" t="s">
        <v>618</v>
      </c>
      <c r="B574" s="16" t="s">
        <v>10</v>
      </c>
      <c r="C574" s="2">
        <v>46087.338867094906</v>
      </c>
      <c r="D574">
        <v>576</v>
      </c>
      <c r="E574" s="7" t="s">
        <v>582</v>
      </c>
      <c r="F574" s="2">
        <v>46087.005533761578</v>
      </c>
      <c r="G574" s="3">
        <v>46087</v>
      </c>
      <c r="H574" t="s">
        <v>115</v>
      </c>
      <c r="I574">
        <v>0</v>
      </c>
    </row>
    <row r="575" spans="1:9" x14ac:dyDescent="0.2">
      <c r="A575" s="16" t="s">
        <v>619</v>
      </c>
      <c r="B575" s="16" t="s">
        <v>10</v>
      </c>
      <c r="C575" s="2">
        <v>46087.339159189818</v>
      </c>
      <c r="D575">
        <v>3</v>
      </c>
      <c r="E575" s="7" t="s">
        <v>620</v>
      </c>
      <c r="F575" s="2">
        <v>46087.005825856482</v>
      </c>
      <c r="G575" s="3">
        <v>46087</v>
      </c>
      <c r="H575" t="s">
        <v>115</v>
      </c>
      <c r="I575">
        <v>0</v>
      </c>
    </row>
    <row r="576" spans="1:9" x14ac:dyDescent="0.2">
      <c r="A576" s="16" t="s">
        <v>621</v>
      </c>
      <c r="B576" s="16" t="s">
        <v>10</v>
      </c>
      <c r="C576" s="2">
        <v>46087.348270937502</v>
      </c>
      <c r="D576">
        <v>532</v>
      </c>
      <c r="F576" s="2">
        <v>46087.014937604166</v>
      </c>
      <c r="G576" s="3">
        <v>46087</v>
      </c>
      <c r="H576" t="s">
        <v>115</v>
      </c>
      <c r="I576">
        <v>0</v>
      </c>
    </row>
    <row r="577" spans="1:9" x14ac:dyDescent="0.2">
      <c r="A577" s="16" t="s">
        <v>622</v>
      </c>
      <c r="B577" s="16" t="s">
        <v>10</v>
      </c>
      <c r="C577" s="2">
        <v>46087.353890069448</v>
      </c>
      <c r="D577">
        <v>532</v>
      </c>
      <c r="F577" s="2">
        <v>46087.020556736112</v>
      </c>
      <c r="G577" s="3">
        <v>46087</v>
      </c>
      <c r="H577" t="s">
        <v>115</v>
      </c>
      <c r="I577">
        <v>0</v>
      </c>
    </row>
    <row r="578" spans="1:9" x14ac:dyDescent="0.2">
      <c r="A578" s="16" t="s">
        <v>623</v>
      </c>
      <c r="B578" s="16" t="s">
        <v>10</v>
      </c>
      <c r="C578" s="2">
        <v>46087.355946979165</v>
      </c>
      <c r="D578">
        <v>576</v>
      </c>
      <c r="F578" s="2">
        <v>46087.022613645837</v>
      </c>
      <c r="G578" s="3">
        <v>46087</v>
      </c>
      <c r="H578" t="s">
        <v>115</v>
      </c>
      <c r="I578">
        <v>0</v>
      </c>
    </row>
    <row r="579" spans="1:9" x14ac:dyDescent="0.2">
      <c r="A579" s="16" t="s">
        <v>624</v>
      </c>
      <c r="B579" s="16" t="s">
        <v>10</v>
      </c>
      <c r="C579" s="2">
        <v>46087.369131041669</v>
      </c>
      <c r="D579">
        <v>3</v>
      </c>
      <c r="E579" s="7" t="s">
        <v>625</v>
      </c>
      <c r="F579" s="2">
        <v>46087.035797708333</v>
      </c>
      <c r="G579" s="3">
        <v>46087</v>
      </c>
      <c r="H579" t="s">
        <v>115</v>
      </c>
      <c r="I579">
        <v>0</v>
      </c>
    </row>
    <row r="580" spans="1:9" x14ac:dyDescent="0.2">
      <c r="A580" s="16" t="s">
        <v>626</v>
      </c>
      <c r="B580" s="16" t="s">
        <v>10</v>
      </c>
      <c r="C580" s="2">
        <v>46087.376078067129</v>
      </c>
      <c r="D580">
        <v>576</v>
      </c>
      <c r="E580" s="7" t="s">
        <v>34</v>
      </c>
      <c r="F580" s="2">
        <v>46087.042744733793</v>
      </c>
      <c r="G580" s="3">
        <v>46087</v>
      </c>
      <c r="H580" t="s">
        <v>115</v>
      </c>
      <c r="I580">
        <v>1</v>
      </c>
    </row>
    <row r="581" spans="1:9" x14ac:dyDescent="0.2">
      <c r="A581" s="16" t="s">
        <v>1156</v>
      </c>
      <c r="B581" s="16" t="s">
        <v>10</v>
      </c>
      <c r="C581" s="2">
        <v>46087.384186909723</v>
      </c>
      <c r="D581">
        <v>576</v>
      </c>
      <c r="E581" s="7" t="s">
        <v>34</v>
      </c>
      <c r="F581" s="2">
        <v>46087.050853576387</v>
      </c>
      <c r="G581" s="3">
        <v>46087</v>
      </c>
      <c r="H581" t="s">
        <v>115</v>
      </c>
      <c r="I581">
        <v>1</v>
      </c>
    </row>
    <row r="582" spans="1:9" x14ac:dyDescent="0.2">
      <c r="A582" s="16" t="s">
        <v>1341</v>
      </c>
      <c r="B582" s="16" t="s">
        <v>10</v>
      </c>
      <c r="C582" s="2">
        <v>46087.39718197917</v>
      </c>
      <c r="D582">
        <v>576</v>
      </c>
      <c r="E582" s="7" t="s">
        <v>34</v>
      </c>
      <c r="F582" s="2">
        <v>46087.063848645834</v>
      </c>
      <c r="G582" s="3">
        <v>46087</v>
      </c>
      <c r="H582" t="s">
        <v>115</v>
      </c>
      <c r="I582">
        <v>1</v>
      </c>
    </row>
    <row r="583" spans="1:9" x14ac:dyDescent="0.2">
      <c r="A583" s="16" t="s">
        <v>1063</v>
      </c>
      <c r="B583" s="16" t="s">
        <v>10</v>
      </c>
      <c r="C583" s="2">
        <v>46087.397960289352</v>
      </c>
      <c r="D583">
        <v>576</v>
      </c>
      <c r="E583" s="7" t="s">
        <v>34</v>
      </c>
      <c r="F583" s="2">
        <v>46087.064626956017</v>
      </c>
      <c r="G583" s="3">
        <v>46087</v>
      </c>
      <c r="H583" t="s">
        <v>115</v>
      </c>
      <c r="I583">
        <v>1</v>
      </c>
    </row>
    <row r="584" spans="1:9" x14ac:dyDescent="0.2">
      <c r="A584" s="16" t="s">
        <v>627</v>
      </c>
      <c r="B584" s="16" t="s">
        <v>10</v>
      </c>
      <c r="C584" s="2">
        <v>46087.399203958332</v>
      </c>
      <c r="D584">
        <v>532</v>
      </c>
      <c r="F584" s="2">
        <v>46087.065870625003</v>
      </c>
      <c r="G584" s="3">
        <v>46087</v>
      </c>
      <c r="H584" t="s">
        <v>115</v>
      </c>
      <c r="I584">
        <v>1</v>
      </c>
    </row>
    <row r="585" spans="1:9" x14ac:dyDescent="0.2">
      <c r="A585" s="16" t="s">
        <v>628</v>
      </c>
      <c r="B585" s="16" t="s">
        <v>10</v>
      </c>
      <c r="C585" s="2">
        <v>46087.41888114583</v>
      </c>
      <c r="D585">
        <v>576</v>
      </c>
      <c r="E585" s="7" t="s">
        <v>34</v>
      </c>
      <c r="F585" s="2">
        <v>46087.085547812501</v>
      </c>
      <c r="G585" s="3">
        <v>46087</v>
      </c>
      <c r="H585" t="s">
        <v>115</v>
      </c>
      <c r="I585">
        <v>2</v>
      </c>
    </row>
    <row r="586" spans="1:9" x14ac:dyDescent="0.2">
      <c r="A586" s="16" t="s">
        <v>629</v>
      </c>
      <c r="B586" s="16" t="s">
        <v>10</v>
      </c>
      <c r="C586" s="2">
        <v>46087.421748263892</v>
      </c>
      <c r="D586">
        <v>532</v>
      </c>
      <c r="F586" s="2">
        <v>46087.088414930557</v>
      </c>
      <c r="G586" s="3">
        <v>46087</v>
      </c>
      <c r="H586" t="s">
        <v>115</v>
      </c>
      <c r="I586">
        <v>2</v>
      </c>
    </row>
    <row r="587" spans="1:9" x14ac:dyDescent="0.2">
      <c r="A587" s="16" t="s">
        <v>630</v>
      </c>
      <c r="B587" s="16" t="s">
        <v>10</v>
      </c>
      <c r="C587" s="2">
        <v>46087.423077951389</v>
      </c>
      <c r="D587">
        <v>532</v>
      </c>
      <c r="F587" s="2">
        <v>46087.089744618053</v>
      </c>
      <c r="G587" s="3">
        <v>46087</v>
      </c>
      <c r="H587" t="s">
        <v>115</v>
      </c>
      <c r="I587">
        <v>2</v>
      </c>
    </row>
    <row r="588" spans="1:9" x14ac:dyDescent="0.2">
      <c r="A588" s="16" t="s">
        <v>631</v>
      </c>
      <c r="B588" s="16" t="s">
        <v>10</v>
      </c>
      <c r="C588" s="2">
        <v>46087.428754247689</v>
      </c>
      <c r="D588">
        <v>3</v>
      </c>
      <c r="F588" s="2">
        <v>46087.095420914353</v>
      </c>
      <c r="G588" s="3">
        <v>46087</v>
      </c>
      <c r="H588" t="s">
        <v>115</v>
      </c>
      <c r="I588">
        <v>2</v>
      </c>
    </row>
    <row r="589" spans="1:9" x14ac:dyDescent="0.2">
      <c r="A589" s="16" t="s">
        <v>794</v>
      </c>
      <c r="B589" s="16" t="s">
        <v>10</v>
      </c>
      <c r="C589" s="2">
        <v>46087.436209270832</v>
      </c>
      <c r="D589">
        <v>576</v>
      </c>
      <c r="F589" s="2">
        <v>46087.102875937497</v>
      </c>
      <c r="G589" s="3">
        <v>46087</v>
      </c>
      <c r="H589" t="s">
        <v>115</v>
      </c>
      <c r="I589">
        <v>2</v>
      </c>
    </row>
    <row r="590" spans="1:9" x14ac:dyDescent="0.2">
      <c r="A590" s="16" t="s">
        <v>795</v>
      </c>
      <c r="B590" s="16" t="s">
        <v>10</v>
      </c>
      <c r="C590" s="2">
        <v>46087.437105763885</v>
      </c>
      <c r="D590">
        <v>576</v>
      </c>
      <c r="E590" s="7" t="s">
        <v>34</v>
      </c>
      <c r="F590" s="2">
        <v>46087.103772430557</v>
      </c>
      <c r="G590" s="3">
        <v>46087</v>
      </c>
      <c r="H590" t="s">
        <v>115</v>
      </c>
      <c r="I590">
        <v>2</v>
      </c>
    </row>
    <row r="591" spans="1:9" x14ac:dyDescent="0.2">
      <c r="A591" s="16" t="s">
        <v>796</v>
      </c>
      <c r="B591" s="16" t="s">
        <v>10</v>
      </c>
      <c r="C591" s="2">
        <v>46087.443752129628</v>
      </c>
      <c r="D591">
        <v>532</v>
      </c>
      <c r="F591" s="2">
        <v>46087.110418796299</v>
      </c>
      <c r="G591" s="3">
        <v>46087</v>
      </c>
      <c r="H591" t="s">
        <v>115</v>
      </c>
      <c r="I591">
        <v>2</v>
      </c>
    </row>
    <row r="592" spans="1:9" x14ac:dyDescent="0.2">
      <c r="A592" s="16" t="s">
        <v>797</v>
      </c>
      <c r="B592" s="16" t="s">
        <v>10</v>
      </c>
      <c r="C592" s="2">
        <v>46087.455228078703</v>
      </c>
      <c r="D592">
        <v>532</v>
      </c>
      <c r="F592" s="2">
        <v>46087.121894745367</v>
      </c>
      <c r="G592" s="3">
        <v>46087</v>
      </c>
      <c r="H592" t="s">
        <v>115</v>
      </c>
      <c r="I592">
        <v>2</v>
      </c>
    </row>
    <row r="593" spans="1:9" x14ac:dyDescent="0.2">
      <c r="A593" s="16" t="s">
        <v>632</v>
      </c>
      <c r="B593" s="16" t="s">
        <v>10</v>
      </c>
      <c r="C593" s="2">
        <v>46087.458570497685</v>
      </c>
      <c r="D593">
        <v>2</v>
      </c>
      <c r="F593" s="2">
        <v>46087.12523716435</v>
      </c>
      <c r="G593" s="3">
        <v>46087</v>
      </c>
      <c r="H593" t="s">
        <v>115</v>
      </c>
      <c r="I593">
        <v>3</v>
      </c>
    </row>
    <row r="594" spans="1:9" x14ac:dyDescent="0.2">
      <c r="A594" s="16" t="s">
        <v>633</v>
      </c>
      <c r="B594" s="16" t="s">
        <v>10</v>
      </c>
      <c r="C594" s="2">
        <v>46087.459922361108</v>
      </c>
      <c r="D594">
        <v>576</v>
      </c>
      <c r="E594" s="7" t="s">
        <v>34</v>
      </c>
      <c r="F594" s="2">
        <v>46087.126589027779</v>
      </c>
      <c r="G594" s="3">
        <v>46087</v>
      </c>
      <c r="H594" t="s">
        <v>115</v>
      </c>
      <c r="I594">
        <v>3</v>
      </c>
    </row>
    <row r="595" spans="1:9" x14ac:dyDescent="0.2">
      <c r="A595" s="16" t="s">
        <v>857</v>
      </c>
      <c r="B595" s="16" t="s">
        <v>10</v>
      </c>
      <c r="C595" s="2">
        <v>46087.473946053244</v>
      </c>
      <c r="D595">
        <v>432</v>
      </c>
      <c r="E595" s="7" t="s">
        <v>34</v>
      </c>
      <c r="F595" s="2">
        <v>46087.140612719908</v>
      </c>
      <c r="G595" s="3">
        <v>46087</v>
      </c>
      <c r="H595" t="s">
        <v>115</v>
      </c>
      <c r="I595">
        <v>3</v>
      </c>
    </row>
    <row r="596" spans="1:9" x14ac:dyDescent="0.2">
      <c r="A596" s="16" t="s">
        <v>798</v>
      </c>
      <c r="B596" s="16" t="s">
        <v>10</v>
      </c>
      <c r="C596" s="2">
        <v>46087.512018182868</v>
      </c>
      <c r="D596">
        <v>432</v>
      </c>
      <c r="E596" s="7" t="s">
        <v>34</v>
      </c>
      <c r="F596" s="2">
        <v>46087.178684849539</v>
      </c>
      <c r="G596" s="3">
        <v>46087</v>
      </c>
      <c r="H596" t="s">
        <v>115</v>
      </c>
      <c r="I596">
        <v>4</v>
      </c>
    </row>
    <row r="597" spans="1:9" x14ac:dyDescent="0.2">
      <c r="A597" s="16" t="s">
        <v>806</v>
      </c>
      <c r="B597" s="16" t="s">
        <v>10</v>
      </c>
      <c r="C597" s="2">
        <v>46087.516137511571</v>
      </c>
      <c r="D597">
        <v>432</v>
      </c>
      <c r="E597" s="7" t="s">
        <v>34</v>
      </c>
      <c r="F597" s="2">
        <v>46087.182804178243</v>
      </c>
      <c r="G597" s="3">
        <v>46087</v>
      </c>
      <c r="H597" t="s">
        <v>115</v>
      </c>
      <c r="I597">
        <v>4</v>
      </c>
    </row>
    <row r="598" spans="1:9" x14ac:dyDescent="0.2">
      <c r="A598" s="16" t="s">
        <v>634</v>
      </c>
      <c r="B598" s="16" t="s">
        <v>10</v>
      </c>
      <c r="C598" s="2">
        <v>46087.520795613425</v>
      </c>
      <c r="D598">
        <v>432</v>
      </c>
      <c r="E598" s="7" t="s">
        <v>34</v>
      </c>
      <c r="F598" s="2">
        <v>46087.18746228009</v>
      </c>
      <c r="G598" s="3">
        <v>46087</v>
      </c>
      <c r="H598" t="s">
        <v>115</v>
      </c>
      <c r="I598">
        <v>4</v>
      </c>
    </row>
    <row r="599" spans="1:9" x14ac:dyDescent="0.2">
      <c r="A599" s="16" t="s">
        <v>1157</v>
      </c>
      <c r="B599" s="16" t="s">
        <v>10</v>
      </c>
      <c r="C599" s="2">
        <v>46087.538359953702</v>
      </c>
      <c r="D599">
        <v>432</v>
      </c>
      <c r="E599" s="7" t="s">
        <v>34</v>
      </c>
      <c r="F599" s="2">
        <v>46087.205026620373</v>
      </c>
      <c r="G599" s="3">
        <v>46087</v>
      </c>
      <c r="H599" t="s">
        <v>115</v>
      </c>
      <c r="I599">
        <v>4</v>
      </c>
    </row>
    <row r="600" spans="1:9" x14ac:dyDescent="0.2">
      <c r="A600" s="16" t="s">
        <v>635</v>
      </c>
      <c r="B600" s="16" t="s">
        <v>10</v>
      </c>
      <c r="C600" s="2">
        <v>46087.548566493053</v>
      </c>
      <c r="D600">
        <v>432</v>
      </c>
      <c r="E600" s="7" t="s">
        <v>34</v>
      </c>
      <c r="F600" s="2">
        <v>46087.215233159724</v>
      </c>
      <c r="G600" s="3">
        <v>46087</v>
      </c>
      <c r="H600" t="s">
        <v>115</v>
      </c>
      <c r="I600">
        <v>5</v>
      </c>
    </row>
    <row r="601" spans="1:9" x14ac:dyDescent="0.2">
      <c r="A601" s="16" t="s">
        <v>1064</v>
      </c>
      <c r="B601" s="16" t="s">
        <v>10</v>
      </c>
      <c r="C601" s="2">
        <v>46087.553537106483</v>
      </c>
      <c r="D601">
        <v>432</v>
      </c>
      <c r="E601" s="7" t="s">
        <v>34</v>
      </c>
      <c r="F601" s="2">
        <v>46087.220203773148</v>
      </c>
      <c r="G601" s="3">
        <v>46087</v>
      </c>
      <c r="H601" t="s">
        <v>115</v>
      </c>
      <c r="I601">
        <v>5</v>
      </c>
    </row>
    <row r="602" spans="1:9" x14ac:dyDescent="0.2">
      <c r="A602" s="16" t="s">
        <v>636</v>
      </c>
      <c r="B602" s="16" t="s">
        <v>10</v>
      </c>
      <c r="C602" s="2">
        <v>46087.567314803244</v>
      </c>
      <c r="D602">
        <v>576</v>
      </c>
      <c r="F602" s="2">
        <v>46087.233981469908</v>
      </c>
      <c r="G602" s="3">
        <v>46087</v>
      </c>
      <c r="H602" t="s">
        <v>115</v>
      </c>
      <c r="I602">
        <v>5</v>
      </c>
    </row>
    <row r="603" spans="1:9" x14ac:dyDescent="0.2">
      <c r="A603" s="16" t="s">
        <v>835</v>
      </c>
      <c r="B603" s="16" t="s">
        <v>10</v>
      </c>
      <c r="C603" s="2">
        <v>46087.567664756942</v>
      </c>
      <c r="D603">
        <v>432</v>
      </c>
      <c r="E603" s="7" t="s">
        <v>34</v>
      </c>
      <c r="F603" s="2">
        <v>46087.234331423613</v>
      </c>
      <c r="G603" s="3">
        <v>46087</v>
      </c>
      <c r="H603" t="s">
        <v>115</v>
      </c>
      <c r="I603">
        <v>5</v>
      </c>
    </row>
    <row r="604" spans="1:9" x14ac:dyDescent="0.2">
      <c r="A604" s="16" t="s">
        <v>637</v>
      </c>
      <c r="B604" s="16" t="s">
        <v>10</v>
      </c>
      <c r="C604" s="2">
        <v>46087.568801851849</v>
      </c>
      <c r="D604">
        <v>3</v>
      </c>
      <c r="F604" s="2">
        <v>46087.23546851852</v>
      </c>
      <c r="G604" s="3">
        <v>46087</v>
      </c>
      <c r="H604" t="s">
        <v>115</v>
      </c>
      <c r="I604">
        <v>5</v>
      </c>
    </row>
    <row r="605" spans="1:9" x14ac:dyDescent="0.2">
      <c r="A605" s="16" t="s">
        <v>638</v>
      </c>
      <c r="B605" s="16" t="s">
        <v>10</v>
      </c>
      <c r="C605" s="2">
        <v>46087.5688547338</v>
      </c>
      <c r="D605">
        <v>617</v>
      </c>
      <c r="F605" s="2">
        <v>46087.235521400464</v>
      </c>
      <c r="G605" s="3">
        <v>46087</v>
      </c>
      <c r="H605" t="s">
        <v>115</v>
      </c>
      <c r="I605">
        <v>5</v>
      </c>
    </row>
    <row r="606" spans="1:9" x14ac:dyDescent="0.2">
      <c r="A606" s="16" t="s">
        <v>639</v>
      </c>
      <c r="B606" s="16" t="s">
        <v>10</v>
      </c>
      <c r="C606" s="2">
        <v>46087.583339050929</v>
      </c>
      <c r="D606">
        <v>432</v>
      </c>
      <c r="E606" s="7" t="s">
        <v>34</v>
      </c>
      <c r="F606" s="2">
        <v>46087.250005717593</v>
      </c>
      <c r="G606" s="3">
        <v>46087</v>
      </c>
      <c r="H606" t="s">
        <v>115</v>
      </c>
      <c r="I606">
        <v>6</v>
      </c>
    </row>
    <row r="607" spans="1:9" x14ac:dyDescent="0.2">
      <c r="A607" s="16" t="s">
        <v>640</v>
      </c>
      <c r="B607" s="16" t="s">
        <v>10</v>
      </c>
      <c r="C607" s="2">
        <v>46087.607017499999</v>
      </c>
      <c r="D607">
        <v>532</v>
      </c>
      <c r="F607" s="2">
        <v>46087.27368416667</v>
      </c>
      <c r="G607" s="3">
        <v>46087</v>
      </c>
      <c r="H607" t="s">
        <v>115</v>
      </c>
      <c r="I607">
        <v>6</v>
      </c>
    </row>
    <row r="608" spans="1:9" x14ac:dyDescent="0.2">
      <c r="A608" s="16" t="s">
        <v>641</v>
      </c>
      <c r="B608" s="16" t="s">
        <v>10</v>
      </c>
      <c r="C608" s="2">
        <v>46087.610557048611</v>
      </c>
      <c r="D608">
        <v>532</v>
      </c>
      <c r="F608" s="2">
        <v>46087.277223715275</v>
      </c>
      <c r="G608" s="3">
        <v>46087</v>
      </c>
      <c r="H608" t="s">
        <v>115</v>
      </c>
      <c r="I608">
        <v>6</v>
      </c>
    </row>
    <row r="609" spans="1:9" x14ac:dyDescent="0.2">
      <c r="A609" s="16" t="s">
        <v>642</v>
      </c>
      <c r="B609" s="16" t="s">
        <v>10</v>
      </c>
      <c r="C609" s="2">
        <v>46087.625934212963</v>
      </c>
      <c r="D609">
        <v>432</v>
      </c>
      <c r="E609" s="7" t="s">
        <v>34</v>
      </c>
      <c r="F609" s="2">
        <v>46087.292600879628</v>
      </c>
      <c r="G609" s="3">
        <v>46087</v>
      </c>
      <c r="H609" t="s">
        <v>115</v>
      </c>
      <c r="I609">
        <v>7</v>
      </c>
    </row>
    <row r="610" spans="1:9" x14ac:dyDescent="0.2">
      <c r="A610" s="16" t="s">
        <v>643</v>
      </c>
      <c r="B610" s="16" t="s">
        <v>10</v>
      </c>
      <c r="C610" s="2">
        <v>46087.656326180557</v>
      </c>
      <c r="D610">
        <v>576</v>
      </c>
      <c r="E610" s="7" t="s">
        <v>582</v>
      </c>
      <c r="F610" s="2">
        <v>46087.322992847221</v>
      </c>
      <c r="G610" s="3">
        <v>46087</v>
      </c>
      <c r="H610" t="s">
        <v>115</v>
      </c>
      <c r="I610">
        <v>7</v>
      </c>
    </row>
    <row r="611" spans="1:9" x14ac:dyDescent="0.2">
      <c r="A611" s="16" t="s">
        <v>644</v>
      </c>
      <c r="B611" s="16" t="s">
        <v>10</v>
      </c>
      <c r="C611" s="2">
        <v>46087.657838449071</v>
      </c>
      <c r="D611">
        <v>3</v>
      </c>
      <c r="F611" s="2">
        <v>46087.324505115743</v>
      </c>
      <c r="G611" s="3">
        <v>46087</v>
      </c>
      <c r="H611" t="s">
        <v>115</v>
      </c>
      <c r="I611">
        <v>7</v>
      </c>
    </row>
    <row r="612" spans="1:9" x14ac:dyDescent="0.2">
      <c r="A612" s="16" t="s">
        <v>645</v>
      </c>
      <c r="B612" s="16" t="s">
        <v>10</v>
      </c>
      <c r="C612" s="2">
        <v>46087.667352326389</v>
      </c>
      <c r="D612">
        <v>576</v>
      </c>
      <c r="E612" s="7" t="s">
        <v>34</v>
      </c>
      <c r="F612" s="2">
        <v>46087.334018993053</v>
      </c>
      <c r="G612" s="3">
        <v>46087</v>
      </c>
      <c r="H612" t="s">
        <v>115</v>
      </c>
      <c r="I612">
        <v>8</v>
      </c>
    </row>
    <row r="613" spans="1:9" x14ac:dyDescent="0.2">
      <c r="A613" s="16" t="s">
        <v>646</v>
      </c>
      <c r="B613" s="16" t="s">
        <v>10</v>
      </c>
      <c r="C613" s="2">
        <v>46087.677949780089</v>
      </c>
      <c r="D613">
        <v>1</v>
      </c>
      <c r="F613" s="2">
        <v>46087.34461644676</v>
      </c>
      <c r="G613" s="3">
        <v>46087</v>
      </c>
      <c r="H613" t="s">
        <v>115</v>
      </c>
      <c r="I613">
        <v>8</v>
      </c>
    </row>
    <row r="614" spans="1:9" x14ac:dyDescent="0.2">
      <c r="A614" s="16" t="s">
        <v>647</v>
      </c>
      <c r="B614" s="16" t="s">
        <v>10</v>
      </c>
      <c r="C614" s="2">
        <v>46087.694585798614</v>
      </c>
      <c r="D614">
        <v>618</v>
      </c>
      <c r="F614" s="2">
        <v>46087.361252465278</v>
      </c>
      <c r="G614" s="3">
        <v>46087</v>
      </c>
      <c r="H614" t="s">
        <v>115</v>
      </c>
      <c r="I614">
        <v>8</v>
      </c>
    </row>
    <row r="615" spans="1:9" x14ac:dyDescent="0.2">
      <c r="A615" s="16" t="s">
        <v>648</v>
      </c>
      <c r="B615" s="16" t="s">
        <v>10</v>
      </c>
      <c r="C615" s="2">
        <v>46087.698396793981</v>
      </c>
      <c r="D615">
        <v>3</v>
      </c>
      <c r="F615" s="2">
        <v>46087.365063460646</v>
      </c>
      <c r="G615" s="3">
        <v>46087</v>
      </c>
      <c r="H615" t="s">
        <v>115</v>
      </c>
      <c r="I615">
        <v>8</v>
      </c>
    </row>
    <row r="616" spans="1:9" x14ac:dyDescent="0.2">
      <c r="A616" s="16" t="s">
        <v>649</v>
      </c>
      <c r="B616" s="16" t="s">
        <v>10</v>
      </c>
      <c r="C616" s="2">
        <v>46087.700693148145</v>
      </c>
      <c r="D616">
        <v>3</v>
      </c>
      <c r="F616" s="2">
        <v>46087.367359814816</v>
      </c>
      <c r="G616" s="3">
        <v>46087</v>
      </c>
      <c r="H616" t="s">
        <v>115</v>
      </c>
      <c r="I616">
        <v>8</v>
      </c>
    </row>
    <row r="617" spans="1:9" x14ac:dyDescent="0.2">
      <c r="A617" s="16" t="s">
        <v>650</v>
      </c>
      <c r="B617" s="16" t="s">
        <v>10</v>
      </c>
      <c r="C617" s="2">
        <v>46087.703804537035</v>
      </c>
      <c r="D617">
        <v>2</v>
      </c>
      <c r="E617" s="7" t="s">
        <v>651</v>
      </c>
      <c r="F617" s="2">
        <v>46087.370471203707</v>
      </c>
      <c r="G617" s="3">
        <v>46087</v>
      </c>
      <c r="H617" t="s">
        <v>115</v>
      </c>
      <c r="I617">
        <v>8</v>
      </c>
    </row>
    <row r="618" spans="1:9" x14ac:dyDescent="0.2">
      <c r="A618" s="16" t="s">
        <v>652</v>
      </c>
      <c r="B618" s="16" t="s">
        <v>10</v>
      </c>
      <c r="C618" s="2">
        <v>46087.721062326389</v>
      </c>
      <c r="D618">
        <v>532</v>
      </c>
      <c r="F618" s="2">
        <v>46087.387728993053</v>
      </c>
      <c r="G618" s="3">
        <v>46087</v>
      </c>
      <c r="H618" t="s">
        <v>115</v>
      </c>
      <c r="I618">
        <v>9</v>
      </c>
    </row>
    <row r="619" spans="1:9" x14ac:dyDescent="0.2">
      <c r="A619" s="16" t="s">
        <v>653</v>
      </c>
      <c r="B619" s="16" t="s">
        <v>10</v>
      </c>
      <c r="C619" s="2">
        <v>46087.724496076386</v>
      </c>
      <c r="D619">
        <v>432</v>
      </c>
      <c r="E619" s="7" t="s">
        <v>34</v>
      </c>
      <c r="F619" s="2">
        <v>46087.391162743057</v>
      </c>
      <c r="G619" s="3">
        <v>46087</v>
      </c>
      <c r="H619" t="s">
        <v>115</v>
      </c>
      <c r="I619">
        <v>9</v>
      </c>
    </row>
    <row r="620" spans="1:9" x14ac:dyDescent="0.2">
      <c r="A620" s="16" t="s">
        <v>654</v>
      </c>
      <c r="B620" s="16" t="s">
        <v>10</v>
      </c>
      <c r="C620" s="2">
        <v>46087.756717118056</v>
      </c>
      <c r="D620">
        <v>432</v>
      </c>
      <c r="E620" s="7" t="s">
        <v>34</v>
      </c>
      <c r="F620" s="2">
        <v>46087.42338378472</v>
      </c>
      <c r="G620" s="3">
        <v>46087</v>
      </c>
      <c r="H620" t="s">
        <v>115</v>
      </c>
      <c r="I620">
        <v>10</v>
      </c>
    </row>
    <row r="621" spans="1:9" x14ac:dyDescent="0.2">
      <c r="A621" s="16" t="s">
        <v>655</v>
      </c>
      <c r="B621" s="16" t="s">
        <v>10</v>
      </c>
      <c r="C621" s="2">
        <v>46087.81064802083</v>
      </c>
      <c r="D621">
        <v>432</v>
      </c>
      <c r="E621" s="7" t="s">
        <v>34</v>
      </c>
      <c r="F621" s="2">
        <v>46087.477314687501</v>
      </c>
      <c r="G621" s="3">
        <v>46087</v>
      </c>
      <c r="H621" t="s">
        <v>115</v>
      </c>
      <c r="I621">
        <v>11</v>
      </c>
    </row>
    <row r="622" spans="1:9" x14ac:dyDescent="0.2">
      <c r="A622" s="16" t="s">
        <v>656</v>
      </c>
      <c r="B622" s="16" t="s">
        <v>10</v>
      </c>
      <c r="C622" s="2">
        <v>46087.84135609954</v>
      </c>
      <c r="D622">
        <v>432</v>
      </c>
      <c r="E622" s="7" t="s">
        <v>34</v>
      </c>
      <c r="F622" s="2">
        <v>46087.508022766204</v>
      </c>
      <c r="G622" s="3">
        <v>46087</v>
      </c>
      <c r="H622" t="s">
        <v>115</v>
      </c>
      <c r="I622">
        <v>12</v>
      </c>
    </row>
    <row r="623" spans="1:9" x14ac:dyDescent="0.2">
      <c r="A623" s="16" t="s">
        <v>657</v>
      </c>
      <c r="B623" s="16" t="s">
        <v>10</v>
      </c>
      <c r="C623" s="2">
        <v>46088.037522071761</v>
      </c>
      <c r="D623">
        <v>3</v>
      </c>
      <c r="F623" s="2">
        <v>46087.704188738426</v>
      </c>
      <c r="G623" s="3">
        <v>46087</v>
      </c>
      <c r="H623" t="s">
        <v>115</v>
      </c>
      <c r="I623">
        <v>16</v>
      </c>
    </row>
    <row r="624" spans="1:9" x14ac:dyDescent="0.2">
      <c r="A624" s="16" t="s">
        <v>658</v>
      </c>
      <c r="B624" s="16" t="s">
        <v>10</v>
      </c>
      <c r="C624" s="2">
        <v>46088.037701724534</v>
      </c>
      <c r="D624">
        <v>3</v>
      </c>
      <c r="E624" s="7" t="s">
        <v>86</v>
      </c>
      <c r="F624" s="2">
        <v>46087.704368391205</v>
      </c>
      <c r="G624" s="3">
        <v>46087</v>
      </c>
      <c r="H624" t="s">
        <v>115</v>
      </c>
      <c r="I624">
        <v>16</v>
      </c>
    </row>
    <row r="625" spans="1:9" x14ac:dyDescent="0.2">
      <c r="A625" s="16" t="s">
        <v>659</v>
      </c>
      <c r="B625" s="16" t="s">
        <v>10</v>
      </c>
      <c r="C625" s="2">
        <v>46088.039638946757</v>
      </c>
      <c r="D625">
        <v>3</v>
      </c>
      <c r="E625" s="7" t="s">
        <v>70</v>
      </c>
      <c r="F625" s="2">
        <v>46087.706305613428</v>
      </c>
      <c r="G625" s="3">
        <v>46087</v>
      </c>
      <c r="H625" t="s">
        <v>115</v>
      </c>
      <c r="I625">
        <v>16</v>
      </c>
    </row>
    <row r="626" spans="1:9" x14ac:dyDescent="0.2">
      <c r="A626" s="16" t="s">
        <v>660</v>
      </c>
      <c r="B626" s="16" t="s">
        <v>10</v>
      </c>
      <c r="C626" s="2">
        <v>46088.042063935187</v>
      </c>
      <c r="D626">
        <v>3</v>
      </c>
      <c r="E626" s="7" t="s">
        <v>86</v>
      </c>
      <c r="F626" s="2">
        <v>46087.708730601851</v>
      </c>
      <c r="G626" s="3">
        <v>46087</v>
      </c>
      <c r="H626" t="s">
        <v>115</v>
      </c>
      <c r="I626">
        <v>17</v>
      </c>
    </row>
    <row r="627" spans="1:9" x14ac:dyDescent="0.2">
      <c r="A627" s="16" t="s">
        <v>661</v>
      </c>
      <c r="B627" s="16" t="s">
        <v>10</v>
      </c>
      <c r="C627" s="2">
        <v>46088.044221655095</v>
      </c>
      <c r="D627">
        <v>3</v>
      </c>
      <c r="E627" s="7" t="s">
        <v>70</v>
      </c>
      <c r="F627" s="2">
        <v>46087.710888321759</v>
      </c>
      <c r="G627" s="3">
        <v>46087</v>
      </c>
      <c r="H627" t="s">
        <v>115</v>
      </c>
      <c r="I627">
        <v>17</v>
      </c>
    </row>
    <row r="628" spans="1:9" x14ac:dyDescent="0.2">
      <c r="A628" s="16" t="s">
        <v>662</v>
      </c>
      <c r="B628" s="16" t="s">
        <v>10</v>
      </c>
      <c r="C628" s="2">
        <v>46088.106888993054</v>
      </c>
      <c r="D628">
        <v>3</v>
      </c>
      <c r="E628" s="7" t="s">
        <v>70</v>
      </c>
      <c r="F628" s="2">
        <v>46087.773555659725</v>
      </c>
      <c r="G628" s="3">
        <v>46087</v>
      </c>
      <c r="H628" t="s">
        <v>115</v>
      </c>
      <c r="I628">
        <v>18</v>
      </c>
    </row>
    <row r="629" spans="1:9" x14ac:dyDescent="0.2">
      <c r="A629" s="16" t="s">
        <v>663</v>
      </c>
      <c r="B629" s="16" t="s">
        <v>10</v>
      </c>
      <c r="C629" s="2">
        <v>46088.359522569444</v>
      </c>
      <c r="D629">
        <v>532</v>
      </c>
      <c r="E629" s="7" t="s">
        <v>31</v>
      </c>
      <c r="F629" s="2">
        <v>46088.026189236109</v>
      </c>
      <c r="G629" s="3">
        <v>46088</v>
      </c>
      <c r="H629" t="s">
        <v>120</v>
      </c>
      <c r="I629">
        <v>0</v>
      </c>
    </row>
    <row r="630" spans="1:9" x14ac:dyDescent="0.2">
      <c r="A630" s="16" t="s">
        <v>664</v>
      </c>
      <c r="B630" s="16" t="s">
        <v>10</v>
      </c>
      <c r="C630" s="2">
        <v>46088.36578709491</v>
      </c>
      <c r="D630">
        <v>532</v>
      </c>
      <c r="F630" s="2">
        <v>46088.032453761574</v>
      </c>
      <c r="G630" s="3">
        <v>46088</v>
      </c>
      <c r="H630" t="s">
        <v>120</v>
      </c>
      <c r="I630">
        <v>0</v>
      </c>
    </row>
    <row r="631" spans="1:9" x14ac:dyDescent="0.2">
      <c r="A631" s="16" t="s">
        <v>665</v>
      </c>
      <c r="B631" s="16" t="s">
        <v>10</v>
      </c>
      <c r="C631" s="2">
        <v>46088.378264120372</v>
      </c>
      <c r="D631">
        <v>532</v>
      </c>
      <c r="E631" s="7" t="s">
        <v>31</v>
      </c>
      <c r="F631" s="2">
        <v>46088.044930787037</v>
      </c>
      <c r="G631" s="3">
        <v>46088</v>
      </c>
      <c r="H631" t="s">
        <v>120</v>
      </c>
      <c r="I631">
        <v>1</v>
      </c>
    </row>
    <row r="632" spans="1:9" x14ac:dyDescent="0.2">
      <c r="A632" s="16" t="s">
        <v>666</v>
      </c>
      <c r="B632" s="16" t="s">
        <v>10</v>
      </c>
      <c r="C632" s="2">
        <v>46088.420121064817</v>
      </c>
      <c r="D632">
        <v>532</v>
      </c>
      <c r="E632" s="7" t="s">
        <v>31</v>
      </c>
      <c r="F632" s="2">
        <v>46088.086787731481</v>
      </c>
      <c r="G632" s="3">
        <v>46088</v>
      </c>
      <c r="H632" t="s">
        <v>120</v>
      </c>
      <c r="I632">
        <v>2</v>
      </c>
    </row>
    <row r="633" spans="1:9" x14ac:dyDescent="0.2">
      <c r="A633" s="16" t="s">
        <v>667</v>
      </c>
      <c r="B633" s="16" t="s">
        <v>10</v>
      </c>
      <c r="C633" s="2">
        <v>46088.429570173612</v>
      </c>
      <c r="D633">
        <v>3</v>
      </c>
      <c r="E633" s="7">
        <v>10851</v>
      </c>
      <c r="F633" s="2">
        <v>46088.096236840276</v>
      </c>
      <c r="G633" s="3">
        <v>46088</v>
      </c>
      <c r="H633" t="s">
        <v>120</v>
      </c>
      <c r="I633">
        <v>2</v>
      </c>
    </row>
    <row r="634" spans="1:9" x14ac:dyDescent="0.2">
      <c r="A634" s="16" t="s">
        <v>668</v>
      </c>
      <c r="B634" s="16" t="s">
        <v>10</v>
      </c>
      <c r="C634" s="2">
        <v>46088.472655011574</v>
      </c>
      <c r="D634">
        <v>576</v>
      </c>
      <c r="F634" s="2">
        <v>46088.139321678238</v>
      </c>
      <c r="G634" s="3">
        <v>46088</v>
      </c>
      <c r="H634" t="s">
        <v>120</v>
      </c>
      <c r="I634">
        <v>3</v>
      </c>
    </row>
    <row r="635" spans="1:9" x14ac:dyDescent="0.2">
      <c r="A635" s="16" t="s">
        <v>669</v>
      </c>
      <c r="B635" s="16" t="s">
        <v>10</v>
      </c>
      <c r="C635" s="2">
        <v>46088.501540254627</v>
      </c>
      <c r="D635">
        <v>532</v>
      </c>
      <c r="F635" s="2">
        <v>46088.168206921298</v>
      </c>
      <c r="G635" s="3">
        <v>46088</v>
      </c>
      <c r="H635" t="s">
        <v>120</v>
      </c>
      <c r="I635">
        <v>4</v>
      </c>
    </row>
    <row r="636" spans="1:9" x14ac:dyDescent="0.2">
      <c r="A636" s="16" t="s">
        <v>670</v>
      </c>
      <c r="B636" s="16" t="s">
        <v>10</v>
      </c>
      <c r="C636" s="2">
        <v>46088.529906944445</v>
      </c>
      <c r="D636">
        <v>532</v>
      </c>
      <c r="E636" s="7" t="s">
        <v>31</v>
      </c>
      <c r="F636" s="2">
        <v>46088.196573611109</v>
      </c>
      <c r="G636" s="3">
        <v>46088</v>
      </c>
      <c r="H636" t="s">
        <v>120</v>
      </c>
      <c r="I636">
        <v>4</v>
      </c>
    </row>
    <row r="637" spans="1:9" x14ac:dyDescent="0.2">
      <c r="A637" s="16" t="s">
        <v>671</v>
      </c>
      <c r="B637" s="16" t="s">
        <v>10</v>
      </c>
      <c r="C637" s="2">
        <v>46088.620702974535</v>
      </c>
      <c r="D637">
        <v>3</v>
      </c>
      <c r="E637" s="7" t="s">
        <v>275</v>
      </c>
      <c r="F637" s="2">
        <v>46088.287369641206</v>
      </c>
      <c r="G637" s="3">
        <v>46088</v>
      </c>
      <c r="H637" t="s">
        <v>120</v>
      </c>
      <c r="I637">
        <v>6</v>
      </c>
    </row>
    <row r="638" spans="1:9" x14ac:dyDescent="0.2">
      <c r="A638" s="16" t="s">
        <v>672</v>
      </c>
      <c r="B638" s="16" t="s">
        <v>10</v>
      </c>
      <c r="C638" s="2">
        <v>46088.625560451386</v>
      </c>
      <c r="D638">
        <v>532</v>
      </c>
      <c r="E638" s="7" t="s">
        <v>275</v>
      </c>
      <c r="F638" s="2">
        <v>46088.292227118058</v>
      </c>
      <c r="G638" s="3">
        <v>46088</v>
      </c>
      <c r="H638" t="s">
        <v>120</v>
      </c>
      <c r="I638">
        <v>7</v>
      </c>
    </row>
    <row r="639" spans="1:9" x14ac:dyDescent="0.2">
      <c r="A639" s="16" t="s">
        <v>673</v>
      </c>
      <c r="B639" s="16" t="s">
        <v>10</v>
      </c>
      <c r="C639" s="2">
        <v>46088.843174583337</v>
      </c>
      <c r="D639">
        <v>3</v>
      </c>
      <c r="F639" s="2">
        <v>46088.509841250001</v>
      </c>
      <c r="G639" s="3">
        <v>46088</v>
      </c>
      <c r="H639" t="s">
        <v>120</v>
      </c>
      <c r="I639">
        <v>12</v>
      </c>
    </row>
    <row r="640" spans="1:9" x14ac:dyDescent="0.2">
      <c r="A640" s="16" t="s">
        <v>674</v>
      </c>
      <c r="B640" s="16" t="s">
        <v>10</v>
      </c>
      <c r="C640" s="2">
        <v>46089.443287650465</v>
      </c>
      <c r="D640">
        <v>532</v>
      </c>
      <c r="E640" s="7" t="s">
        <v>31</v>
      </c>
      <c r="F640" s="2">
        <v>46089.151620983794</v>
      </c>
      <c r="G640" s="3">
        <v>46089</v>
      </c>
      <c r="H640" t="s">
        <v>125</v>
      </c>
      <c r="I640">
        <v>3</v>
      </c>
    </row>
    <row r="641" spans="1:9" x14ac:dyDescent="0.2">
      <c r="A641" s="16" t="s">
        <v>675</v>
      </c>
      <c r="B641" s="16" t="s">
        <v>10</v>
      </c>
      <c r="C641" s="2">
        <v>46089.448862129633</v>
      </c>
      <c r="D641">
        <v>532</v>
      </c>
      <c r="F641" s="2">
        <v>46089.157195462962</v>
      </c>
      <c r="G641" s="3">
        <v>46089</v>
      </c>
      <c r="H641" t="s">
        <v>125</v>
      </c>
      <c r="I641">
        <v>3</v>
      </c>
    </row>
    <row r="642" spans="1:9" x14ac:dyDescent="0.2">
      <c r="A642" s="16" t="s">
        <v>676</v>
      </c>
      <c r="B642" s="16" t="s">
        <v>10</v>
      </c>
      <c r="C642" s="2">
        <v>46089.465589375002</v>
      </c>
      <c r="D642">
        <v>5</v>
      </c>
      <c r="F642" s="2">
        <v>46089.173922708331</v>
      </c>
      <c r="G642" s="3">
        <v>46089</v>
      </c>
      <c r="H642" t="s">
        <v>125</v>
      </c>
      <c r="I642">
        <v>4</v>
      </c>
    </row>
    <row r="643" spans="1:9" x14ac:dyDescent="0.2">
      <c r="A643" s="16" t="s">
        <v>677</v>
      </c>
      <c r="B643" s="16" t="s">
        <v>10</v>
      </c>
      <c r="C643" s="2">
        <v>46089.527281446761</v>
      </c>
      <c r="D643">
        <v>1</v>
      </c>
      <c r="F643" s="2">
        <v>46089.235614780089</v>
      </c>
      <c r="G643" s="3">
        <v>46089</v>
      </c>
      <c r="H643" t="s">
        <v>125</v>
      </c>
      <c r="I643">
        <v>5</v>
      </c>
    </row>
    <row r="644" spans="1:9" x14ac:dyDescent="0.2">
      <c r="A644" s="16" t="s">
        <v>678</v>
      </c>
      <c r="B644" s="16" t="s">
        <v>10</v>
      </c>
      <c r="C644" s="2">
        <v>46089.544210405089</v>
      </c>
      <c r="D644">
        <v>3</v>
      </c>
      <c r="E644" s="7" t="s">
        <v>60</v>
      </c>
      <c r="F644" s="2">
        <v>46089.252543738425</v>
      </c>
      <c r="G644" s="3">
        <v>46089</v>
      </c>
      <c r="H644" t="s">
        <v>125</v>
      </c>
      <c r="I644">
        <v>6</v>
      </c>
    </row>
    <row r="645" spans="1:9" x14ac:dyDescent="0.2">
      <c r="A645" s="16" t="s">
        <v>679</v>
      </c>
      <c r="B645" s="16" t="s">
        <v>10</v>
      </c>
      <c r="C645" s="2">
        <v>46089.546031921294</v>
      </c>
      <c r="D645">
        <v>2</v>
      </c>
      <c r="F645" s="2">
        <v>46089.25436525463</v>
      </c>
      <c r="G645" s="3">
        <v>46089</v>
      </c>
      <c r="H645" t="s">
        <v>125</v>
      </c>
      <c r="I645">
        <v>6</v>
      </c>
    </row>
    <row r="646" spans="1:9" x14ac:dyDescent="0.2">
      <c r="A646" s="16" t="s">
        <v>680</v>
      </c>
      <c r="B646" s="16" t="s">
        <v>10</v>
      </c>
      <c r="C646" s="2">
        <v>46089.588338564812</v>
      </c>
      <c r="D646">
        <v>532</v>
      </c>
      <c r="E646" s="7" t="s">
        <v>681</v>
      </c>
      <c r="F646" s="2">
        <v>46089.296671898148</v>
      </c>
      <c r="G646" s="3">
        <v>46089</v>
      </c>
      <c r="H646" t="s">
        <v>125</v>
      </c>
      <c r="I646">
        <v>7</v>
      </c>
    </row>
    <row r="647" spans="1:9" x14ac:dyDescent="0.2">
      <c r="A647" s="16" t="s">
        <v>682</v>
      </c>
      <c r="B647" s="16" t="s">
        <v>10</v>
      </c>
      <c r="C647" s="2">
        <v>46089.647438749998</v>
      </c>
      <c r="D647">
        <v>1</v>
      </c>
      <c r="E647" s="7" t="s">
        <v>683</v>
      </c>
      <c r="F647" s="2">
        <v>46089.355772083334</v>
      </c>
      <c r="G647" s="3">
        <v>46089</v>
      </c>
      <c r="H647" t="s">
        <v>125</v>
      </c>
      <c r="I647">
        <v>8</v>
      </c>
    </row>
    <row r="648" spans="1:9" x14ac:dyDescent="0.2">
      <c r="A648" s="16" t="s">
        <v>684</v>
      </c>
      <c r="B648" s="16" t="s">
        <v>10</v>
      </c>
      <c r="C648" s="2">
        <v>46089.649385810182</v>
      </c>
      <c r="D648">
        <v>36</v>
      </c>
      <c r="F648" s="2">
        <v>46089.357719143518</v>
      </c>
      <c r="G648" s="3">
        <v>46089</v>
      </c>
      <c r="H648" t="s">
        <v>125</v>
      </c>
      <c r="I648">
        <v>8</v>
      </c>
    </row>
    <row r="649" spans="1:9" x14ac:dyDescent="0.2">
      <c r="A649" s="16" t="s">
        <v>685</v>
      </c>
      <c r="B649" s="16" t="s">
        <v>10</v>
      </c>
      <c r="C649" s="2">
        <v>46089.651767048614</v>
      </c>
      <c r="D649">
        <v>3</v>
      </c>
      <c r="F649" s="2">
        <v>46089.360100381942</v>
      </c>
      <c r="G649" s="3">
        <v>46089</v>
      </c>
      <c r="H649" t="s">
        <v>125</v>
      </c>
      <c r="I649">
        <v>8</v>
      </c>
    </row>
    <row r="650" spans="1:9" x14ac:dyDescent="0.2">
      <c r="A650" s="16" t="s">
        <v>686</v>
      </c>
      <c r="B650" s="16" t="s">
        <v>10</v>
      </c>
      <c r="C650" s="2">
        <v>46089.653180474539</v>
      </c>
      <c r="D650">
        <v>576</v>
      </c>
      <c r="E650" s="7">
        <v>242</v>
      </c>
      <c r="F650" s="2">
        <v>46089.361513807868</v>
      </c>
      <c r="G650" s="3">
        <v>46089</v>
      </c>
      <c r="H650" t="s">
        <v>125</v>
      </c>
      <c r="I650">
        <v>8</v>
      </c>
    </row>
    <row r="651" spans="1:9" x14ac:dyDescent="0.2">
      <c r="A651" s="16" t="s">
        <v>687</v>
      </c>
      <c r="B651" s="16" t="s">
        <v>10</v>
      </c>
      <c r="C651" s="2">
        <v>46089.655311608796</v>
      </c>
      <c r="D651">
        <v>2</v>
      </c>
      <c r="E651" s="7" t="s">
        <v>323</v>
      </c>
      <c r="F651" s="2">
        <v>46089.363644942132</v>
      </c>
      <c r="G651" s="3">
        <v>46089</v>
      </c>
      <c r="H651" t="s">
        <v>125</v>
      </c>
      <c r="I651">
        <v>8</v>
      </c>
    </row>
    <row r="652" spans="1:9" x14ac:dyDescent="0.2">
      <c r="A652" s="16" t="s">
        <v>689</v>
      </c>
      <c r="B652" s="16" t="s">
        <v>10</v>
      </c>
      <c r="C652" s="2">
        <v>46089.795878506942</v>
      </c>
      <c r="D652">
        <v>532</v>
      </c>
      <c r="E652" s="7" t="s">
        <v>34</v>
      </c>
      <c r="F652" s="2">
        <v>46089.504211840278</v>
      </c>
      <c r="G652" s="3">
        <v>46089</v>
      </c>
      <c r="H652" t="s">
        <v>125</v>
      </c>
      <c r="I652">
        <v>12</v>
      </c>
    </row>
    <row r="653" spans="1:9" x14ac:dyDescent="0.2">
      <c r="A653" s="16" t="s">
        <v>690</v>
      </c>
      <c r="B653" s="16" t="s">
        <v>10</v>
      </c>
      <c r="C653" s="2">
        <v>46089.854450092593</v>
      </c>
      <c r="D653">
        <v>532</v>
      </c>
      <c r="E653" s="7" t="s">
        <v>31</v>
      </c>
      <c r="F653" s="2">
        <v>46089.562783425929</v>
      </c>
      <c r="G653" s="3">
        <v>46089</v>
      </c>
      <c r="H653" t="s">
        <v>125</v>
      </c>
      <c r="I653">
        <v>13</v>
      </c>
    </row>
    <row r="654" spans="1:9" x14ac:dyDescent="0.2">
      <c r="A654" s="16" t="s">
        <v>1315</v>
      </c>
      <c r="B654" s="16" t="s">
        <v>10</v>
      </c>
      <c r="C654" s="2">
        <v>46089.856834085651</v>
      </c>
      <c r="D654">
        <v>532</v>
      </c>
      <c r="E654" s="7" t="s">
        <v>31</v>
      </c>
      <c r="F654" s="2">
        <v>46089.565167418979</v>
      </c>
      <c r="G654" s="3">
        <v>46089</v>
      </c>
      <c r="H654" t="s">
        <v>125</v>
      </c>
      <c r="I654">
        <v>13</v>
      </c>
    </row>
    <row r="655" spans="1:9" x14ac:dyDescent="0.2">
      <c r="A655" s="16" t="s">
        <v>691</v>
      </c>
      <c r="B655" s="16" t="s">
        <v>10</v>
      </c>
      <c r="C655" s="2">
        <v>46089.936797523151</v>
      </c>
      <c r="D655">
        <v>3</v>
      </c>
      <c r="F655" s="2">
        <v>46089.645130856479</v>
      </c>
      <c r="G655" s="3">
        <v>46089</v>
      </c>
      <c r="H655" t="s">
        <v>125</v>
      </c>
      <c r="I655">
        <v>15</v>
      </c>
    </row>
    <row r="656" spans="1:9" x14ac:dyDescent="0.2">
      <c r="A656" s="16" t="s">
        <v>692</v>
      </c>
      <c r="B656" s="16" t="s">
        <v>10</v>
      </c>
      <c r="C656" s="2">
        <v>46090.337255300925</v>
      </c>
      <c r="D656">
        <v>532</v>
      </c>
      <c r="E656" s="7" t="s">
        <v>34</v>
      </c>
      <c r="F656" s="2">
        <v>46090.045588634261</v>
      </c>
      <c r="G656" s="3">
        <v>46090</v>
      </c>
      <c r="H656" t="s">
        <v>11</v>
      </c>
      <c r="I656">
        <v>1</v>
      </c>
    </row>
    <row r="657" spans="1:9" x14ac:dyDescent="0.2">
      <c r="A657" s="16" t="s">
        <v>693</v>
      </c>
      <c r="B657" s="16" t="s">
        <v>10</v>
      </c>
      <c r="C657" s="2">
        <v>46090.375781226852</v>
      </c>
      <c r="D657">
        <v>3</v>
      </c>
      <c r="E657" s="7">
        <v>20</v>
      </c>
      <c r="F657" s="2">
        <v>46090.084114560188</v>
      </c>
      <c r="G657" s="3">
        <v>46090</v>
      </c>
      <c r="H657" t="s">
        <v>11</v>
      </c>
      <c r="I657">
        <v>2</v>
      </c>
    </row>
    <row r="658" spans="1:9" x14ac:dyDescent="0.2">
      <c r="A658" s="16" t="s">
        <v>694</v>
      </c>
      <c r="B658" s="16" t="s">
        <v>10</v>
      </c>
      <c r="C658" s="2">
        <v>46090.376451840275</v>
      </c>
      <c r="D658">
        <v>3</v>
      </c>
      <c r="F658" s="2">
        <v>46090.084785173611</v>
      </c>
      <c r="G658" s="3">
        <v>46090</v>
      </c>
      <c r="H658" t="s">
        <v>11</v>
      </c>
      <c r="I658">
        <v>2</v>
      </c>
    </row>
    <row r="659" spans="1:9" x14ac:dyDescent="0.2">
      <c r="A659" s="16" t="s">
        <v>695</v>
      </c>
      <c r="B659" s="16" t="s">
        <v>10</v>
      </c>
      <c r="C659" s="2">
        <v>46090.377945729168</v>
      </c>
      <c r="D659">
        <v>532</v>
      </c>
      <c r="E659" s="7">
        <v>207</v>
      </c>
      <c r="F659" s="2">
        <v>46090.086279062503</v>
      </c>
      <c r="G659" s="3">
        <v>46090</v>
      </c>
      <c r="H659" t="s">
        <v>11</v>
      </c>
      <c r="I659">
        <v>2</v>
      </c>
    </row>
    <row r="660" spans="1:9" x14ac:dyDescent="0.2">
      <c r="A660" s="16" t="s">
        <v>696</v>
      </c>
      <c r="B660" s="16" t="s">
        <v>10</v>
      </c>
      <c r="C660" s="2">
        <v>46090.387015405089</v>
      </c>
      <c r="D660">
        <v>3</v>
      </c>
      <c r="E660" s="7" t="s">
        <v>697</v>
      </c>
      <c r="F660" s="2">
        <v>46090.095348738425</v>
      </c>
      <c r="G660" s="3">
        <v>46090</v>
      </c>
      <c r="H660" t="s">
        <v>11</v>
      </c>
      <c r="I660">
        <v>2</v>
      </c>
    </row>
    <row r="661" spans="1:9" x14ac:dyDescent="0.2">
      <c r="A661" s="16" t="s">
        <v>1158</v>
      </c>
      <c r="B661" s="16" t="s">
        <v>10</v>
      </c>
      <c r="C661" s="2">
        <v>46090.392068159723</v>
      </c>
      <c r="D661">
        <v>3</v>
      </c>
      <c r="E661" s="7" t="s">
        <v>697</v>
      </c>
      <c r="F661" s="2">
        <v>46090.100401493059</v>
      </c>
      <c r="G661" s="3">
        <v>46090</v>
      </c>
      <c r="H661" t="s">
        <v>11</v>
      </c>
      <c r="I661">
        <v>2</v>
      </c>
    </row>
    <row r="662" spans="1:9" x14ac:dyDescent="0.2">
      <c r="A662" s="16" t="s">
        <v>1159</v>
      </c>
      <c r="B662" s="16" t="s">
        <v>10</v>
      </c>
      <c r="C662" s="2">
        <v>46090.392462488424</v>
      </c>
      <c r="D662">
        <v>532</v>
      </c>
      <c r="E662" s="7" t="s">
        <v>859</v>
      </c>
      <c r="F662" s="2">
        <v>46090.10079582176</v>
      </c>
      <c r="G662" s="3">
        <v>46090</v>
      </c>
      <c r="H662" t="s">
        <v>11</v>
      </c>
      <c r="I662">
        <v>2</v>
      </c>
    </row>
    <row r="663" spans="1:9" x14ac:dyDescent="0.2">
      <c r="A663" s="16" t="s">
        <v>698</v>
      </c>
      <c r="B663" s="16" t="s">
        <v>10</v>
      </c>
      <c r="C663" s="2">
        <v>46090.409615729164</v>
      </c>
      <c r="D663">
        <v>576</v>
      </c>
      <c r="E663" s="7">
        <v>207</v>
      </c>
      <c r="F663" s="2">
        <v>46090.1179490625</v>
      </c>
      <c r="G663" s="3">
        <v>46090</v>
      </c>
      <c r="H663" t="s">
        <v>11</v>
      </c>
      <c r="I663">
        <v>2</v>
      </c>
    </row>
    <row r="664" spans="1:9" x14ac:dyDescent="0.2">
      <c r="A664" s="16" t="s">
        <v>699</v>
      </c>
      <c r="B664" s="16" t="s">
        <v>10</v>
      </c>
      <c r="C664" s="2">
        <v>46090.410248784719</v>
      </c>
      <c r="D664">
        <v>3</v>
      </c>
      <c r="F664" s="2">
        <v>46090.118582118055</v>
      </c>
      <c r="G664" s="3">
        <v>46090</v>
      </c>
      <c r="H664" t="s">
        <v>11</v>
      </c>
      <c r="I664">
        <v>2</v>
      </c>
    </row>
    <row r="665" spans="1:9" x14ac:dyDescent="0.2">
      <c r="A665" s="16" t="s">
        <v>858</v>
      </c>
      <c r="B665" s="16" t="s">
        <v>10</v>
      </c>
      <c r="C665" s="2">
        <v>46090.412470185183</v>
      </c>
      <c r="D665">
        <v>532</v>
      </c>
      <c r="E665" s="7" t="s">
        <v>859</v>
      </c>
      <c r="F665" s="2">
        <v>46090.120803518519</v>
      </c>
      <c r="G665" s="3">
        <v>46090</v>
      </c>
      <c r="H665" t="s">
        <v>11</v>
      </c>
      <c r="I665">
        <v>2</v>
      </c>
    </row>
    <row r="666" spans="1:9" x14ac:dyDescent="0.2">
      <c r="A666" s="16" t="s">
        <v>700</v>
      </c>
      <c r="B666" s="16" t="s">
        <v>10</v>
      </c>
      <c r="C666" s="2">
        <v>46090.42478883102</v>
      </c>
      <c r="D666">
        <v>3</v>
      </c>
      <c r="F666" s="2">
        <v>46090.133122164349</v>
      </c>
      <c r="G666" s="3">
        <v>46090</v>
      </c>
      <c r="H666" t="s">
        <v>11</v>
      </c>
      <c r="I666">
        <v>3</v>
      </c>
    </row>
    <row r="667" spans="1:9" x14ac:dyDescent="0.2">
      <c r="A667" s="16" t="s">
        <v>701</v>
      </c>
      <c r="B667" s="16" t="s">
        <v>10</v>
      </c>
      <c r="C667" s="2">
        <v>46090.494609444446</v>
      </c>
      <c r="D667">
        <v>2</v>
      </c>
      <c r="F667" s="2">
        <v>46090.202942777774</v>
      </c>
      <c r="G667" s="3">
        <v>46090</v>
      </c>
      <c r="H667" t="s">
        <v>11</v>
      </c>
      <c r="I667">
        <v>4</v>
      </c>
    </row>
    <row r="668" spans="1:9" x14ac:dyDescent="0.2">
      <c r="A668" s="16" t="s">
        <v>702</v>
      </c>
      <c r="B668" s="16" t="s">
        <v>10</v>
      </c>
      <c r="C668" s="2">
        <v>46090.494619189813</v>
      </c>
      <c r="D668">
        <v>532</v>
      </c>
      <c r="F668" s="2">
        <v>46090.202952523148</v>
      </c>
      <c r="G668" s="3">
        <v>46090</v>
      </c>
      <c r="H668" t="s">
        <v>11</v>
      </c>
      <c r="I668">
        <v>4</v>
      </c>
    </row>
    <row r="669" spans="1:9" x14ac:dyDescent="0.2">
      <c r="A669" s="16" t="s">
        <v>703</v>
      </c>
      <c r="B669" s="16" t="s">
        <v>10</v>
      </c>
      <c r="C669" s="2">
        <v>46090.505582129626</v>
      </c>
      <c r="D669">
        <v>532</v>
      </c>
      <c r="E669" s="7">
        <v>207</v>
      </c>
      <c r="F669" s="2">
        <v>46090.213915462962</v>
      </c>
      <c r="G669" s="3">
        <v>46090</v>
      </c>
      <c r="H669" t="s">
        <v>11</v>
      </c>
      <c r="I669">
        <v>5</v>
      </c>
    </row>
    <row r="670" spans="1:9" x14ac:dyDescent="0.2">
      <c r="A670" s="16" t="s">
        <v>704</v>
      </c>
      <c r="B670" s="16" t="s">
        <v>10</v>
      </c>
      <c r="C670" s="2">
        <v>46090.511060833334</v>
      </c>
      <c r="D670">
        <v>3</v>
      </c>
      <c r="E670" s="7" t="s">
        <v>705</v>
      </c>
      <c r="F670" s="2">
        <v>46090.21939416667</v>
      </c>
      <c r="G670" s="3">
        <v>46090</v>
      </c>
      <c r="H670" t="s">
        <v>11</v>
      </c>
      <c r="I670">
        <v>5</v>
      </c>
    </row>
    <row r="671" spans="1:9" x14ac:dyDescent="0.2">
      <c r="A671" s="16" t="s">
        <v>706</v>
      </c>
      <c r="B671" s="16" t="s">
        <v>10</v>
      </c>
      <c r="C671" s="2">
        <v>46090.518265231483</v>
      </c>
      <c r="D671">
        <v>576</v>
      </c>
      <c r="E671" s="7" t="s">
        <v>707</v>
      </c>
      <c r="F671" s="2">
        <v>46090.226598564812</v>
      </c>
      <c r="G671" s="3">
        <v>46090</v>
      </c>
      <c r="H671" t="s">
        <v>11</v>
      </c>
      <c r="I671">
        <v>5</v>
      </c>
    </row>
    <row r="672" spans="1:9" x14ac:dyDescent="0.2">
      <c r="A672" s="16" t="s">
        <v>708</v>
      </c>
      <c r="B672" s="16" t="s">
        <v>10</v>
      </c>
      <c r="C672" s="2">
        <v>46090.532416041664</v>
      </c>
      <c r="D672">
        <v>3</v>
      </c>
      <c r="E672" s="7" t="s">
        <v>709</v>
      </c>
      <c r="F672" s="2">
        <v>46090.240749375</v>
      </c>
      <c r="G672" s="3">
        <v>46090</v>
      </c>
      <c r="H672" t="s">
        <v>11</v>
      </c>
      <c r="I672">
        <v>5</v>
      </c>
    </row>
    <row r="673" spans="1:9" x14ac:dyDescent="0.2">
      <c r="A673" s="16" t="s">
        <v>710</v>
      </c>
      <c r="B673" s="16" t="s">
        <v>10</v>
      </c>
      <c r="C673" s="2">
        <v>46090.532979618052</v>
      </c>
      <c r="D673">
        <v>3</v>
      </c>
      <c r="E673" s="7" t="s">
        <v>60</v>
      </c>
      <c r="F673" s="2">
        <v>46090.241312951388</v>
      </c>
      <c r="G673" s="3">
        <v>46090</v>
      </c>
      <c r="H673" t="s">
        <v>11</v>
      </c>
      <c r="I673">
        <v>5</v>
      </c>
    </row>
    <row r="674" spans="1:9" x14ac:dyDescent="0.2">
      <c r="A674" s="16" t="s">
        <v>711</v>
      </c>
      <c r="B674" s="16" t="s">
        <v>10</v>
      </c>
      <c r="C674" s="2">
        <v>46090.584843020835</v>
      </c>
      <c r="D674">
        <v>532</v>
      </c>
      <c r="E674" s="7">
        <v>207</v>
      </c>
      <c r="F674" s="2">
        <v>46090.293176354164</v>
      </c>
      <c r="G674" s="3">
        <v>46090</v>
      </c>
      <c r="H674" t="s">
        <v>11</v>
      </c>
      <c r="I674">
        <v>7</v>
      </c>
    </row>
    <row r="675" spans="1:9" x14ac:dyDescent="0.2">
      <c r="A675" s="16" t="s">
        <v>712</v>
      </c>
      <c r="B675" s="16" t="s">
        <v>10</v>
      </c>
      <c r="C675" s="2">
        <v>46090.647673784719</v>
      </c>
      <c r="D675">
        <v>532</v>
      </c>
      <c r="E675" s="7">
        <v>207</v>
      </c>
      <c r="F675" s="2">
        <v>46090.356007118055</v>
      </c>
      <c r="G675" s="3">
        <v>46090</v>
      </c>
      <c r="H675" t="s">
        <v>11</v>
      </c>
      <c r="I675">
        <v>8</v>
      </c>
    </row>
    <row r="676" spans="1:9" x14ac:dyDescent="0.2">
      <c r="A676" s="16" t="s">
        <v>713</v>
      </c>
      <c r="B676" s="16" t="s">
        <v>10</v>
      </c>
      <c r="C676" s="2">
        <v>46090.653773680555</v>
      </c>
      <c r="D676">
        <v>3</v>
      </c>
      <c r="E676" s="7" t="s">
        <v>697</v>
      </c>
      <c r="F676" s="2">
        <v>46090.362107013891</v>
      </c>
      <c r="G676" s="3">
        <v>46090</v>
      </c>
      <c r="H676" t="s">
        <v>11</v>
      </c>
      <c r="I676">
        <v>8</v>
      </c>
    </row>
    <row r="677" spans="1:9" x14ac:dyDescent="0.2">
      <c r="A677" s="16" t="s">
        <v>714</v>
      </c>
      <c r="B677" s="16" t="s">
        <v>10</v>
      </c>
      <c r="C677" s="2">
        <v>46090.681944780095</v>
      </c>
      <c r="D677">
        <v>3</v>
      </c>
      <c r="F677" s="2">
        <v>46090.390278113424</v>
      </c>
      <c r="G677" s="3">
        <v>46090</v>
      </c>
      <c r="H677" t="s">
        <v>11</v>
      </c>
      <c r="I677">
        <v>9</v>
      </c>
    </row>
    <row r="678" spans="1:9" x14ac:dyDescent="0.2">
      <c r="A678" s="16" t="s">
        <v>715</v>
      </c>
      <c r="B678" s="16" t="s">
        <v>10</v>
      </c>
      <c r="C678" s="2">
        <v>46090.692090138888</v>
      </c>
      <c r="D678">
        <v>575</v>
      </c>
      <c r="E678" s="7" t="s">
        <v>716</v>
      </c>
      <c r="F678" s="2">
        <v>46090.400423472223</v>
      </c>
      <c r="G678" s="3">
        <v>46090</v>
      </c>
      <c r="H678" t="s">
        <v>11</v>
      </c>
      <c r="I678">
        <v>9</v>
      </c>
    </row>
    <row r="679" spans="1:9" x14ac:dyDescent="0.2">
      <c r="A679" s="16" t="s">
        <v>717</v>
      </c>
      <c r="B679" s="16" t="s">
        <v>10</v>
      </c>
      <c r="C679" s="2">
        <v>46090.692251898145</v>
      </c>
      <c r="D679">
        <v>575</v>
      </c>
      <c r="F679" s="2">
        <v>46090.40058523148</v>
      </c>
      <c r="G679" s="3">
        <v>46090</v>
      </c>
      <c r="H679" t="s">
        <v>11</v>
      </c>
      <c r="I679">
        <v>9</v>
      </c>
    </row>
    <row r="680" spans="1:9" x14ac:dyDescent="0.2">
      <c r="A680" s="16" t="s">
        <v>718</v>
      </c>
      <c r="B680" s="16" t="s">
        <v>10</v>
      </c>
      <c r="C680" s="2">
        <v>46090.722894189814</v>
      </c>
      <c r="D680">
        <v>575</v>
      </c>
      <c r="F680" s="2">
        <v>46090.43122752315</v>
      </c>
      <c r="G680" s="3">
        <v>46090</v>
      </c>
      <c r="H680" t="s">
        <v>11</v>
      </c>
      <c r="I680">
        <v>10</v>
      </c>
    </row>
    <row r="681" spans="1:9" x14ac:dyDescent="0.2">
      <c r="A681" s="16" t="s">
        <v>719</v>
      </c>
      <c r="B681" s="16" t="s">
        <v>10</v>
      </c>
      <c r="C681" s="2">
        <v>46090.735540706017</v>
      </c>
      <c r="D681">
        <v>35</v>
      </c>
      <c r="F681" s="2">
        <v>46090.443874039353</v>
      </c>
      <c r="G681" s="3">
        <v>46090</v>
      </c>
      <c r="H681" t="s">
        <v>11</v>
      </c>
      <c r="I681">
        <v>10</v>
      </c>
    </row>
    <row r="682" spans="1:9" x14ac:dyDescent="0.2">
      <c r="A682" s="16" t="s">
        <v>860</v>
      </c>
      <c r="B682" s="16" t="s">
        <v>10</v>
      </c>
      <c r="C682" s="2">
        <v>46090.743543576391</v>
      </c>
      <c r="D682">
        <v>575</v>
      </c>
      <c r="F682" s="2">
        <v>46090.451876909719</v>
      </c>
      <c r="G682" s="3">
        <v>46090</v>
      </c>
      <c r="H682" t="s">
        <v>11</v>
      </c>
      <c r="I682">
        <v>10</v>
      </c>
    </row>
    <row r="683" spans="1:9" x14ac:dyDescent="0.2">
      <c r="A683" s="16" t="s">
        <v>720</v>
      </c>
      <c r="B683" s="16" t="s">
        <v>10</v>
      </c>
      <c r="C683" s="2">
        <v>46090.781441261577</v>
      </c>
      <c r="D683">
        <v>531</v>
      </c>
      <c r="F683" s="2">
        <v>46090.489774594906</v>
      </c>
      <c r="G683" s="3">
        <v>46090</v>
      </c>
      <c r="H683" t="s">
        <v>11</v>
      </c>
      <c r="I683">
        <v>11</v>
      </c>
    </row>
    <row r="684" spans="1:9" x14ac:dyDescent="0.2">
      <c r="A684" s="16" t="s">
        <v>721</v>
      </c>
      <c r="B684" s="16" t="s">
        <v>10</v>
      </c>
      <c r="C684" s="2">
        <v>46090.784094849536</v>
      </c>
      <c r="D684">
        <v>3</v>
      </c>
      <c r="F684" s="2">
        <v>46090.492428182872</v>
      </c>
      <c r="G684" s="3">
        <v>46090</v>
      </c>
      <c r="H684" t="s">
        <v>11</v>
      </c>
      <c r="I684">
        <v>11</v>
      </c>
    </row>
    <row r="685" spans="1:9" x14ac:dyDescent="0.2">
      <c r="A685" s="16" t="s">
        <v>722</v>
      </c>
      <c r="B685" s="16" t="s">
        <v>10</v>
      </c>
      <c r="C685" s="2">
        <v>46090.792745752318</v>
      </c>
      <c r="D685">
        <v>531</v>
      </c>
      <c r="F685" s="2">
        <v>46090.501079085647</v>
      </c>
      <c r="G685" s="3">
        <v>46090</v>
      </c>
      <c r="H685" t="s">
        <v>11</v>
      </c>
      <c r="I685">
        <v>12</v>
      </c>
    </row>
    <row r="686" spans="1:9" x14ac:dyDescent="0.2">
      <c r="A686" s="16" t="s">
        <v>723</v>
      </c>
      <c r="B686" s="16" t="s">
        <v>10</v>
      </c>
      <c r="C686" s="2">
        <v>46090.804582581019</v>
      </c>
      <c r="D686">
        <v>35</v>
      </c>
      <c r="F686" s="2">
        <v>46090.512915914354</v>
      </c>
      <c r="G686" s="3">
        <v>46090</v>
      </c>
      <c r="H686" t="s">
        <v>11</v>
      </c>
      <c r="I686">
        <v>12</v>
      </c>
    </row>
    <row r="687" spans="1:9" x14ac:dyDescent="0.2">
      <c r="A687" s="16" t="s">
        <v>724</v>
      </c>
      <c r="B687" s="16" t="s">
        <v>10</v>
      </c>
      <c r="C687" s="2">
        <v>46090.820015972226</v>
      </c>
      <c r="D687">
        <v>531</v>
      </c>
      <c r="F687" s="2">
        <v>46090.528349305554</v>
      </c>
      <c r="G687" s="3">
        <v>46090</v>
      </c>
      <c r="H687" t="s">
        <v>11</v>
      </c>
      <c r="I687">
        <v>12</v>
      </c>
    </row>
    <row r="688" spans="1:9" x14ac:dyDescent="0.2">
      <c r="A688" s="16" t="s">
        <v>725</v>
      </c>
      <c r="B688" s="16" t="s">
        <v>10</v>
      </c>
      <c r="C688" s="2">
        <v>46090.842136354164</v>
      </c>
      <c r="D688">
        <v>531</v>
      </c>
      <c r="F688" s="2">
        <v>46090.5504696875</v>
      </c>
      <c r="G688" s="3">
        <v>46090</v>
      </c>
      <c r="H688" t="s">
        <v>11</v>
      </c>
      <c r="I688">
        <v>13</v>
      </c>
    </row>
    <row r="689" spans="1:9" x14ac:dyDescent="0.2">
      <c r="A689" s="16" t="s">
        <v>726</v>
      </c>
      <c r="B689" s="16" t="s">
        <v>10</v>
      </c>
      <c r="C689" s="2">
        <v>46090.88002892361</v>
      </c>
      <c r="D689">
        <v>531</v>
      </c>
      <c r="F689" s="2">
        <v>46090.588362256945</v>
      </c>
      <c r="G689" s="3">
        <v>46090</v>
      </c>
      <c r="H689" t="s">
        <v>11</v>
      </c>
      <c r="I689">
        <v>14</v>
      </c>
    </row>
    <row r="690" spans="1:9" x14ac:dyDescent="0.2">
      <c r="A690" s="16" t="s">
        <v>727</v>
      </c>
      <c r="B690" s="16" t="s">
        <v>10</v>
      </c>
      <c r="C690" s="2">
        <v>46090.881866851851</v>
      </c>
      <c r="D690">
        <v>3</v>
      </c>
      <c r="E690" s="7" t="s">
        <v>728</v>
      </c>
      <c r="F690" s="2">
        <v>46090.590200185186</v>
      </c>
      <c r="G690" s="3">
        <v>46090</v>
      </c>
      <c r="H690" t="s">
        <v>11</v>
      </c>
      <c r="I690">
        <v>14</v>
      </c>
    </row>
    <row r="691" spans="1:9" x14ac:dyDescent="0.2">
      <c r="A691" s="16" t="s">
        <v>729</v>
      </c>
      <c r="B691" s="16" t="s">
        <v>10</v>
      </c>
      <c r="C691" s="2">
        <v>46091.276977951391</v>
      </c>
      <c r="D691">
        <v>531</v>
      </c>
      <c r="F691" s="2">
        <v>46090.98531128472</v>
      </c>
      <c r="G691" s="3">
        <v>46090</v>
      </c>
      <c r="H691" t="s">
        <v>11</v>
      </c>
      <c r="I691">
        <v>23</v>
      </c>
    </row>
    <row r="692" spans="1:9" x14ac:dyDescent="0.2">
      <c r="A692" s="16" t="s">
        <v>730</v>
      </c>
      <c r="B692" s="16" t="s">
        <v>10</v>
      </c>
      <c r="C692" s="2">
        <v>46091.335050451387</v>
      </c>
      <c r="D692">
        <v>531</v>
      </c>
      <c r="E692" s="7" t="s">
        <v>34</v>
      </c>
      <c r="F692" s="2">
        <v>46091.043383784723</v>
      </c>
      <c r="G692" s="3">
        <v>46091</v>
      </c>
      <c r="H692" t="s">
        <v>28</v>
      </c>
      <c r="I692">
        <v>1</v>
      </c>
    </row>
    <row r="693" spans="1:9" x14ac:dyDescent="0.2">
      <c r="A693" s="16" t="s">
        <v>731</v>
      </c>
      <c r="B693" s="16" t="s">
        <v>10</v>
      </c>
      <c r="C693" s="2">
        <v>46091.34023144676</v>
      </c>
      <c r="D693">
        <v>3</v>
      </c>
      <c r="E693" s="7" t="s">
        <v>60</v>
      </c>
      <c r="F693" s="2">
        <v>46091.048564780096</v>
      </c>
      <c r="G693" s="3">
        <v>46091</v>
      </c>
      <c r="H693" t="s">
        <v>28</v>
      </c>
      <c r="I693">
        <v>1</v>
      </c>
    </row>
    <row r="694" spans="1:9" x14ac:dyDescent="0.2">
      <c r="A694" s="16" t="s">
        <v>732</v>
      </c>
      <c r="B694" s="16" t="s">
        <v>10</v>
      </c>
      <c r="C694" s="2">
        <v>46091.348845821762</v>
      </c>
      <c r="D694">
        <v>3</v>
      </c>
      <c r="E694" s="7" t="s">
        <v>625</v>
      </c>
      <c r="F694" s="2">
        <v>46091.05717915509</v>
      </c>
      <c r="G694" s="3">
        <v>46091</v>
      </c>
      <c r="H694" t="s">
        <v>28</v>
      </c>
      <c r="I694">
        <v>1</v>
      </c>
    </row>
    <row r="695" spans="1:9" x14ac:dyDescent="0.2">
      <c r="A695" s="16" t="s">
        <v>861</v>
      </c>
      <c r="B695" s="16" t="s">
        <v>10</v>
      </c>
      <c r="C695" s="2">
        <v>46091.370120185187</v>
      </c>
      <c r="D695">
        <v>3</v>
      </c>
      <c r="E695" s="7" t="s">
        <v>60</v>
      </c>
      <c r="F695" s="2">
        <v>46091.078453518516</v>
      </c>
      <c r="G695" s="3">
        <v>46091</v>
      </c>
      <c r="H695" t="s">
        <v>28</v>
      </c>
      <c r="I695">
        <v>1</v>
      </c>
    </row>
    <row r="696" spans="1:9" x14ac:dyDescent="0.2">
      <c r="A696" s="16" t="s">
        <v>862</v>
      </c>
      <c r="B696" s="16" t="s">
        <v>10</v>
      </c>
      <c r="C696" s="2">
        <v>46091.370450856484</v>
      </c>
      <c r="D696">
        <v>3</v>
      </c>
      <c r="E696" s="7" t="s">
        <v>625</v>
      </c>
      <c r="F696" s="2">
        <v>46091.078784189813</v>
      </c>
      <c r="G696" s="3">
        <v>46091</v>
      </c>
      <c r="H696" t="s">
        <v>28</v>
      </c>
      <c r="I696">
        <v>1</v>
      </c>
    </row>
    <row r="697" spans="1:9" x14ac:dyDescent="0.2">
      <c r="A697" s="16" t="s">
        <v>733</v>
      </c>
      <c r="B697" s="16" t="s">
        <v>10</v>
      </c>
      <c r="C697" s="2">
        <v>46091.376135127313</v>
      </c>
      <c r="D697">
        <v>3</v>
      </c>
      <c r="E697" s="7" t="s">
        <v>60</v>
      </c>
      <c r="F697" s="2">
        <v>46091.084468460649</v>
      </c>
      <c r="G697" s="3">
        <v>46091</v>
      </c>
      <c r="H697" t="s">
        <v>28</v>
      </c>
      <c r="I697">
        <v>2</v>
      </c>
    </row>
    <row r="698" spans="1:9" x14ac:dyDescent="0.2">
      <c r="A698" s="16" t="s">
        <v>1263</v>
      </c>
      <c r="B698" s="16" t="s">
        <v>10</v>
      </c>
      <c r="C698" s="2">
        <v>46091.382489953707</v>
      </c>
      <c r="D698">
        <v>3</v>
      </c>
      <c r="E698" s="7" t="s">
        <v>60</v>
      </c>
      <c r="F698" s="2">
        <v>46091.090823287035</v>
      </c>
      <c r="G698" s="3">
        <v>46091</v>
      </c>
      <c r="H698" t="s">
        <v>28</v>
      </c>
      <c r="I698">
        <v>2</v>
      </c>
    </row>
    <row r="699" spans="1:9" x14ac:dyDescent="0.2">
      <c r="A699" s="16" t="s">
        <v>836</v>
      </c>
      <c r="B699" s="16" t="s">
        <v>10</v>
      </c>
      <c r="C699" s="2">
        <v>46091.390529965276</v>
      </c>
      <c r="D699">
        <v>3</v>
      </c>
      <c r="E699" s="7" t="s">
        <v>60</v>
      </c>
      <c r="F699" s="2">
        <v>46091.098863298612</v>
      </c>
      <c r="G699" s="3">
        <v>46091</v>
      </c>
      <c r="H699" t="s">
        <v>28</v>
      </c>
      <c r="I699">
        <v>2</v>
      </c>
    </row>
    <row r="700" spans="1:9" x14ac:dyDescent="0.2">
      <c r="A700" s="16" t="s">
        <v>734</v>
      </c>
      <c r="B700" s="16" t="s">
        <v>10</v>
      </c>
      <c r="C700" s="2">
        <v>46091.406181782404</v>
      </c>
      <c r="D700">
        <v>531</v>
      </c>
      <c r="F700" s="2">
        <v>46091.11451511574</v>
      </c>
      <c r="G700" s="3">
        <v>46091</v>
      </c>
      <c r="H700" t="s">
        <v>28</v>
      </c>
      <c r="I700">
        <v>2</v>
      </c>
    </row>
    <row r="701" spans="1:9" x14ac:dyDescent="0.2">
      <c r="A701" s="16" t="s">
        <v>735</v>
      </c>
      <c r="B701" s="16" t="s">
        <v>10</v>
      </c>
      <c r="C701" s="2">
        <v>46091.424370821762</v>
      </c>
      <c r="D701">
        <v>3</v>
      </c>
      <c r="E701" s="7" t="s">
        <v>60</v>
      </c>
      <c r="F701" s="2">
        <v>46091.13270415509</v>
      </c>
      <c r="G701" s="3">
        <v>46091</v>
      </c>
      <c r="H701" t="s">
        <v>28</v>
      </c>
      <c r="I701">
        <v>3</v>
      </c>
    </row>
    <row r="702" spans="1:9" x14ac:dyDescent="0.2">
      <c r="A702" s="16" t="s">
        <v>900</v>
      </c>
      <c r="B702" s="16" t="s">
        <v>10</v>
      </c>
      <c r="C702" s="2">
        <v>46091.45267392361</v>
      </c>
      <c r="D702">
        <v>3</v>
      </c>
      <c r="E702" s="7" t="s">
        <v>60</v>
      </c>
      <c r="F702" s="2">
        <v>46091.161007256946</v>
      </c>
      <c r="G702" s="3">
        <v>46091</v>
      </c>
      <c r="H702" t="s">
        <v>28</v>
      </c>
      <c r="I702">
        <v>3</v>
      </c>
    </row>
    <row r="703" spans="1:9" x14ac:dyDescent="0.2">
      <c r="A703" s="16" t="s">
        <v>736</v>
      </c>
      <c r="B703" s="16" t="s">
        <v>10</v>
      </c>
      <c r="C703" s="2">
        <v>46091.47644835648</v>
      </c>
      <c r="D703">
        <v>3</v>
      </c>
      <c r="E703" s="7" t="s">
        <v>60</v>
      </c>
      <c r="F703" s="2">
        <v>46091.184781689815</v>
      </c>
      <c r="G703" s="3">
        <v>46091</v>
      </c>
      <c r="H703" t="s">
        <v>28</v>
      </c>
      <c r="I703">
        <v>4</v>
      </c>
    </row>
    <row r="704" spans="1:9" x14ac:dyDescent="0.2">
      <c r="A704" s="16" t="s">
        <v>737</v>
      </c>
      <c r="B704" s="16" t="s">
        <v>10</v>
      </c>
      <c r="C704" s="2">
        <v>46091.484528125002</v>
      </c>
      <c r="D704">
        <v>35</v>
      </c>
      <c r="F704" s="2">
        <v>46091.19286145833</v>
      </c>
      <c r="G704" s="3">
        <v>46091</v>
      </c>
      <c r="H704" t="s">
        <v>28</v>
      </c>
      <c r="I704">
        <v>4</v>
      </c>
    </row>
    <row r="705" spans="1:9" x14ac:dyDescent="0.2">
      <c r="A705" s="16" t="s">
        <v>738</v>
      </c>
      <c r="B705" s="16" t="s">
        <v>10</v>
      </c>
      <c r="C705" s="2">
        <v>46091.53866298611</v>
      </c>
      <c r="D705">
        <v>36</v>
      </c>
      <c r="F705" s="2">
        <v>46091.246996319445</v>
      </c>
      <c r="G705" s="3">
        <v>46091</v>
      </c>
      <c r="H705" t="s">
        <v>28</v>
      </c>
      <c r="I705">
        <v>5</v>
      </c>
    </row>
    <row r="706" spans="1:9" x14ac:dyDescent="0.2">
      <c r="A706" s="16" t="s">
        <v>739</v>
      </c>
      <c r="B706" s="16" t="s">
        <v>10</v>
      </c>
      <c r="C706" s="2">
        <v>46091.539110740741</v>
      </c>
      <c r="D706">
        <v>531</v>
      </c>
      <c r="F706" s="2">
        <v>46091.247444074077</v>
      </c>
      <c r="G706" s="3">
        <v>46091</v>
      </c>
      <c r="H706" t="s">
        <v>28</v>
      </c>
      <c r="I706">
        <v>5</v>
      </c>
    </row>
    <row r="707" spans="1:9" x14ac:dyDescent="0.2">
      <c r="A707" s="16" t="s">
        <v>740</v>
      </c>
      <c r="B707" s="16" t="s">
        <v>10</v>
      </c>
      <c r="C707" s="2">
        <v>46091.542419756945</v>
      </c>
      <c r="D707">
        <v>36</v>
      </c>
      <c r="F707" s="2">
        <v>46091.25075309028</v>
      </c>
      <c r="G707" s="3">
        <v>46091</v>
      </c>
      <c r="H707" t="s">
        <v>28</v>
      </c>
      <c r="I707">
        <v>6</v>
      </c>
    </row>
    <row r="708" spans="1:9" x14ac:dyDescent="0.2">
      <c r="A708" s="16" t="s">
        <v>741</v>
      </c>
      <c r="B708" s="16" t="s">
        <v>10</v>
      </c>
      <c r="C708" s="2">
        <v>46091.555607349539</v>
      </c>
      <c r="D708">
        <v>3</v>
      </c>
      <c r="F708" s="2">
        <v>46091.263940682868</v>
      </c>
      <c r="G708" s="3">
        <v>46091</v>
      </c>
      <c r="H708" t="s">
        <v>28</v>
      </c>
      <c r="I708">
        <v>6</v>
      </c>
    </row>
    <row r="709" spans="1:9" x14ac:dyDescent="0.2">
      <c r="A709" s="16" t="s">
        <v>742</v>
      </c>
      <c r="B709" s="16" t="s">
        <v>10</v>
      </c>
      <c r="C709" s="2">
        <v>46091.564082604164</v>
      </c>
      <c r="D709">
        <v>575</v>
      </c>
      <c r="F709" s="2">
        <v>46091.272415937499</v>
      </c>
      <c r="G709" s="3">
        <v>46091</v>
      </c>
      <c r="H709" t="s">
        <v>28</v>
      </c>
      <c r="I709">
        <v>6</v>
      </c>
    </row>
    <row r="710" spans="1:9" x14ac:dyDescent="0.2">
      <c r="A710" s="16" t="s">
        <v>743</v>
      </c>
      <c r="B710" s="16" t="s">
        <v>10</v>
      </c>
      <c r="C710" s="2">
        <v>46091.568135810187</v>
      </c>
      <c r="D710">
        <v>3</v>
      </c>
      <c r="E710" s="7" t="s">
        <v>744</v>
      </c>
      <c r="F710" s="2">
        <v>46091.276469143515</v>
      </c>
      <c r="G710" s="3">
        <v>46091</v>
      </c>
      <c r="H710" t="s">
        <v>28</v>
      </c>
      <c r="I710">
        <v>6</v>
      </c>
    </row>
    <row r="711" spans="1:9" x14ac:dyDescent="0.2">
      <c r="A711" s="16" t="s">
        <v>870</v>
      </c>
      <c r="B711" s="16" t="s">
        <v>10</v>
      </c>
      <c r="C711" s="2">
        <v>46091.581012962961</v>
      </c>
      <c r="D711">
        <v>36</v>
      </c>
      <c r="F711" s="2">
        <v>46091.289346296297</v>
      </c>
      <c r="G711" s="3">
        <v>46091</v>
      </c>
      <c r="H711" t="s">
        <v>28</v>
      </c>
      <c r="I711">
        <v>6</v>
      </c>
    </row>
    <row r="712" spans="1:9" x14ac:dyDescent="0.2">
      <c r="A712" s="16" t="s">
        <v>745</v>
      </c>
      <c r="B712" s="16" t="s">
        <v>10</v>
      </c>
      <c r="C712" s="2">
        <v>46091.587484965276</v>
      </c>
      <c r="D712">
        <v>2</v>
      </c>
      <c r="F712" s="2">
        <v>46091.295818298611</v>
      </c>
      <c r="G712" s="3">
        <v>46091</v>
      </c>
      <c r="H712" t="s">
        <v>28</v>
      </c>
      <c r="I712">
        <v>7</v>
      </c>
    </row>
    <row r="713" spans="1:9" x14ac:dyDescent="0.2">
      <c r="A713" s="16" t="s">
        <v>746</v>
      </c>
      <c r="B713" s="16" t="s">
        <v>10</v>
      </c>
      <c r="C713" s="2">
        <v>46091.588889212966</v>
      </c>
      <c r="D713">
        <v>36</v>
      </c>
      <c r="E713" s="7" t="s">
        <v>70</v>
      </c>
      <c r="F713" s="2">
        <v>46091.297222546295</v>
      </c>
      <c r="G713" s="3">
        <v>46091</v>
      </c>
      <c r="H713" t="s">
        <v>28</v>
      </c>
      <c r="I713">
        <v>7</v>
      </c>
    </row>
    <row r="714" spans="1:9" x14ac:dyDescent="0.2">
      <c r="A714" s="16" t="s">
        <v>747</v>
      </c>
      <c r="B714" s="16" t="s">
        <v>10</v>
      </c>
      <c r="C714" s="2">
        <v>46091.605429953706</v>
      </c>
      <c r="D714">
        <v>3</v>
      </c>
      <c r="F714" s="2">
        <v>46091.313763287035</v>
      </c>
      <c r="G714" s="3">
        <v>46091</v>
      </c>
      <c r="H714" t="s">
        <v>28</v>
      </c>
      <c r="I714">
        <v>7</v>
      </c>
    </row>
    <row r="715" spans="1:9" x14ac:dyDescent="0.2">
      <c r="A715" s="16" t="s">
        <v>748</v>
      </c>
      <c r="B715" s="16" t="s">
        <v>10</v>
      </c>
      <c r="C715" s="2">
        <v>46091.621595081022</v>
      </c>
      <c r="D715">
        <v>3</v>
      </c>
      <c r="F715" s="2">
        <v>46091.32992841435</v>
      </c>
      <c r="G715" s="3">
        <v>46091</v>
      </c>
      <c r="H715" t="s">
        <v>28</v>
      </c>
      <c r="I715">
        <v>7</v>
      </c>
    </row>
    <row r="716" spans="1:9" x14ac:dyDescent="0.2">
      <c r="A716" s="16" t="s">
        <v>749</v>
      </c>
      <c r="B716" s="16" t="s">
        <v>10</v>
      </c>
      <c r="C716" s="2">
        <v>46091.627186608799</v>
      </c>
      <c r="D716">
        <v>3</v>
      </c>
      <c r="F716" s="2">
        <v>46091.335519942128</v>
      </c>
      <c r="G716" s="3">
        <v>46091</v>
      </c>
      <c r="H716" t="s">
        <v>28</v>
      </c>
      <c r="I716">
        <v>8</v>
      </c>
    </row>
    <row r="717" spans="1:9" x14ac:dyDescent="0.2">
      <c r="A717" s="16" t="s">
        <v>1082</v>
      </c>
      <c r="B717" s="16" t="s">
        <v>10</v>
      </c>
      <c r="C717" s="2">
        <v>46091.665520636576</v>
      </c>
      <c r="D717">
        <v>3</v>
      </c>
      <c r="F717" s="2">
        <v>46091.373853969904</v>
      </c>
      <c r="G717" s="3">
        <v>46091</v>
      </c>
      <c r="H717" t="s">
        <v>28</v>
      </c>
      <c r="I717">
        <v>8</v>
      </c>
    </row>
    <row r="718" spans="1:9" x14ac:dyDescent="0.2">
      <c r="A718" s="16" t="s">
        <v>750</v>
      </c>
      <c r="B718" s="16" t="s">
        <v>10</v>
      </c>
      <c r="C718" s="2">
        <v>46091.693609166665</v>
      </c>
      <c r="D718">
        <v>826</v>
      </c>
      <c r="E718" s="7" t="s">
        <v>620</v>
      </c>
      <c r="F718" s="2">
        <v>46091.401942500001</v>
      </c>
      <c r="G718" s="3">
        <v>46091</v>
      </c>
      <c r="H718" t="s">
        <v>28</v>
      </c>
      <c r="I718">
        <v>9</v>
      </c>
    </row>
    <row r="719" spans="1:9" x14ac:dyDescent="0.2">
      <c r="A719" s="16" t="s">
        <v>1316</v>
      </c>
      <c r="B719" s="16" t="s">
        <v>10</v>
      </c>
      <c r="C719" s="2">
        <v>46091.702791793985</v>
      </c>
      <c r="D719">
        <v>575</v>
      </c>
      <c r="E719" s="7" t="s">
        <v>620</v>
      </c>
      <c r="F719" s="2">
        <v>46091.411125127313</v>
      </c>
      <c r="G719" s="3">
        <v>46091</v>
      </c>
      <c r="H719" t="s">
        <v>28</v>
      </c>
      <c r="I719">
        <v>9</v>
      </c>
    </row>
    <row r="720" spans="1:9" x14ac:dyDescent="0.2">
      <c r="A720" s="16" t="s">
        <v>753</v>
      </c>
      <c r="B720" s="16" t="s">
        <v>10</v>
      </c>
      <c r="C720" s="2">
        <v>46091.721436250002</v>
      </c>
      <c r="D720">
        <v>36</v>
      </c>
      <c r="F720" s="2">
        <v>46091.42976958333</v>
      </c>
      <c r="G720" s="3">
        <v>46091</v>
      </c>
      <c r="H720" t="s">
        <v>28</v>
      </c>
      <c r="I720">
        <v>10</v>
      </c>
    </row>
    <row r="721" spans="1:9" x14ac:dyDescent="0.2">
      <c r="A721" s="16" t="s">
        <v>754</v>
      </c>
      <c r="B721" s="16" t="s">
        <v>10</v>
      </c>
      <c r="C721" s="2">
        <v>46091.761021388891</v>
      </c>
      <c r="D721">
        <v>575</v>
      </c>
      <c r="E721" s="7" t="s">
        <v>536</v>
      </c>
      <c r="F721" s="2">
        <v>46091.46935472222</v>
      </c>
      <c r="G721" s="3">
        <v>46091</v>
      </c>
      <c r="H721" t="s">
        <v>28</v>
      </c>
      <c r="I721">
        <v>11</v>
      </c>
    </row>
    <row r="722" spans="1:9" x14ac:dyDescent="0.2">
      <c r="A722" s="16" t="s">
        <v>755</v>
      </c>
      <c r="B722" s="16" t="s">
        <v>10</v>
      </c>
      <c r="C722" s="2">
        <v>46091.778130312501</v>
      </c>
      <c r="D722">
        <v>3</v>
      </c>
      <c r="F722" s="2">
        <v>46091.486463645837</v>
      </c>
      <c r="G722" s="3">
        <v>46091</v>
      </c>
      <c r="H722" t="s">
        <v>28</v>
      </c>
      <c r="I722">
        <v>11</v>
      </c>
    </row>
    <row r="723" spans="1:9" x14ac:dyDescent="0.2">
      <c r="A723" s="16" t="s">
        <v>756</v>
      </c>
      <c r="B723" s="16" t="s">
        <v>10</v>
      </c>
      <c r="C723" s="2">
        <v>46091.799348032408</v>
      </c>
      <c r="D723">
        <v>3</v>
      </c>
      <c r="E723" s="7" t="s">
        <v>34</v>
      </c>
      <c r="F723" s="2">
        <v>46091.507681365743</v>
      </c>
      <c r="G723" s="3">
        <v>46091</v>
      </c>
      <c r="H723" t="s">
        <v>28</v>
      </c>
      <c r="I723">
        <v>12</v>
      </c>
    </row>
    <row r="724" spans="1:9" x14ac:dyDescent="0.2">
      <c r="A724" s="16" t="s">
        <v>757</v>
      </c>
      <c r="B724" s="16" t="s">
        <v>10</v>
      </c>
      <c r="C724" s="2">
        <v>46091.988551516202</v>
      </c>
      <c r="D724">
        <v>3</v>
      </c>
      <c r="F724" s="2">
        <v>46091.696884849538</v>
      </c>
      <c r="G724" s="3">
        <v>46091</v>
      </c>
      <c r="H724" t="s">
        <v>28</v>
      </c>
      <c r="I724">
        <v>16</v>
      </c>
    </row>
    <row r="725" spans="1:9" x14ac:dyDescent="0.2">
      <c r="A725" s="16" t="s">
        <v>758</v>
      </c>
      <c r="B725" s="16" t="s">
        <v>10</v>
      </c>
      <c r="C725" s="2">
        <v>46092.351902326387</v>
      </c>
      <c r="D725">
        <v>531</v>
      </c>
      <c r="F725" s="2">
        <v>46092.060235659723</v>
      </c>
      <c r="G725" s="3">
        <v>46092</v>
      </c>
      <c r="H725" t="s">
        <v>63</v>
      </c>
      <c r="I725">
        <v>1</v>
      </c>
    </row>
    <row r="726" spans="1:9" x14ac:dyDescent="0.2">
      <c r="A726" s="16" t="s">
        <v>759</v>
      </c>
      <c r="B726" s="16" t="s">
        <v>10</v>
      </c>
      <c r="C726" s="2">
        <v>46092.357134745369</v>
      </c>
      <c r="D726">
        <v>3</v>
      </c>
      <c r="E726" s="7" t="s">
        <v>60</v>
      </c>
      <c r="F726" s="2">
        <v>46092.065468078705</v>
      </c>
      <c r="G726" s="3">
        <v>46092</v>
      </c>
      <c r="H726" t="s">
        <v>63</v>
      </c>
      <c r="I726">
        <v>1</v>
      </c>
    </row>
    <row r="727" spans="1:9" x14ac:dyDescent="0.2">
      <c r="A727" s="16" t="s">
        <v>760</v>
      </c>
      <c r="B727" s="16" t="s">
        <v>10</v>
      </c>
      <c r="C727" s="2">
        <v>46092.358672766204</v>
      </c>
      <c r="D727">
        <v>3</v>
      </c>
      <c r="F727" s="2">
        <v>46092.06700609954</v>
      </c>
      <c r="G727" s="3">
        <v>46092</v>
      </c>
      <c r="H727" t="s">
        <v>63</v>
      </c>
      <c r="I727">
        <v>1</v>
      </c>
    </row>
    <row r="728" spans="1:9" x14ac:dyDescent="0.2">
      <c r="A728" s="16" t="s">
        <v>761</v>
      </c>
      <c r="B728" s="16" t="s">
        <v>10</v>
      </c>
      <c r="C728" s="2">
        <v>46092.364941516207</v>
      </c>
      <c r="D728">
        <v>36</v>
      </c>
      <c r="F728" s="2">
        <v>46092.073274849536</v>
      </c>
      <c r="G728" s="3">
        <v>46092</v>
      </c>
      <c r="H728" t="s">
        <v>63</v>
      </c>
      <c r="I728">
        <v>1</v>
      </c>
    </row>
    <row r="729" spans="1:9" x14ac:dyDescent="0.2">
      <c r="A729" s="16" t="s">
        <v>762</v>
      </c>
      <c r="B729" s="16" t="s">
        <v>10</v>
      </c>
      <c r="C729" s="2">
        <v>46092.372305335652</v>
      </c>
      <c r="D729">
        <v>575</v>
      </c>
      <c r="E729" s="7" t="s">
        <v>625</v>
      </c>
      <c r="F729" s="2">
        <v>46092.08063866898</v>
      </c>
      <c r="G729" s="3">
        <v>46092</v>
      </c>
      <c r="H729" t="s">
        <v>63</v>
      </c>
      <c r="I729">
        <v>1</v>
      </c>
    </row>
    <row r="730" spans="1:9" x14ac:dyDescent="0.2">
      <c r="A730" s="16" t="s">
        <v>763</v>
      </c>
      <c r="B730" s="16" t="s">
        <v>10</v>
      </c>
      <c r="C730" s="2">
        <v>46092.38396673611</v>
      </c>
      <c r="D730">
        <v>531</v>
      </c>
      <c r="E730" s="7" t="s">
        <v>34</v>
      </c>
      <c r="F730" s="2">
        <v>46092.092300069446</v>
      </c>
      <c r="G730" s="3">
        <v>46092</v>
      </c>
      <c r="H730" t="s">
        <v>63</v>
      </c>
      <c r="I730">
        <v>2</v>
      </c>
    </row>
    <row r="731" spans="1:9" x14ac:dyDescent="0.2">
      <c r="A731" s="16" t="s">
        <v>764</v>
      </c>
      <c r="B731" s="16" t="s">
        <v>10</v>
      </c>
      <c r="C731" s="2">
        <v>46092.402429270835</v>
      </c>
      <c r="D731">
        <v>531</v>
      </c>
      <c r="F731" s="2">
        <v>46092.11076260417</v>
      </c>
      <c r="G731" s="3">
        <v>46092</v>
      </c>
      <c r="H731" t="s">
        <v>63</v>
      </c>
      <c r="I731">
        <v>2</v>
      </c>
    </row>
    <row r="732" spans="1:9" x14ac:dyDescent="0.2">
      <c r="A732" s="16" t="s">
        <v>765</v>
      </c>
      <c r="B732" s="16" t="s">
        <v>10</v>
      </c>
      <c r="C732" s="2">
        <v>46092.456986053243</v>
      </c>
      <c r="D732">
        <v>3</v>
      </c>
      <c r="F732" s="2">
        <v>46092.165319386571</v>
      </c>
      <c r="G732" s="3">
        <v>46092</v>
      </c>
      <c r="H732" t="s">
        <v>63</v>
      </c>
      <c r="I732">
        <v>3</v>
      </c>
    </row>
    <row r="733" spans="1:9" x14ac:dyDescent="0.2">
      <c r="A733" s="16" t="s">
        <v>766</v>
      </c>
      <c r="B733" s="16" t="s">
        <v>10</v>
      </c>
      <c r="C733" s="2">
        <v>46092.459268402781</v>
      </c>
      <c r="D733">
        <v>1</v>
      </c>
      <c r="F733" s="2">
        <v>46092.16760173611</v>
      </c>
      <c r="G733" s="3">
        <v>46092</v>
      </c>
      <c r="H733" t="s">
        <v>63</v>
      </c>
      <c r="I733">
        <v>4</v>
      </c>
    </row>
    <row r="734" spans="1:9" x14ac:dyDescent="0.2">
      <c r="A734" s="16" t="s">
        <v>767</v>
      </c>
      <c r="B734" s="16" t="s">
        <v>10</v>
      </c>
      <c r="C734" s="2">
        <v>46092.489636655089</v>
      </c>
      <c r="D734">
        <v>531</v>
      </c>
      <c r="E734" s="7" t="s">
        <v>768</v>
      </c>
      <c r="F734" s="2">
        <v>46092.197969988425</v>
      </c>
      <c r="G734" s="3">
        <v>46092</v>
      </c>
      <c r="H734" t="s">
        <v>63</v>
      </c>
      <c r="I734">
        <v>4</v>
      </c>
    </row>
    <row r="735" spans="1:9" x14ac:dyDescent="0.2">
      <c r="A735" s="16" t="s">
        <v>871</v>
      </c>
      <c r="B735" s="16" t="s">
        <v>10</v>
      </c>
      <c r="C735" s="2">
        <v>46092.490464236114</v>
      </c>
      <c r="D735">
        <v>531</v>
      </c>
      <c r="E735" s="7" t="s">
        <v>768</v>
      </c>
      <c r="F735" s="2">
        <v>46092.198797569443</v>
      </c>
      <c r="G735" s="3">
        <v>46092</v>
      </c>
      <c r="H735" t="s">
        <v>63</v>
      </c>
      <c r="I735">
        <v>4</v>
      </c>
    </row>
    <row r="736" spans="1:9" x14ac:dyDescent="0.2">
      <c r="A736" s="16" t="s">
        <v>769</v>
      </c>
      <c r="B736" s="16" t="s">
        <v>10</v>
      </c>
      <c r="C736" s="2">
        <v>46092.49986664352</v>
      </c>
      <c r="D736">
        <v>3</v>
      </c>
      <c r="E736" s="7" t="s">
        <v>60</v>
      </c>
      <c r="F736" s="2">
        <v>46092.208199976849</v>
      </c>
      <c r="G736" s="3">
        <v>46092</v>
      </c>
      <c r="H736" t="s">
        <v>63</v>
      </c>
      <c r="I736">
        <v>4</v>
      </c>
    </row>
    <row r="737" spans="1:9" x14ac:dyDescent="0.2">
      <c r="A737" s="16" t="s">
        <v>770</v>
      </c>
      <c r="B737" s="16" t="s">
        <v>10</v>
      </c>
      <c r="C737" s="2">
        <v>46092.521941157407</v>
      </c>
      <c r="D737">
        <v>36</v>
      </c>
      <c r="F737" s="2">
        <v>46092.230274490743</v>
      </c>
      <c r="G737" s="3">
        <v>46092</v>
      </c>
      <c r="H737" t="s">
        <v>63</v>
      </c>
      <c r="I737">
        <v>5</v>
      </c>
    </row>
    <row r="738" spans="1:9" x14ac:dyDescent="0.2">
      <c r="A738" s="16" t="s">
        <v>771</v>
      </c>
      <c r="B738" s="16" t="s">
        <v>10</v>
      </c>
      <c r="C738" s="2">
        <v>46092.556878344905</v>
      </c>
      <c r="D738">
        <v>531</v>
      </c>
      <c r="F738" s="2">
        <v>46092.265211678241</v>
      </c>
      <c r="G738" s="3">
        <v>46092</v>
      </c>
      <c r="H738" t="s">
        <v>63</v>
      </c>
      <c r="I738">
        <v>6</v>
      </c>
    </row>
    <row r="739" spans="1:9" x14ac:dyDescent="0.2">
      <c r="A739" s="16" t="s">
        <v>772</v>
      </c>
      <c r="B739" s="16" t="s">
        <v>10</v>
      </c>
      <c r="C739" s="2">
        <v>46092.566308067129</v>
      </c>
      <c r="D739">
        <v>3</v>
      </c>
      <c r="F739" s="2">
        <v>46092.274641400465</v>
      </c>
      <c r="G739" s="3">
        <v>46092</v>
      </c>
      <c r="H739" t="s">
        <v>63</v>
      </c>
      <c r="I739">
        <v>6</v>
      </c>
    </row>
    <row r="740" spans="1:9" x14ac:dyDescent="0.2">
      <c r="A740" s="16" t="s">
        <v>773</v>
      </c>
      <c r="B740" s="16" t="s">
        <v>10</v>
      </c>
      <c r="C740" s="2">
        <v>46092.586006342593</v>
      </c>
      <c r="D740">
        <v>36</v>
      </c>
      <c r="F740" s="2">
        <v>46092.294339675929</v>
      </c>
      <c r="G740" s="3">
        <v>46092</v>
      </c>
      <c r="H740" t="s">
        <v>63</v>
      </c>
      <c r="I740">
        <v>7</v>
      </c>
    </row>
    <row r="741" spans="1:9" x14ac:dyDescent="0.2">
      <c r="A741" s="16" t="s">
        <v>774</v>
      </c>
      <c r="B741" s="16" t="s">
        <v>10</v>
      </c>
      <c r="C741" s="2">
        <v>46092.633006516204</v>
      </c>
      <c r="D741">
        <v>3</v>
      </c>
      <c r="E741" s="7" t="s">
        <v>34</v>
      </c>
      <c r="F741" s="2">
        <v>46092.34133984954</v>
      </c>
      <c r="G741" s="3">
        <v>46092</v>
      </c>
      <c r="H741" t="s">
        <v>63</v>
      </c>
      <c r="I741">
        <v>8</v>
      </c>
    </row>
    <row r="742" spans="1:9" x14ac:dyDescent="0.2">
      <c r="A742" s="16" t="s">
        <v>775</v>
      </c>
      <c r="B742" s="16" t="s">
        <v>10</v>
      </c>
      <c r="C742" s="2">
        <v>46092.651498402774</v>
      </c>
      <c r="D742">
        <v>575</v>
      </c>
      <c r="E742" s="7" t="s">
        <v>620</v>
      </c>
      <c r="F742" s="2">
        <v>46092.35983173611</v>
      </c>
      <c r="G742" s="3">
        <v>46092</v>
      </c>
      <c r="H742" t="s">
        <v>63</v>
      </c>
      <c r="I742">
        <v>8</v>
      </c>
    </row>
    <row r="743" spans="1:9" x14ac:dyDescent="0.2">
      <c r="A743" s="16" t="s">
        <v>776</v>
      </c>
      <c r="B743" s="16" t="s">
        <v>10</v>
      </c>
      <c r="C743" s="2">
        <v>46092.657454502318</v>
      </c>
      <c r="D743">
        <v>531</v>
      </c>
      <c r="E743" s="7" t="s">
        <v>768</v>
      </c>
      <c r="F743" s="2">
        <v>46092.365787835646</v>
      </c>
      <c r="G743" s="3">
        <v>46092</v>
      </c>
      <c r="H743" t="s">
        <v>63</v>
      </c>
      <c r="I743">
        <v>8</v>
      </c>
    </row>
    <row r="744" spans="1:9" x14ac:dyDescent="0.2">
      <c r="A744" s="16" t="s">
        <v>777</v>
      </c>
      <c r="B744" s="16" t="s">
        <v>10</v>
      </c>
      <c r="C744" s="2">
        <v>46092.667798078706</v>
      </c>
      <c r="D744">
        <v>531</v>
      </c>
      <c r="E744" s="7" t="s">
        <v>768</v>
      </c>
      <c r="F744" s="2">
        <v>46092.376131412035</v>
      </c>
      <c r="G744" s="3">
        <v>46092</v>
      </c>
      <c r="H744" t="s">
        <v>63</v>
      </c>
      <c r="I744">
        <v>9</v>
      </c>
    </row>
    <row r="745" spans="1:9" x14ac:dyDescent="0.2">
      <c r="A745" s="16" t="s">
        <v>778</v>
      </c>
      <c r="B745" s="16" t="s">
        <v>10</v>
      </c>
      <c r="C745" s="2">
        <v>46092.698176990743</v>
      </c>
      <c r="D745">
        <v>531</v>
      </c>
      <c r="F745" s="2">
        <v>46092.406510324072</v>
      </c>
      <c r="G745" s="3">
        <v>46092</v>
      </c>
      <c r="H745" t="s">
        <v>63</v>
      </c>
      <c r="I745">
        <v>9</v>
      </c>
    </row>
    <row r="746" spans="1:9" x14ac:dyDescent="0.2">
      <c r="A746" s="16" t="s">
        <v>779</v>
      </c>
      <c r="B746" s="16" t="s">
        <v>10</v>
      </c>
      <c r="C746" s="2">
        <v>46092.82465584491</v>
      </c>
      <c r="D746">
        <v>531</v>
      </c>
      <c r="F746" s="2">
        <v>46092.532989178238</v>
      </c>
      <c r="G746" s="3">
        <v>46092</v>
      </c>
      <c r="H746" t="s">
        <v>63</v>
      </c>
      <c r="I746">
        <v>12</v>
      </c>
    </row>
    <row r="747" spans="1:9" x14ac:dyDescent="0.2">
      <c r="A747" s="16" t="s">
        <v>901</v>
      </c>
      <c r="B747" s="16" t="s">
        <v>10</v>
      </c>
      <c r="C747" s="2">
        <v>46092.939976284724</v>
      </c>
      <c r="D747">
        <v>531</v>
      </c>
      <c r="F747" s="2">
        <v>46092.648309618053</v>
      </c>
      <c r="G747" s="3">
        <v>46092</v>
      </c>
      <c r="H747" t="s">
        <v>63</v>
      </c>
      <c r="I747">
        <v>15</v>
      </c>
    </row>
    <row r="748" spans="1:9" x14ac:dyDescent="0.2">
      <c r="A748" s="16" t="s">
        <v>780</v>
      </c>
      <c r="B748" s="16" t="s">
        <v>10</v>
      </c>
      <c r="C748" s="2">
        <v>46093.048997210652</v>
      </c>
      <c r="D748">
        <v>3</v>
      </c>
      <c r="F748" s="2">
        <v>46092.75733054398</v>
      </c>
      <c r="G748" s="3">
        <v>46092</v>
      </c>
      <c r="H748" t="s">
        <v>63</v>
      </c>
      <c r="I748">
        <v>18</v>
      </c>
    </row>
    <row r="749" spans="1:9" x14ac:dyDescent="0.2">
      <c r="A749" s="16" t="s">
        <v>781</v>
      </c>
      <c r="B749" s="16" t="s">
        <v>10</v>
      </c>
      <c r="C749" s="2">
        <v>46093.064328275461</v>
      </c>
      <c r="D749">
        <v>3</v>
      </c>
      <c r="E749" s="7" t="s">
        <v>45</v>
      </c>
      <c r="F749" s="2">
        <v>46092.772661608797</v>
      </c>
      <c r="G749" s="3">
        <v>46092</v>
      </c>
      <c r="H749" t="s">
        <v>63</v>
      </c>
      <c r="I749">
        <v>18</v>
      </c>
    </row>
    <row r="750" spans="1:9" x14ac:dyDescent="0.2">
      <c r="A750" s="16" t="s">
        <v>782</v>
      </c>
      <c r="B750" s="16" t="s">
        <v>10</v>
      </c>
      <c r="C750" s="2">
        <v>46093.39224814815</v>
      </c>
      <c r="D750">
        <v>531</v>
      </c>
      <c r="E750" s="7" t="s">
        <v>275</v>
      </c>
      <c r="F750" s="2">
        <v>46093.100581481478</v>
      </c>
      <c r="G750" s="3">
        <v>46093</v>
      </c>
      <c r="H750" t="s">
        <v>95</v>
      </c>
      <c r="I750">
        <v>2</v>
      </c>
    </row>
    <row r="751" spans="1:9" x14ac:dyDescent="0.2">
      <c r="A751" s="16" t="s">
        <v>783</v>
      </c>
      <c r="B751" s="16" t="s">
        <v>10</v>
      </c>
      <c r="C751" s="2">
        <v>46093.420962025462</v>
      </c>
      <c r="D751">
        <v>531</v>
      </c>
      <c r="F751" s="2">
        <v>46093.129295358798</v>
      </c>
      <c r="G751" s="3">
        <v>46093</v>
      </c>
      <c r="H751" t="s">
        <v>95</v>
      </c>
      <c r="I751">
        <v>3</v>
      </c>
    </row>
    <row r="752" spans="1:9" x14ac:dyDescent="0.2">
      <c r="A752" s="16" t="s">
        <v>784</v>
      </c>
      <c r="B752" s="16" t="s">
        <v>10</v>
      </c>
      <c r="C752" s="2">
        <v>46093.428806018521</v>
      </c>
      <c r="D752">
        <v>575</v>
      </c>
      <c r="E752" s="7" t="s">
        <v>582</v>
      </c>
      <c r="F752" s="2">
        <v>46093.137139351849</v>
      </c>
      <c r="G752" s="3">
        <v>46093</v>
      </c>
      <c r="H752" t="s">
        <v>95</v>
      </c>
      <c r="I752">
        <v>3</v>
      </c>
    </row>
    <row r="753" spans="1:9" x14ac:dyDescent="0.2">
      <c r="A753" s="16" t="s">
        <v>785</v>
      </c>
      <c r="B753" s="16" t="s">
        <v>10</v>
      </c>
      <c r="C753" s="2">
        <v>46093.51065945602</v>
      </c>
      <c r="D753">
        <v>3</v>
      </c>
      <c r="F753" s="2">
        <v>46093.218992789349</v>
      </c>
      <c r="G753" s="3">
        <v>46093</v>
      </c>
      <c r="H753" t="s">
        <v>95</v>
      </c>
      <c r="I753">
        <v>5</v>
      </c>
    </row>
    <row r="754" spans="1:9" x14ac:dyDescent="0.2">
      <c r="A754" s="16" t="s">
        <v>902</v>
      </c>
      <c r="B754" s="16" t="s">
        <v>10</v>
      </c>
      <c r="C754" s="2">
        <v>46093.532467280093</v>
      </c>
      <c r="D754">
        <v>3</v>
      </c>
      <c r="F754" s="2">
        <v>46093.240800613428</v>
      </c>
      <c r="G754" s="3">
        <v>46093</v>
      </c>
      <c r="H754" t="s">
        <v>95</v>
      </c>
      <c r="I754">
        <v>5</v>
      </c>
    </row>
    <row r="755" spans="1:9" x14ac:dyDescent="0.2">
      <c r="A755" s="16" t="s">
        <v>786</v>
      </c>
      <c r="B755" s="16" t="s">
        <v>10</v>
      </c>
      <c r="C755" s="2">
        <v>46093.608414953706</v>
      </c>
      <c r="D755">
        <v>2</v>
      </c>
      <c r="F755" s="2">
        <v>46093.316748287034</v>
      </c>
      <c r="G755" s="3">
        <v>46093</v>
      </c>
      <c r="H755" t="s">
        <v>95</v>
      </c>
      <c r="I755">
        <v>7</v>
      </c>
    </row>
    <row r="756" spans="1:9" x14ac:dyDescent="0.2">
      <c r="A756" s="16" t="s">
        <v>787</v>
      </c>
      <c r="B756" s="16" t="s">
        <v>10</v>
      </c>
      <c r="C756" s="2">
        <v>46093.646413599534</v>
      </c>
      <c r="D756">
        <v>531</v>
      </c>
      <c r="E756" s="7" t="s">
        <v>768</v>
      </c>
      <c r="F756" s="2">
        <v>46093.35474693287</v>
      </c>
      <c r="G756" s="3">
        <v>46093</v>
      </c>
      <c r="H756" t="s">
        <v>95</v>
      </c>
      <c r="I756">
        <v>8</v>
      </c>
    </row>
    <row r="757" spans="1:9" x14ac:dyDescent="0.2">
      <c r="A757" s="16" t="s">
        <v>807</v>
      </c>
      <c r="B757" s="16" t="s">
        <v>10</v>
      </c>
      <c r="C757" s="2">
        <v>46093.717577858799</v>
      </c>
      <c r="D757">
        <v>575</v>
      </c>
      <c r="F757" s="2">
        <v>46093.425911192127</v>
      </c>
      <c r="G757" s="3">
        <v>46093</v>
      </c>
      <c r="H757" t="s">
        <v>95</v>
      </c>
      <c r="I757">
        <v>10</v>
      </c>
    </row>
    <row r="758" spans="1:9" x14ac:dyDescent="0.2">
      <c r="A758" s="16" t="s">
        <v>808</v>
      </c>
      <c r="B758" s="16" t="s">
        <v>10</v>
      </c>
      <c r="C758" s="2">
        <v>46093.767513206018</v>
      </c>
      <c r="D758">
        <v>3</v>
      </c>
      <c r="F758" s="2">
        <v>46093.475846539353</v>
      </c>
      <c r="G758" s="3">
        <v>46093</v>
      </c>
      <c r="H758" t="s">
        <v>95</v>
      </c>
      <c r="I758">
        <v>11</v>
      </c>
    </row>
    <row r="759" spans="1:9" x14ac:dyDescent="0.2">
      <c r="A759" s="16" t="s">
        <v>809</v>
      </c>
      <c r="B759" s="16" t="s">
        <v>10</v>
      </c>
      <c r="C759" s="2">
        <v>46093.793513750003</v>
      </c>
      <c r="D759">
        <v>531</v>
      </c>
      <c r="E759" s="7" t="s">
        <v>31</v>
      </c>
      <c r="F759" s="2">
        <v>46093.501847083331</v>
      </c>
      <c r="G759" s="3">
        <v>46093</v>
      </c>
      <c r="H759" t="s">
        <v>95</v>
      </c>
      <c r="I759">
        <v>12</v>
      </c>
    </row>
    <row r="760" spans="1:9" x14ac:dyDescent="0.2">
      <c r="A760" s="16" t="s">
        <v>810</v>
      </c>
      <c r="B760" s="16" t="s">
        <v>10</v>
      </c>
      <c r="C760" s="2">
        <v>46093.932840601854</v>
      </c>
      <c r="D760">
        <v>531</v>
      </c>
      <c r="F760" s="2">
        <v>46093.641173935182</v>
      </c>
      <c r="G760" s="3">
        <v>46093</v>
      </c>
      <c r="H760" t="s">
        <v>95</v>
      </c>
      <c r="I760">
        <v>15</v>
      </c>
    </row>
    <row r="761" spans="1:9" x14ac:dyDescent="0.2">
      <c r="A761" s="16" t="s">
        <v>811</v>
      </c>
      <c r="B761" s="16" t="s">
        <v>10</v>
      </c>
      <c r="C761" s="2">
        <v>46094.350587696761</v>
      </c>
      <c r="D761">
        <v>531</v>
      </c>
      <c r="E761" s="7" t="s">
        <v>34</v>
      </c>
      <c r="F761" s="2">
        <v>46094.05892103009</v>
      </c>
      <c r="G761" s="3">
        <v>46094</v>
      </c>
      <c r="H761" t="s">
        <v>115</v>
      </c>
      <c r="I761">
        <v>1</v>
      </c>
    </row>
    <row r="762" spans="1:9" x14ac:dyDescent="0.2">
      <c r="A762" s="16" t="s">
        <v>812</v>
      </c>
      <c r="B762" s="16" t="s">
        <v>10</v>
      </c>
      <c r="C762" s="2">
        <v>46094.360299652777</v>
      </c>
      <c r="D762">
        <v>575</v>
      </c>
      <c r="F762" s="2">
        <v>46094.068632986113</v>
      </c>
      <c r="G762" s="3">
        <v>46094</v>
      </c>
      <c r="H762" t="s">
        <v>115</v>
      </c>
      <c r="I762">
        <v>1</v>
      </c>
    </row>
    <row r="763" spans="1:9" x14ac:dyDescent="0.2">
      <c r="A763" s="16" t="s">
        <v>813</v>
      </c>
      <c r="B763" s="16" t="s">
        <v>10</v>
      </c>
      <c r="C763" s="2">
        <v>46094.373780277776</v>
      </c>
      <c r="D763">
        <v>575</v>
      </c>
      <c r="E763" s="7" t="s">
        <v>709</v>
      </c>
      <c r="F763" s="2">
        <v>46094.082113611112</v>
      </c>
      <c r="G763" s="3">
        <v>46094</v>
      </c>
      <c r="H763" t="s">
        <v>115</v>
      </c>
      <c r="I763">
        <v>1</v>
      </c>
    </row>
    <row r="764" spans="1:9" x14ac:dyDescent="0.2">
      <c r="A764" s="16" t="s">
        <v>814</v>
      </c>
      <c r="B764" s="16" t="s">
        <v>10</v>
      </c>
      <c r="C764" s="2">
        <v>46094.402319560184</v>
      </c>
      <c r="D764">
        <v>3</v>
      </c>
      <c r="F764" s="2">
        <v>46094.11065289352</v>
      </c>
      <c r="G764" s="3">
        <v>46094</v>
      </c>
      <c r="H764" t="s">
        <v>115</v>
      </c>
      <c r="I764">
        <v>2</v>
      </c>
    </row>
    <row r="765" spans="1:9" x14ac:dyDescent="0.2">
      <c r="A765" s="16" t="s">
        <v>815</v>
      </c>
      <c r="B765" s="16" t="s">
        <v>10</v>
      </c>
      <c r="C765" s="2">
        <v>46094.416066886573</v>
      </c>
      <c r="D765">
        <v>3</v>
      </c>
      <c r="E765" s="7" t="s">
        <v>305</v>
      </c>
      <c r="F765" s="2">
        <v>46094.124400219909</v>
      </c>
      <c r="G765" s="3">
        <v>46094</v>
      </c>
      <c r="H765" t="s">
        <v>115</v>
      </c>
      <c r="I765">
        <v>2</v>
      </c>
    </row>
    <row r="766" spans="1:9" x14ac:dyDescent="0.2">
      <c r="A766" s="16" t="s">
        <v>816</v>
      </c>
      <c r="B766" s="16" t="s">
        <v>10</v>
      </c>
      <c r="C766" s="2">
        <v>46094.417847881945</v>
      </c>
      <c r="D766">
        <v>531</v>
      </c>
      <c r="F766" s="2">
        <v>46094.126181215281</v>
      </c>
      <c r="G766" s="3">
        <v>46094</v>
      </c>
      <c r="H766" t="s">
        <v>115</v>
      </c>
      <c r="I766">
        <v>3</v>
      </c>
    </row>
    <row r="767" spans="1:9" x14ac:dyDescent="0.2">
      <c r="A767" s="16" t="s">
        <v>817</v>
      </c>
      <c r="B767" s="16" t="s">
        <v>10</v>
      </c>
      <c r="C767" s="2">
        <v>46094.420525937501</v>
      </c>
      <c r="D767">
        <v>575</v>
      </c>
      <c r="F767" s="2">
        <v>46094.12885927083</v>
      </c>
      <c r="G767" s="3">
        <v>46094</v>
      </c>
      <c r="H767" t="s">
        <v>115</v>
      </c>
      <c r="I767">
        <v>3</v>
      </c>
    </row>
    <row r="768" spans="1:9" x14ac:dyDescent="0.2">
      <c r="A768" s="16" t="s">
        <v>818</v>
      </c>
      <c r="B768" s="16" t="s">
        <v>10</v>
      </c>
      <c r="C768" s="2">
        <v>46094.42532534722</v>
      </c>
      <c r="D768">
        <v>3</v>
      </c>
      <c r="E768" s="7" t="s">
        <v>305</v>
      </c>
      <c r="F768" s="2">
        <v>46094.133658680556</v>
      </c>
      <c r="G768" s="3">
        <v>46094</v>
      </c>
      <c r="H768" t="s">
        <v>115</v>
      </c>
      <c r="I768">
        <v>3</v>
      </c>
    </row>
    <row r="769" spans="1:9" x14ac:dyDescent="0.2">
      <c r="A769" s="16" t="s">
        <v>819</v>
      </c>
      <c r="B769" s="16" t="s">
        <v>10</v>
      </c>
      <c r="C769" s="2">
        <v>46094.43352175926</v>
      </c>
      <c r="D769">
        <v>3</v>
      </c>
      <c r="F769" s="2">
        <v>46094.141855092596</v>
      </c>
      <c r="G769" s="3">
        <v>46094</v>
      </c>
      <c r="H769" t="s">
        <v>115</v>
      </c>
      <c r="I769">
        <v>3</v>
      </c>
    </row>
    <row r="770" spans="1:9" x14ac:dyDescent="0.2">
      <c r="A770" s="16" t="s">
        <v>820</v>
      </c>
      <c r="B770" s="16" t="s">
        <v>10</v>
      </c>
      <c r="C770" s="2">
        <v>46094.475198622684</v>
      </c>
      <c r="D770">
        <v>3</v>
      </c>
      <c r="F770" s="2">
        <v>46094.18353195602</v>
      </c>
      <c r="G770" s="3">
        <v>46094</v>
      </c>
      <c r="H770" t="s">
        <v>115</v>
      </c>
      <c r="I770">
        <v>4</v>
      </c>
    </row>
    <row r="771" spans="1:9" x14ac:dyDescent="0.2">
      <c r="A771" s="16" t="s">
        <v>821</v>
      </c>
      <c r="B771" s="16" t="s">
        <v>10</v>
      </c>
      <c r="C771" s="2">
        <v>46094.496813877318</v>
      </c>
      <c r="D771">
        <v>575</v>
      </c>
      <c r="E771" s="7" t="s">
        <v>582</v>
      </c>
      <c r="F771" s="2">
        <v>46094.205147210647</v>
      </c>
      <c r="G771" s="3">
        <v>46094</v>
      </c>
      <c r="H771" t="s">
        <v>115</v>
      </c>
      <c r="I771">
        <v>4</v>
      </c>
    </row>
    <row r="772" spans="1:9" x14ac:dyDescent="0.2">
      <c r="A772" s="16" t="s">
        <v>822</v>
      </c>
      <c r="B772" s="16" t="s">
        <v>10</v>
      </c>
      <c r="C772" s="2">
        <v>46094.514207569446</v>
      </c>
      <c r="D772">
        <v>531</v>
      </c>
      <c r="F772" s="2">
        <v>46094.222540902774</v>
      </c>
      <c r="G772" s="3">
        <v>46094</v>
      </c>
      <c r="H772" t="s">
        <v>115</v>
      </c>
      <c r="I772">
        <v>5</v>
      </c>
    </row>
    <row r="773" spans="1:9" x14ac:dyDescent="0.2">
      <c r="A773" s="16" t="s">
        <v>823</v>
      </c>
      <c r="B773" s="16" t="s">
        <v>10</v>
      </c>
      <c r="C773" s="2">
        <v>46094.521576712963</v>
      </c>
      <c r="D773">
        <v>531</v>
      </c>
      <c r="E773" s="7" t="s">
        <v>768</v>
      </c>
      <c r="F773" s="2">
        <v>46094.229910046299</v>
      </c>
      <c r="G773" s="3">
        <v>46094</v>
      </c>
      <c r="H773" t="s">
        <v>115</v>
      </c>
      <c r="I773">
        <v>5</v>
      </c>
    </row>
    <row r="774" spans="1:9" x14ac:dyDescent="0.2">
      <c r="A774" s="16" t="s">
        <v>824</v>
      </c>
      <c r="B774" s="16" t="s">
        <v>10</v>
      </c>
      <c r="C774" s="2">
        <v>46094.54158153935</v>
      </c>
      <c r="D774">
        <v>619</v>
      </c>
      <c r="F774" s="2">
        <v>46094.249914872686</v>
      </c>
      <c r="G774" s="3">
        <v>46094</v>
      </c>
      <c r="H774" t="s">
        <v>115</v>
      </c>
      <c r="I774">
        <v>5</v>
      </c>
    </row>
    <row r="775" spans="1:9" x14ac:dyDescent="0.2">
      <c r="A775" s="16" t="s">
        <v>825</v>
      </c>
      <c r="B775" s="16" t="s">
        <v>10</v>
      </c>
      <c r="C775" s="2">
        <v>46094.542950034724</v>
      </c>
      <c r="D775">
        <v>3</v>
      </c>
      <c r="F775" s="2">
        <v>46094.251283368052</v>
      </c>
      <c r="G775" s="3">
        <v>46094</v>
      </c>
      <c r="H775" t="s">
        <v>115</v>
      </c>
      <c r="I775">
        <v>6</v>
      </c>
    </row>
    <row r="776" spans="1:9" x14ac:dyDescent="0.2">
      <c r="A776" s="16" t="s">
        <v>826</v>
      </c>
      <c r="B776" s="16" t="s">
        <v>10</v>
      </c>
      <c r="C776" s="2">
        <v>46094.569692812503</v>
      </c>
      <c r="D776">
        <v>35</v>
      </c>
      <c r="F776" s="2">
        <v>46094.278026145832</v>
      </c>
      <c r="G776" s="3">
        <v>46094</v>
      </c>
      <c r="H776" t="s">
        <v>115</v>
      </c>
      <c r="I776">
        <v>6</v>
      </c>
    </row>
    <row r="777" spans="1:9" x14ac:dyDescent="0.2">
      <c r="A777" s="16" t="s">
        <v>827</v>
      </c>
      <c r="B777" s="16" t="s">
        <v>10</v>
      </c>
      <c r="C777" s="2">
        <v>46094.626546851854</v>
      </c>
      <c r="D777">
        <v>3</v>
      </c>
      <c r="F777" s="2">
        <v>46094.334880185183</v>
      </c>
      <c r="G777" s="3">
        <v>46094</v>
      </c>
      <c r="H777" t="s">
        <v>115</v>
      </c>
      <c r="I777">
        <v>8</v>
      </c>
    </row>
    <row r="778" spans="1:9" x14ac:dyDescent="0.2">
      <c r="A778" s="16" t="s">
        <v>828</v>
      </c>
      <c r="B778" s="16" t="s">
        <v>10</v>
      </c>
      <c r="C778" s="2">
        <v>46094.629121944447</v>
      </c>
      <c r="D778">
        <v>35</v>
      </c>
      <c r="F778" s="2">
        <v>46094.337455277775</v>
      </c>
      <c r="G778" s="3">
        <v>46094</v>
      </c>
      <c r="H778" t="s">
        <v>115</v>
      </c>
      <c r="I778">
        <v>8</v>
      </c>
    </row>
    <row r="779" spans="1:9" x14ac:dyDescent="0.2">
      <c r="A779" s="16" t="s">
        <v>837</v>
      </c>
      <c r="B779" s="16" t="s">
        <v>10</v>
      </c>
      <c r="C779" s="2">
        <v>46094.800483009261</v>
      </c>
      <c r="D779">
        <v>2</v>
      </c>
      <c r="E779" s="7" t="s">
        <v>367</v>
      </c>
      <c r="F779" s="2">
        <v>46094.50881634259</v>
      </c>
      <c r="G779" s="3">
        <v>46094</v>
      </c>
      <c r="H779" t="s">
        <v>115</v>
      </c>
      <c r="I779">
        <v>12</v>
      </c>
    </row>
    <row r="780" spans="1:9" x14ac:dyDescent="0.2">
      <c r="A780" s="16" t="s">
        <v>838</v>
      </c>
      <c r="B780" s="16" t="s">
        <v>10</v>
      </c>
      <c r="C780" s="2">
        <v>46094.814934641203</v>
      </c>
      <c r="D780">
        <v>3</v>
      </c>
      <c r="F780" s="2">
        <v>46094.523267974539</v>
      </c>
      <c r="G780" s="3">
        <v>46094</v>
      </c>
      <c r="H780" t="s">
        <v>115</v>
      </c>
      <c r="I780">
        <v>12</v>
      </c>
    </row>
    <row r="781" spans="1:9" x14ac:dyDescent="0.2">
      <c r="A781" s="16" t="s">
        <v>1065</v>
      </c>
      <c r="B781" s="16" t="s">
        <v>10</v>
      </c>
      <c r="C781" s="2">
        <v>46094.824617847225</v>
      </c>
      <c r="D781">
        <v>2</v>
      </c>
      <c r="E781" s="7" t="s">
        <v>367</v>
      </c>
      <c r="F781" s="2">
        <v>46094.532951180554</v>
      </c>
      <c r="G781" s="3">
        <v>46094</v>
      </c>
      <c r="H781" t="s">
        <v>115</v>
      </c>
      <c r="I781">
        <v>12</v>
      </c>
    </row>
    <row r="782" spans="1:9" x14ac:dyDescent="0.2">
      <c r="A782" s="16" t="s">
        <v>1317</v>
      </c>
      <c r="B782" s="16" t="s">
        <v>10</v>
      </c>
      <c r="C782" s="2">
        <v>46094.827768657407</v>
      </c>
      <c r="D782">
        <v>2</v>
      </c>
      <c r="E782" s="7" t="s">
        <v>367</v>
      </c>
      <c r="F782" s="2">
        <v>46094.536101990743</v>
      </c>
      <c r="G782" s="3">
        <v>46094</v>
      </c>
      <c r="H782" t="s">
        <v>115</v>
      </c>
      <c r="I782">
        <v>12</v>
      </c>
    </row>
    <row r="783" spans="1:9" x14ac:dyDescent="0.2">
      <c r="A783" s="16" t="s">
        <v>839</v>
      </c>
      <c r="B783" s="16" t="s">
        <v>10</v>
      </c>
      <c r="C783" s="2">
        <v>46094.829001053244</v>
      </c>
      <c r="D783">
        <v>575</v>
      </c>
      <c r="E783" s="7" t="s">
        <v>301</v>
      </c>
      <c r="F783" s="2">
        <v>46094.537334386572</v>
      </c>
      <c r="G783" s="3">
        <v>46094</v>
      </c>
      <c r="H783" t="s">
        <v>115</v>
      </c>
      <c r="I783">
        <v>12</v>
      </c>
    </row>
    <row r="784" spans="1:9" x14ac:dyDescent="0.2">
      <c r="A784" s="16" t="s">
        <v>1264</v>
      </c>
      <c r="B784" s="16" t="s">
        <v>10</v>
      </c>
      <c r="C784" s="2">
        <v>46094.829043483798</v>
      </c>
      <c r="D784">
        <v>3</v>
      </c>
      <c r="F784" s="2">
        <v>46094.537376817127</v>
      </c>
      <c r="G784" s="3">
        <v>46094</v>
      </c>
      <c r="H784" t="s">
        <v>115</v>
      </c>
      <c r="I784">
        <v>12</v>
      </c>
    </row>
    <row r="785" spans="1:9" x14ac:dyDescent="0.2">
      <c r="A785" s="16" t="s">
        <v>840</v>
      </c>
      <c r="B785" s="16" t="s">
        <v>10</v>
      </c>
      <c r="C785" s="2">
        <v>46094.83371467593</v>
      </c>
      <c r="D785">
        <v>575</v>
      </c>
      <c r="F785" s="2">
        <v>46094.542048009258</v>
      </c>
      <c r="G785" s="3">
        <v>46094</v>
      </c>
      <c r="H785" t="s">
        <v>115</v>
      </c>
      <c r="I785">
        <v>13</v>
      </c>
    </row>
    <row r="786" spans="1:9" x14ac:dyDescent="0.2">
      <c r="A786" s="16" t="s">
        <v>841</v>
      </c>
      <c r="B786" s="16" t="s">
        <v>10</v>
      </c>
      <c r="C786" s="2">
        <v>46094.833930057874</v>
      </c>
      <c r="D786">
        <v>3</v>
      </c>
      <c r="F786" s="2">
        <v>46094.542263391202</v>
      </c>
      <c r="G786" s="3">
        <v>46094</v>
      </c>
      <c r="H786" t="s">
        <v>115</v>
      </c>
      <c r="I786">
        <v>13</v>
      </c>
    </row>
    <row r="787" spans="1:9" x14ac:dyDescent="0.2">
      <c r="A787" s="16" t="s">
        <v>842</v>
      </c>
      <c r="B787" s="16" t="s">
        <v>10</v>
      </c>
      <c r="C787" s="2">
        <v>46094.834834768517</v>
      </c>
      <c r="D787">
        <v>2</v>
      </c>
      <c r="E787" s="7" t="s">
        <v>367</v>
      </c>
      <c r="F787" s="2">
        <v>46094.543168101853</v>
      </c>
      <c r="G787" s="3">
        <v>46094</v>
      </c>
      <c r="H787" t="s">
        <v>115</v>
      </c>
      <c r="I787">
        <v>13</v>
      </c>
    </row>
    <row r="788" spans="1:9" x14ac:dyDescent="0.2">
      <c r="A788" s="16" t="s">
        <v>843</v>
      </c>
      <c r="B788" s="16" t="s">
        <v>10</v>
      </c>
      <c r="C788" s="2">
        <v>46094.835089270833</v>
      </c>
      <c r="D788">
        <v>575</v>
      </c>
      <c r="E788" s="7" t="s">
        <v>301</v>
      </c>
      <c r="F788" s="2">
        <v>46094.543422604169</v>
      </c>
      <c r="G788" s="3">
        <v>46094</v>
      </c>
      <c r="H788" t="s">
        <v>115</v>
      </c>
      <c r="I788">
        <v>13</v>
      </c>
    </row>
    <row r="789" spans="1:9" x14ac:dyDescent="0.2">
      <c r="A789" s="16" t="s">
        <v>903</v>
      </c>
      <c r="B789" s="16" t="s">
        <v>10</v>
      </c>
      <c r="C789" s="2">
        <v>46094.839683645834</v>
      </c>
      <c r="D789">
        <v>575</v>
      </c>
      <c r="E789" s="7" t="s">
        <v>301</v>
      </c>
      <c r="F789" s="2">
        <v>46094.54801697917</v>
      </c>
      <c r="G789" s="3">
        <v>46094</v>
      </c>
      <c r="H789" t="s">
        <v>115</v>
      </c>
      <c r="I789">
        <v>13</v>
      </c>
    </row>
    <row r="790" spans="1:9" x14ac:dyDescent="0.2">
      <c r="A790" s="16" t="s">
        <v>844</v>
      </c>
      <c r="B790" s="16" t="s">
        <v>10</v>
      </c>
      <c r="C790" s="2">
        <v>46094.922768252312</v>
      </c>
      <c r="D790">
        <v>531</v>
      </c>
      <c r="F790" s="2">
        <v>46094.631101585648</v>
      </c>
      <c r="G790" s="3">
        <v>46094</v>
      </c>
      <c r="H790" t="s">
        <v>115</v>
      </c>
      <c r="I790">
        <v>15</v>
      </c>
    </row>
    <row r="791" spans="1:9" x14ac:dyDescent="0.2">
      <c r="A791" s="16" t="s">
        <v>845</v>
      </c>
      <c r="B791" s="16" t="s">
        <v>10</v>
      </c>
      <c r="C791" s="2">
        <v>46095.330450208334</v>
      </c>
      <c r="D791">
        <v>531</v>
      </c>
      <c r="F791" s="2">
        <v>46095.03878354167</v>
      </c>
      <c r="G791" s="3">
        <v>46095</v>
      </c>
      <c r="H791" t="s">
        <v>120</v>
      </c>
      <c r="I791">
        <v>0</v>
      </c>
    </row>
    <row r="792" spans="1:9" x14ac:dyDescent="0.2">
      <c r="A792" s="16" t="s">
        <v>846</v>
      </c>
      <c r="B792" s="16" t="s">
        <v>10</v>
      </c>
      <c r="C792" s="2">
        <v>46095.353037025459</v>
      </c>
      <c r="D792">
        <v>575</v>
      </c>
      <c r="F792" s="2">
        <v>46095.061370358795</v>
      </c>
      <c r="G792" s="3">
        <v>46095</v>
      </c>
      <c r="H792" t="s">
        <v>120</v>
      </c>
      <c r="I792">
        <v>1</v>
      </c>
    </row>
    <row r="793" spans="1:9" x14ac:dyDescent="0.2">
      <c r="A793" s="16" t="s">
        <v>847</v>
      </c>
      <c r="B793" s="16" t="s">
        <v>10</v>
      </c>
      <c r="C793" s="2">
        <v>46095.434625787035</v>
      </c>
      <c r="D793">
        <v>531</v>
      </c>
      <c r="F793" s="2">
        <v>46095.142959120371</v>
      </c>
      <c r="G793" s="3">
        <v>46095</v>
      </c>
      <c r="H793" t="s">
        <v>120</v>
      </c>
      <c r="I793">
        <v>3</v>
      </c>
    </row>
    <row r="794" spans="1:9" x14ac:dyDescent="0.2">
      <c r="A794" s="16" t="s">
        <v>848</v>
      </c>
      <c r="B794" s="16" t="s">
        <v>10</v>
      </c>
      <c r="C794" s="2">
        <v>46095.452279953701</v>
      </c>
      <c r="D794">
        <v>575</v>
      </c>
      <c r="F794" s="2">
        <v>46095.160613287037</v>
      </c>
      <c r="G794" s="3">
        <v>46095</v>
      </c>
      <c r="H794" t="s">
        <v>120</v>
      </c>
      <c r="I794">
        <v>3</v>
      </c>
    </row>
    <row r="795" spans="1:9" x14ac:dyDescent="0.2">
      <c r="A795" s="16" t="s">
        <v>849</v>
      </c>
      <c r="B795" s="16" t="s">
        <v>10</v>
      </c>
      <c r="C795" s="2">
        <v>46095.457385752314</v>
      </c>
      <c r="D795">
        <v>3</v>
      </c>
      <c r="E795" s="7" t="s">
        <v>305</v>
      </c>
      <c r="F795" s="2">
        <v>46095.165719085649</v>
      </c>
      <c r="G795" s="3">
        <v>46095</v>
      </c>
      <c r="H795" t="s">
        <v>120</v>
      </c>
      <c r="I795">
        <v>3</v>
      </c>
    </row>
    <row r="796" spans="1:9" x14ac:dyDescent="0.2">
      <c r="A796" s="16" t="s">
        <v>850</v>
      </c>
      <c r="B796" s="16" t="s">
        <v>10</v>
      </c>
      <c r="C796" s="2">
        <v>46095.594146249998</v>
      </c>
      <c r="D796">
        <v>575</v>
      </c>
      <c r="F796" s="2">
        <v>46095.302479583333</v>
      </c>
      <c r="G796" s="3">
        <v>46095</v>
      </c>
      <c r="H796" t="s">
        <v>120</v>
      </c>
      <c r="I796">
        <v>7</v>
      </c>
    </row>
    <row r="797" spans="1:9" x14ac:dyDescent="0.2">
      <c r="A797" s="16" t="s">
        <v>978</v>
      </c>
      <c r="B797" s="16" t="s">
        <v>10</v>
      </c>
      <c r="C797" s="2">
        <v>46095.598142233794</v>
      </c>
      <c r="D797">
        <v>575</v>
      </c>
      <c r="F797" s="2">
        <v>46095.306475567129</v>
      </c>
      <c r="G797" s="3">
        <v>46095</v>
      </c>
      <c r="H797" t="s">
        <v>120</v>
      </c>
      <c r="I797">
        <v>7</v>
      </c>
    </row>
    <row r="798" spans="1:9" x14ac:dyDescent="0.2">
      <c r="A798" s="16" t="s">
        <v>1265</v>
      </c>
      <c r="B798" s="16" t="s">
        <v>10</v>
      </c>
      <c r="C798" s="2">
        <v>46095.603847708335</v>
      </c>
      <c r="D798">
        <v>575</v>
      </c>
      <c r="F798" s="2">
        <v>46095.312181041663</v>
      </c>
      <c r="G798" s="3">
        <v>46095</v>
      </c>
      <c r="H798" t="s">
        <v>120</v>
      </c>
      <c r="I798">
        <v>7</v>
      </c>
    </row>
    <row r="799" spans="1:9" x14ac:dyDescent="0.2">
      <c r="A799" s="16" t="s">
        <v>1160</v>
      </c>
      <c r="B799" s="16" t="s">
        <v>10</v>
      </c>
      <c r="C799" s="2">
        <v>46095.611007372689</v>
      </c>
      <c r="D799">
        <v>575</v>
      </c>
      <c r="F799" s="2">
        <v>46095.319340706017</v>
      </c>
      <c r="G799" s="3">
        <v>46095</v>
      </c>
      <c r="H799" t="s">
        <v>120</v>
      </c>
      <c r="I799">
        <v>7</v>
      </c>
    </row>
    <row r="800" spans="1:9" x14ac:dyDescent="0.2">
      <c r="A800" s="16" t="s">
        <v>851</v>
      </c>
      <c r="B800" s="16" t="s">
        <v>10</v>
      </c>
      <c r="C800" s="2">
        <v>46095.628876342591</v>
      </c>
      <c r="D800">
        <v>575</v>
      </c>
      <c r="F800" s="2">
        <v>46095.337209675927</v>
      </c>
      <c r="G800" s="3">
        <v>46095</v>
      </c>
      <c r="H800" t="s">
        <v>120</v>
      </c>
      <c r="I800">
        <v>8</v>
      </c>
    </row>
    <row r="801" spans="1:9" x14ac:dyDescent="0.2">
      <c r="A801" s="16" t="s">
        <v>852</v>
      </c>
      <c r="B801" s="16" t="s">
        <v>10</v>
      </c>
      <c r="C801" s="2">
        <v>46095.639069756944</v>
      </c>
      <c r="D801">
        <v>3</v>
      </c>
      <c r="E801" s="7" t="s">
        <v>853</v>
      </c>
      <c r="F801" s="2">
        <v>46095.34740309028</v>
      </c>
      <c r="G801" s="3">
        <v>46095</v>
      </c>
      <c r="H801" t="s">
        <v>120</v>
      </c>
      <c r="I801">
        <v>8</v>
      </c>
    </row>
    <row r="802" spans="1:9" x14ac:dyDescent="0.2">
      <c r="A802" s="16" t="s">
        <v>904</v>
      </c>
      <c r="B802" s="16" t="s">
        <v>10</v>
      </c>
      <c r="C802" s="2">
        <v>46095.642464409721</v>
      </c>
      <c r="D802">
        <v>575</v>
      </c>
      <c r="F802" s="2">
        <v>46095.350797743056</v>
      </c>
      <c r="G802" s="3">
        <v>46095</v>
      </c>
      <c r="H802" t="s">
        <v>120</v>
      </c>
      <c r="I802">
        <v>8</v>
      </c>
    </row>
    <row r="803" spans="1:9" x14ac:dyDescent="0.2">
      <c r="A803" s="16" t="s">
        <v>863</v>
      </c>
      <c r="B803" s="16" t="s">
        <v>10</v>
      </c>
      <c r="C803" s="2">
        <v>46095.840705254632</v>
      </c>
      <c r="D803">
        <v>531</v>
      </c>
      <c r="F803" s="2">
        <v>46095.54903858796</v>
      </c>
      <c r="G803" s="3">
        <v>46095</v>
      </c>
      <c r="H803" t="s">
        <v>120</v>
      </c>
      <c r="I803">
        <v>13</v>
      </c>
    </row>
    <row r="804" spans="1:9" x14ac:dyDescent="0.2">
      <c r="A804" s="16" t="s">
        <v>864</v>
      </c>
      <c r="B804" s="16" t="s">
        <v>10</v>
      </c>
      <c r="C804" s="2">
        <v>46096.218777013892</v>
      </c>
      <c r="D804">
        <v>575</v>
      </c>
      <c r="F804" s="2">
        <v>46095.92711034722</v>
      </c>
      <c r="G804" s="3">
        <v>46095</v>
      </c>
      <c r="H804" t="s">
        <v>120</v>
      </c>
      <c r="I804">
        <v>22</v>
      </c>
    </row>
    <row r="805" spans="1:9" x14ac:dyDescent="0.2">
      <c r="A805" s="16" t="s">
        <v>865</v>
      </c>
      <c r="B805" s="16" t="s">
        <v>10</v>
      </c>
      <c r="C805" s="2">
        <v>46096.348719618058</v>
      </c>
      <c r="D805">
        <v>3</v>
      </c>
      <c r="F805" s="2">
        <v>46096.057052951386</v>
      </c>
      <c r="G805" s="3">
        <v>46096</v>
      </c>
      <c r="H805" t="s">
        <v>125</v>
      </c>
      <c r="I805">
        <v>1</v>
      </c>
    </row>
    <row r="806" spans="1:9" x14ac:dyDescent="0.2">
      <c r="A806" s="16" t="s">
        <v>866</v>
      </c>
      <c r="B806" s="16" t="s">
        <v>10</v>
      </c>
      <c r="C806" s="2">
        <v>46096.403470520832</v>
      </c>
      <c r="D806">
        <v>575</v>
      </c>
      <c r="F806" s="2">
        <v>46096.111803854168</v>
      </c>
      <c r="G806" s="3">
        <v>46096</v>
      </c>
      <c r="H806" t="s">
        <v>125</v>
      </c>
      <c r="I806">
        <v>2</v>
      </c>
    </row>
    <row r="807" spans="1:9" x14ac:dyDescent="0.2">
      <c r="A807" s="16" t="s">
        <v>872</v>
      </c>
      <c r="B807" s="16" t="s">
        <v>10</v>
      </c>
      <c r="C807" s="2">
        <v>46096.713228900466</v>
      </c>
      <c r="D807">
        <v>1</v>
      </c>
      <c r="F807" s="2">
        <v>46096.421562233794</v>
      </c>
      <c r="G807" s="3">
        <v>46096</v>
      </c>
      <c r="H807" t="s">
        <v>125</v>
      </c>
      <c r="I807">
        <v>10</v>
      </c>
    </row>
    <row r="808" spans="1:9" x14ac:dyDescent="0.2">
      <c r="A808" s="16" t="s">
        <v>873</v>
      </c>
      <c r="B808" s="16" t="s">
        <v>10</v>
      </c>
      <c r="C808" s="2">
        <v>46096.879958750003</v>
      </c>
      <c r="D808">
        <v>3</v>
      </c>
      <c r="E808" s="7" t="s">
        <v>874</v>
      </c>
      <c r="F808" s="2">
        <v>46096.588292083332</v>
      </c>
      <c r="G808" s="3">
        <v>46096</v>
      </c>
      <c r="H808" t="s">
        <v>125</v>
      </c>
      <c r="I808">
        <v>14</v>
      </c>
    </row>
    <row r="809" spans="1:9" x14ac:dyDescent="0.2">
      <c r="A809" s="16" t="s">
        <v>875</v>
      </c>
      <c r="B809" s="16" t="s">
        <v>10</v>
      </c>
      <c r="C809" s="2">
        <v>46096.880976863424</v>
      </c>
      <c r="D809">
        <v>3</v>
      </c>
      <c r="F809" s="2">
        <v>46096.589310196759</v>
      </c>
      <c r="G809" s="3">
        <v>46096</v>
      </c>
      <c r="H809" t="s">
        <v>125</v>
      </c>
      <c r="I809">
        <v>14</v>
      </c>
    </row>
    <row r="810" spans="1:9" x14ac:dyDescent="0.2">
      <c r="A810" s="16" t="s">
        <v>876</v>
      </c>
      <c r="B810" s="16" t="s">
        <v>10</v>
      </c>
      <c r="C810" s="2">
        <v>46096.881695775461</v>
      </c>
      <c r="D810">
        <v>3</v>
      </c>
      <c r="F810" s="2">
        <v>46096.590029108796</v>
      </c>
      <c r="G810" s="3">
        <v>46096</v>
      </c>
      <c r="H810" t="s">
        <v>125</v>
      </c>
      <c r="I810">
        <v>14</v>
      </c>
    </row>
    <row r="811" spans="1:9" x14ac:dyDescent="0.2">
      <c r="A811" s="16" t="s">
        <v>877</v>
      </c>
      <c r="B811" s="16" t="s">
        <v>10</v>
      </c>
      <c r="C811" s="2">
        <v>46096.881826168981</v>
      </c>
      <c r="D811">
        <v>3</v>
      </c>
      <c r="E811" s="7" t="s">
        <v>878</v>
      </c>
      <c r="F811" s="2">
        <v>46096.590159502317</v>
      </c>
      <c r="G811" s="3">
        <v>46096</v>
      </c>
      <c r="H811" t="s">
        <v>125</v>
      </c>
      <c r="I811">
        <v>14</v>
      </c>
    </row>
    <row r="812" spans="1:9" x14ac:dyDescent="0.2">
      <c r="A812" s="16" t="s">
        <v>879</v>
      </c>
      <c r="B812" s="16" t="s">
        <v>10</v>
      </c>
      <c r="C812" s="2">
        <v>46096.913787939811</v>
      </c>
      <c r="D812">
        <v>2</v>
      </c>
      <c r="E812" s="7" t="s">
        <v>880</v>
      </c>
      <c r="F812" s="2">
        <v>46096.622121273147</v>
      </c>
      <c r="G812" s="3">
        <v>46096</v>
      </c>
      <c r="H812" t="s">
        <v>125</v>
      </c>
      <c r="I812">
        <v>14</v>
      </c>
    </row>
    <row r="813" spans="1:9" x14ac:dyDescent="0.2">
      <c r="A813" s="16" t="s">
        <v>881</v>
      </c>
      <c r="B813" s="16" t="s">
        <v>10</v>
      </c>
      <c r="C813" s="2">
        <v>46096.925789085646</v>
      </c>
      <c r="D813">
        <v>3</v>
      </c>
      <c r="E813" s="7" t="s">
        <v>878</v>
      </c>
      <c r="F813" s="2">
        <v>46096.634122418982</v>
      </c>
      <c r="G813" s="3">
        <v>46096</v>
      </c>
      <c r="H813" t="s">
        <v>125</v>
      </c>
      <c r="I813">
        <v>15</v>
      </c>
    </row>
    <row r="814" spans="1:9" x14ac:dyDescent="0.2">
      <c r="A814" s="16" t="s">
        <v>882</v>
      </c>
      <c r="B814" s="16" t="s">
        <v>10</v>
      </c>
      <c r="C814" s="2">
        <v>46096.939985914352</v>
      </c>
      <c r="D814">
        <v>531</v>
      </c>
      <c r="E814" s="7" t="s">
        <v>323</v>
      </c>
      <c r="F814" s="2">
        <v>46096.648319247688</v>
      </c>
      <c r="G814" s="3">
        <v>46096</v>
      </c>
      <c r="H814" t="s">
        <v>125</v>
      </c>
      <c r="I814">
        <v>15</v>
      </c>
    </row>
    <row r="815" spans="1:9" x14ac:dyDescent="0.2">
      <c r="A815" s="16" t="s">
        <v>883</v>
      </c>
      <c r="B815" s="16" t="s">
        <v>10</v>
      </c>
      <c r="C815" s="2">
        <v>46097.041815127312</v>
      </c>
      <c r="D815">
        <v>3</v>
      </c>
      <c r="E815" s="7" t="s">
        <v>878</v>
      </c>
      <c r="F815" s="2">
        <v>46096.750148460647</v>
      </c>
      <c r="G815" s="3">
        <v>46096</v>
      </c>
      <c r="H815" t="s">
        <v>125</v>
      </c>
      <c r="I815">
        <v>18</v>
      </c>
    </row>
    <row r="816" spans="1:9" x14ac:dyDescent="0.2">
      <c r="A816" s="16" t="s">
        <v>884</v>
      </c>
      <c r="B816" s="16" t="s">
        <v>10</v>
      </c>
      <c r="C816" s="2">
        <v>46097.253154768521</v>
      </c>
      <c r="D816">
        <v>531</v>
      </c>
      <c r="F816" s="2">
        <v>46096.96148810185</v>
      </c>
      <c r="G816" s="3">
        <v>46096</v>
      </c>
      <c r="H816" t="s">
        <v>125</v>
      </c>
      <c r="I816">
        <v>23</v>
      </c>
    </row>
    <row r="817" spans="1:9" x14ac:dyDescent="0.2">
      <c r="A817" s="16" t="s">
        <v>885</v>
      </c>
      <c r="B817" s="16" t="s">
        <v>10</v>
      </c>
      <c r="C817" s="2">
        <v>46097.374301157404</v>
      </c>
      <c r="D817">
        <v>2</v>
      </c>
      <c r="F817" s="2">
        <v>46097.08263449074</v>
      </c>
      <c r="G817" s="3">
        <v>46097</v>
      </c>
      <c r="H817" t="s">
        <v>11</v>
      </c>
      <c r="I817">
        <v>1</v>
      </c>
    </row>
    <row r="818" spans="1:9" x14ac:dyDescent="0.2">
      <c r="A818" s="16" t="s">
        <v>886</v>
      </c>
      <c r="B818" s="16" t="s">
        <v>10</v>
      </c>
      <c r="C818" s="2">
        <v>46097.375510636572</v>
      </c>
      <c r="D818">
        <v>2</v>
      </c>
      <c r="F818" s="2">
        <v>46097.083843969907</v>
      </c>
      <c r="G818" s="3">
        <v>46097</v>
      </c>
      <c r="H818" t="s">
        <v>11</v>
      </c>
      <c r="I818">
        <v>2</v>
      </c>
    </row>
    <row r="819" spans="1:9" x14ac:dyDescent="0.2">
      <c r="A819" s="16" t="s">
        <v>887</v>
      </c>
      <c r="B819" s="16" t="s">
        <v>10</v>
      </c>
      <c r="C819" s="2">
        <v>46097.53261613426</v>
      </c>
      <c r="D819">
        <v>2</v>
      </c>
      <c r="F819" s="2">
        <v>46097.240949467596</v>
      </c>
      <c r="G819" s="3">
        <v>46097</v>
      </c>
      <c r="H819" t="s">
        <v>11</v>
      </c>
      <c r="I819">
        <v>5</v>
      </c>
    </row>
    <row r="820" spans="1:9" x14ac:dyDescent="0.2">
      <c r="A820" s="16" t="s">
        <v>888</v>
      </c>
      <c r="B820" s="16" t="s">
        <v>10</v>
      </c>
      <c r="C820" s="2">
        <v>46097.53750489583</v>
      </c>
      <c r="D820">
        <v>531</v>
      </c>
      <c r="E820" s="7" t="s">
        <v>31</v>
      </c>
      <c r="F820" s="2">
        <v>46097.245838229166</v>
      </c>
      <c r="G820" s="3">
        <v>46097</v>
      </c>
      <c r="H820" t="s">
        <v>11</v>
      </c>
      <c r="I820">
        <v>5</v>
      </c>
    </row>
    <row r="821" spans="1:9" x14ac:dyDescent="0.2">
      <c r="A821" s="16" t="s">
        <v>889</v>
      </c>
      <c r="B821" s="16" t="s">
        <v>10</v>
      </c>
      <c r="C821" s="2">
        <v>46097.539779803243</v>
      </c>
      <c r="D821">
        <v>2</v>
      </c>
      <c r="F821" s="2">
        <v>46097.248113136571</v>
      </c>
      <c r="G821" s="3">
        <v>46097</v>
      </c>
      <c r="H821" t="s">
        <v>11</v>
      </c>
      <c r="I821">
        <v>5</v>
      </c>
    </row>
    <row r="822" spans="1:9" x14ac:dyDescent="0.2">
      <c r="A822" s="16" t="s">
        <v>890</v>
      </c>
      <c r="B822" s="16" t="s">
        <v>10</v>
      </c>
      <c r="C822" s="2">
        <v>46097.583636770833</v>
      </c>
      <c r="D822">
        <v>575</v>
      </c>
      <c r="E822" s="7" t="s">
        <v>566</v>
      </c>
      <c r="F822" s="2">
        <v>46097.291970104168</v>
      </c>
      <c r="G822" s="3">
        <v>46097</v>
      </c>
      <c r="H822" t="s">
        <v>11</v>
      </c>
      <c r="I822">
        <v>7</v>
      </c>
    </row>
    <row r="823" spans="1:9" x14ac:dyDescent="0.2">
      <c r="A823" s="16" t="s">
        <v>891</v>
      </c>
      <c r="B823" s="16" t="s">
        <v>10</v>
      </c>
      <c r="C823" s="2">
        <v>46097.606625752313</v>
      </c>
      <c r="D823">
        <v>3</v>
      </c>
      <c r="E823" s="7" t="s">
        <v>31</v>
      </c>
      <c r="F823" s="2">
        <v>46097.314959085648</v>
      </c>
      <c r="G823" s="3">
        <v>46097</v>
      </c>
      <c r="H823" t="s">
        <v>11</v>
      </c>
      <c r="I823">
        <v>7</v>
      </c>
    </row>
    <row r="824" spans="1:9" x14ac:dyDescent="0.2">
      <c r="A824" s="16" t="s">
        <v>892</v>
      </c>
      <c r="B824" s="16" t="s">
        <v>10</v>
      </c>
      <c r="C824" s="2">
        <v>46097.632426261574</v>
      </c>
      <c r="D824">
        <v>575</v>
      </c>
      <c r="E824" s="7" t="s">
        <v>31</v>
      </c>
      <c r="F824" s="2">
        <v>46097.34075959491</v>
      </c>
      <c r="G824" s="3">
        <v>46097</v>
      </c>
      <c r="H824" t="s">
        <v>11</v>
      </c>
      <c r="I824">
        <v>8</v>
      </c>
    </row>
    <row r="825" spans="1:9" x14ac:dyDescent="0.2">
      <c r="A825" s="16" t="s">
        <v>893</v>
      </c>
      <c r="B825" s="16" t="s">
        <v>10</v>
      </c>
      <c r="C825" s="2">
        <v>46097.636272615739</v>
      </c>
      <c r="D825">
        <v>36</v>
      </c>
      <c r="F825" s="2">
        <v>46097.344605949074</v>
      </c>
      <c r="G825" s="3">
        <v>46097</v>
      </c>
      <c r="H825" t="s">
        <v>11</v>
      </c>
      <c r="I825">
        <v>8</v>
      </c>
    </row>
    <row r="826" spans="1:9" x14ac:dyDescent="0.2">
      <c r="A826" s="16" t="s">
        <v>905</v>
      </c>
      <c r="B826" s="16" t="s">
        <v>10</v>
      </c>
      <c r="C826" s="2">
        <v>46097.745389270836</v>
      </c>
      <c r="D826">
        <v>531</v>
      </c>
      <c r="E826" s="7" t="s">
        <v>323</v>
      </c>
      <c r="F826" s="2">
        <v>46097.453722604165</v>
      </c>
      <c r="G826" s="3">
        <v>46097</v>
      </c>
      <c r="H826" t="s">
        <v>11</v>
      </c>
      <c r="I826">
        <v>10</v>
      </c>
    </row>
    <row r="827" spans="1:9" x14ac:dyDescent="0.2">
      <c r="A827" s="16" t="s">
        <v>906</v>
      </c>
      <c r="B827" s="16" t="s">
        <v>10</v>
      </c>
      <c r="C827" s="2">
        <v>46097.748358877318</v>
      </c>
      <c r="D827">
        <v>3</v>
      </c>
      <c r="E827" s="7" t="s">
        <v>907</v>
      </c>
      <c r="F827" s="2">
        <v>46097.456692210646</v>
      </c>
      <c r="G827" s="3">
        <v>46097</v>
      </c>
      <c r="H827" t="s">
        <v>11</v>
      </c>
      <c r="I827">
        <v>10</v>
      </c>
    </row>
    <row r="828" spans="1:9" x14ac:dyDescent="0.2">
      <c r="A828" s="16" t="s">
        <v>908</v>
      </c>
      <c r="B828" s="16" t="s">
        <v>10</v>
      </c>
      <c r="C828" s="2">
        <v>46097.750052557873</v>
      </c>
      <c r="D828">
        <v>531</v>
      </c>
      <c r="E828" s="7" t="s">
        <v>323</v>
      </c>
      <c r="F828" s="2">
        <v>46097.458385891201</v>
      </c>
      <c r="G828" s="3">
        <v>46097</v>
      </c>
      <c r="H828" t="s">
        <v>11</v>
      </c>
      <c r="I828">
        <v>11</v>
      </c>
    </row>
    <row r="829" spans="1:9" x14ac:dyDescent="0.2">
      <c r="A829" s="16" t="s">
        <v>909</v>
      </c>
      <c r="B829" s="16" t="s">
        <v>10</v>
      </c>
      <c r="C829" s="2">
        <v>46097.756569930556</v>
      </c>
      <c r="D829">
        <v>3</v>
      </c>
      <c r="E829" s="7" t="s">
        <v>910</v>
      </c>
      <c r="F829" s="2">
        <v>46097.464903263892</v>
      </c>
      <c r="G829" s="3">
        <v>46097</v>
      </c>
      <c r="H829" t="s">
        <v>11</v>
      </c>
      <c r="I829">
        <v>11</v>
      </c>
    </row>
    <row r="830" spans="1:9" x14ac:dyDescent="0.2">
      <c r="A830" s="16" t="s">
        <v>911</v>
      </c>
      <c r="B830" s="16" t="s">
        <v>10</v>
      </c>
      <c r="C830" s="2">
        <v>46097.759957789349</v>
      </c>
      <c r="D830">
        <v>3</v>
      </c>
      <c r="E830" s="7" t="s">
        <v>874</v>
      </c>
      <c r="F830" s="2">
        <v>46097.468291122685</v>
      </c>
      <c r="G830" s="3">
        <v>46097</v>
      </c>
      <c r="H830" t="s">
        <v>11</v>
      </c>
      <c r="I830">
        <v>11</v>
      </c>
    </row>
    <row r="831" spans="1:9" x14ac:dyDescent="0.2">
      <c r="A831" s="16" t="s">
        <v>912</v>
      </c>
      <c r="B831" s="16" t="s">
        <v>10</v>
      </c>
      <c r="C831" s="2">
        <v>46097.761902349535</v>
      </c>
      <c r="D831">
        <v>3</v>
      </c>
      <c r="E831" s="7" t="s">
        <v>60</v>
      </c>
      <c r="F831" s="2">
        <v>46097.470235682871</v>
      </c>
      <c r="G831" s="3">
        <v>46097</v>
      </c>
      <c r="H831" t="s">
        <v>11</v>
      </c>
      <c r="I831">
        <v>11</v>
      </c>
    </row>
    <row r="832" spans="1:9" x14ac:dyDescent="0.2">
      <c r="A832" s="16" t="s">
        <v>913</v>
      </c>
      <c r="B832" s="16" t="s">
        <v>10</v>
      </c>
      <c r="C832" s="2">
        <v>46097.823546516207</v>
      </c>
      <c r="D832">
        <v>3</v>
      </c>
      <c r="F832" s="2">
        <v>46097.531879849535</v>
      </c>
      <c r="G832" s="3">
        <v>46097</v>
      </c>
      <c r="H832" t="s">
        <v>11</v>
      </c>
      <c r="I832">
        <v>12</v>
      </c>
    </row>
    <row r="833" spans="1:9" x14ac:dyDescent="0.2">
      <c r="A833" s="16" t="s">
        <v>914</v>
      </c>
      <c r="B833" s="16" t="s">
        <v>10</v>
      </c>
      <c r="C833" s="2">
        <v>46097.890278460647</v>
      </c>
      <c r="D833">
        <v>531</v>
      </c>
      <c r="F833" s="2">
        <v>46097.598611793983</v>
      </c>
      <c r="G833" s="3">
        <v>46097</v>
      </c>
      <c r="H833" t="s">
        <v>11</v>
      </c>
      <c r="I833">
        <v>14</v>
      </c>
    </row>
    <row r="834" spans="1:9" x14ac:dyDescent="0.2">
      <c r="A834" s="16" t="s">
        <v>915</v>
      </c>
      <c r="B834" s="16" t="s">
        <v>10</v>
      </c>
      <c r="C834" s="2">
        <v>46097.91176855324</v>
      </c>
      <c r="D834">
        <v>3</v>
      </c>
      <c r="F834" s="2">
        <v>46097.620101886576</v>
      </c>
      <c r="G834" s="3">
        <v>46097</v>
      </c>
      <c r="H834" t="s">
        <v>11</v>
      </c>
      <c r="I834">
        <v>14</v>
      </c>
    </row>
    <row r="835" spans="1:9" x14ac:dyDescent="0.2">
      <c r="A835" s="16" t="s">
        <v>916</v>
      </c>
      <c r="B835" s="16" t="s">
        <v>10</v>
      </c>
      <c r="C835" s="2">
        <v>46098.15349866898</v>
      </c>
      <c r="D835">
        <v>3</v>
      </c>
      <c r="F835" s="2">
        <v>46097.861832002316</v>
      </c>
      <c r="G835" s="3">
        <v>46097</v>
      </c>
      <c r="H835" t="s">
        <v>11</v>
      </c>
      <c r="I835">
        <v>20</v>
      </c>
    </row>
    <row r="836" spans="1:9" x14ac:dyDescent="0.2">
      <c r="A836" s="16" t="s">
        <v>917</v>
      </c>
      <c r="B836" s="16" t="s">
        <v>10</v>
      </c>
      <c r="C836" s="2">
        <v>46098.297801273147</v>
      </c>
      <c r="D836">
        <v>36</v>
      </c>
      <c r="F836" s="2">
        <v>46098.006134606483</v>
      </c>
      <c r="G836" s="3">
        <v>46098</v>
      </c>
      <c r="H836" t="s">
        <v>28</v>
      </c>
      <c r="I836">
        <v>0</v>
      </c>
    </row>
    <row r="837" spans="1:9" x14ac:dyDescent="0.2">
      <c r="A837" s="16" t="s">
        <v>918</v>
      </c>
      <c r="B837" s="16" t="s">
        <v>10</v>
      </c>
      <c r="C837" s="2">
        <v>46098.313846631943</v>
      </c>
      <c r="D837">
        <v>3</v>
      </c>
      <c r="F837" s="2">
        <v>46098.022179965279</v>
      </c>
      <c r="G837" s="3">
        <v>46098</v>
      </c>
      <c r="H837" t="s">
        <v>28</v>
      </c>
      <c r="I837">
        <v>0</v>
      </c>
    </row>
    <row r="838" spans="1:9" x14ac:dyDescent="0.2">
      <c r="A838" s="16" t="s">
        <v>919</v>
      </c>
      <c r="B838" s="16" t="s">
        <v>10</v>
      </c>
      <c r="C838" s="2">
        <v>46098.328436608797</v>
      </c>
      <c r="D838">
        <v>3</v>
      </c>
      <c r="E838" s="7" t="s">
        <v>920</v>
      </c>
      <c r="F838" s="2">
        <v>46098.036769942133</v>
      </c>
      <c r="G838" s="3">
        <v>46098</v>
      </c>
      <c r="H838" t="s">
        <v>28</v>
      </c>
      <c r="I838">
        <v>0</v>
      </c>
    </row>
    <row r="839" spans="1:9" x14ac:dyDescent="0.2">
      <c r="A839" s="16" t="s">
        <v>921</v>
      </c>
      <c r="B839" s="16" t="s">
        <v>10</v>
      </c>
      <c r="C839" s="2">
        <v>46098.33402829861</v>
      </c>
      <c r="D839">
        <v>3</v>
      </c>
      <c r="E839" s="7" t="s">
        <v>920</v>
      </c>
      <c r="F839" s="2">
        <v>46098.042361631946</v>
      </c>
      <c r="G839" s="3">
        <v>46098</v>
      </c>
      <c r="H839" t="s">
        <v>28</v>
      </c>
      <c r="I839">
        <v>1</v>
      </c>
    </row>
    <row r="840" spans="1:9" x14ac:dyDescent="0.2">
      <c r="A840" s="16" t="s">
        <v>922</v>
      </c>
      <c r="B840" s="16" t="s">
        <v>10</v>
      </c>
      <c r="C840" s="2">
        <v>46098.340068090278</v>
      </c>
      <c r="D840">
        <v>531</v>
      </c>
      <c r="E840" s="7" t="s">
        <v>34</v>
      </c>
      <c r="F840" s="2">
        <v>46098.048401423614</v>
      </c>
      <c r="G840" s="3">
        <v>46098</v>
      </c>
      <c r="H840" t="s">
        <v>28</v>
      </c>
      <c r="I840">
        <v>1</v>
      </c>
    </row>
    <row r="841" spans="1:9" x14ac:dyDescent="0.2">
      <c r="A841" s="16" t="s">
        <v>948</v>
      </c>
      <c r="B841" s="16" t="s">
        <v>10</v>
      </c>
      <c r="C841" s="2">
        <v>46098.340974328705</v>
      </c>
      <c r="D841">
        <v>36</v>
      </c>
      <c r="F841" s="2">
        <v>46098.049307662041</v>
      </c>
      <c r="G841" s="3">
        <v>46098</v>
      </c>
      <c r="H841" t="s">
        <v>28</v>
      </c>
      <c r="I841">
        <v>1</v>
      </c>
    </row>
    <row r="842" spans="1:9" x14ac:dyDescent="0.2">
      <c r="A842" s="16" t="s">
        <v>923</v>
      </c>
      <c r="B842" s="16" t="s">
        <v>10</v>
      </c>
      <c r="C842" s="2">
        <v>46098.353699733794</v>
      </c>
      <c r="D842">
        <v>531</v>
      </c>
      <c r="F842" s="2">
        <v>46098.06203306713</v>
      </c>
      <c r="G842" s="3">
        <v>46098</v>
      </c>
      <c r="H842" t="s">
        <v>28</v>
      </c>
      <c r="I842">
        <v>1</v>
      </c>
    </row>
    <row r="843" spans="1:9" x14ac:dyDescent="0.2">
      <c r="A843" s="16" t="s">
        <v>924</v>
      </c>
      <c r="B843" s="16" t="s">
        <v>10</v>
      </c>
      <c r="C843" s="2">
        <v>46098.361629236111</v>
      </c>
      <c r="D843">
        <v>36</v>
      </c>
      <c r="F843" s="2">
        <v>46098.069962569447</v>
      </c>
      <c r="G843" s="3">
        <v>46098</v>
      </c>
      <c r="H843" t="s">
        <v>28</v>
      </c>
      <c r="I843">
        <v>1</v>
      </c>
    </row>
    <row r="844" spans="1:9" x14ac:dyDescent="0.2">
      <c r="A844" s="16" t="s">
        <v>925</v>
      </c>
      <c r="B844" s="16" t="s">
        <v>10</v>
      </c>
      <c r="C844" s="2">
        <v>46098.36257020833</v>
      </c>
      <c r="D844">
        <v>36</v>
      </c>
      <c r="F844" s="2">
        <v>46098.070903541666</v>
      </c>
      <c r="G844" s="3">
        <v>46098</v>
      </c>
      <c r="H844" t="s">
        <v>28</v>
      </c>
      <c r="I844">
        <v>1</v>
      </c>
    </row>
    <row r="845" spans="1:9" x14ac:dyDescent="0.2">
      <c r="A845" s="16" t="s">
        <v>926</v>
      </c>
      <c r="B845" s="16" t="s">
        <v>10</v>
      </c>
      <c r="C845" s="2">
        <v>46098.365617870368</v>
      </c>
      <c r="D845">
        <v>3</v>
      </c>
      <c r="E845" s="7" t="s">
        <v>135</v>
      </c>
      <c r="F845" s="2">
        <v>46098.073951203703</v>
      </c>
      <c r="G845" s="3">
        <v>46098</v>
      </c>
      <c r="H845" t="s">
        <v>28</v>
      </c>
      <c r="I845">
        <v>1</v>
      </c>
    </row>
    <row r="846" spans="1:9" x14ac:dyDescent="0.2">
      <c r="A846" s="16" t="s">
        <v>927</v>
      </c>
      <c r="B846" s="16" t="s">
        <v>10</v>
      </c>
      <c r="C846" s="2">
        <v>46098.379372939817</v>
      </c>
      <c r="D846">
        <v>1</v>
      </c>
      <c r="E846" s="7" t="s">
        <v>135</v>
      </c>
      <c r="F846" s="2">
        <v>46098.087706273145</v>
      </c>
      <c r="G846" s="3">
        <v>46098</v>
      </c>
      <c r="H846" t="s">
        <v>28</v>
      </c>
      <c r="I846">
        <v>2</v>
      </c>
    </row>
    <row r="847" spans="1:9" x14ac:dyDescent="0.2">
      <c r="A847" s="16" t="s">
        <v>928</v>
      </c>
      <c r="B847" s="16" t="s">
        <v>10</v>
      </c>
      <c r="C847" s="2">
        <v>46098.406205613428</v>
      </c>
      <c r="D847">
        <v>575</v>
      </c>
      <c r="E847" s="7" t="s">
        <v>60</v>
      </c>
      <c r="F847" s="2">
        <v>46098.114538946757</v>
      </c>
      <c r="G847" s="3">
        <v>46098</v>
      </c>
      <c r="H847" t="s">
        <v>28</v>
      </c>
      <c r="I847">
        <v>2</v>
      </c>
    </row>
    <row r="848" spans="1:9" x14ac:dyDescent="0.2">
      <c r="A848" s="16" t="s">
        <v>929</v>
      </c>
      <c r="B848" s="16" t="s">
        <v>10</v>
      </c>
      <c r="C848" s="2">
        <v>46098.417980625003</v>
      </c>
      <c r="D848">
        <v>575</v>
      </c>
      <c r="E848" s="7" t="s">
        <v>60</v>
      </c>
      <c r="F848" s="2">
        <v>46098.126313958332</v>
      </c>
      <c r="G848" s="3">
        <v>46098</v>
      </c>
      <c r="H848" t="s">
        <v>28</v>
      </c>
      <c r="I848">
        <v>3</v>
      </c>
    </row>
    <row r="849" spans="1:9" x14ac:dyDescent="0.2">
      <c r="A849" s="16" t="s">
        <v>930</v>
      </c>
      <c r="B849" s="16" t="s">
        <v>10</v>
      </c>
      <c r="C849" s="2">
        <v>46098.418804791669</v>
      </c>
      <c r="D849">
        <v>36</v>
      </c>
      <c r="F849" s="2">
        <v>46098.127138124997</v>
      </c>
      <c r="G849" s="3">
        <v>46098</v>
      </c>
      <c r="H849" t="s">
        <v>28</v>
      </c>
      <c r="I849">
        <v>3</v>
      </c>
    </row>
    <row r="850" spans="1:9" x14ac:dyDescent="0.2">
      <c r="A850" s="16" t="s">
        <v>931</v>
      </c>
      <c r="B850" s="16" t="s">
        <v>10</v>
      </c>
      <c r="C850" s="2">
        <v>46098.464909641203</v>
      </c>
      <c r="D850">
        <v>3</v>
      </c>
      <c r="E850" s="7" t="s">
        <v>60</v>
      </c>
      <c r="F850" s="2">
        <v>46098.173242974539</v>
      </c>
      <c r="G850" s="3">
        <v>46098</v>
      </c>
      <c r="H850" t="s">
        <v>28</v>
      </c>
      <c r="I850">
        <v>4</v>
      </c>
    </row>
    <row r="851" spans="1:9" x14ac:dyDescent="0.2">
      <c r="A851" s="16" t="s">
        <v>932</v>
      </c>
      <c r="B851" s="16" t="s">
        <v>10</v>
      </c>
      <c r="C851" s="2">
        <v>46098.521751030094</v>
      </c>
      <c r="D851">
        <v>3</v>
      </c>
      <c r="E851" s="7" t="s">
        <v>60</v>
      </c>
      <c r="F851" s="2">
        <v>46098.230084363429</v>
      </c>
      <c r="G851" s="3">
        <v>46098</v>
      </c>
      <c r="H851" t="s">
        <v>28</v>
      </c>
      <c r="I851">
        <v>5</v>
      </c>
    </row>
    <row r="852" spans="1:9" x14ac:dyDescent="0.2">
      <c r="A852" s="16" t="s">
        <v>933</v>
      </c>
      <c r="B852" s="16" t="s">
        <v>10</v>
      </c>
      <c r="C852" s="2">
        <v>46098.522816990742</v>
      </c>
      <c r="D852">
        <v>3</v>
      </c>
      <c r="F852" s="2">
        <v>46098.231150324071</v>
      </c>
      <c r="G852" s="3">
        <v>46098</v>
      </c>
      <c r="H852" t="s">
        <v>28</v>
      </c>
      <c r="I852">
        <v>5</v>
      </c>
    </row>
    <row r="853" spans="1:9" x14ac:dyDescent="0.2">
      <c r="A853" s="16" t="s">
        <v>934</v>
      </c>
      <c r="B853" s="16" t="s">
        <v>10</v>
      </c>
      <c r="C853" s="2">
        <v>46098.539260752317</v>
      </c>
      <c r="D853">
        <v>36</v>
      </c>
      <c r="F853" s="2">
        <v>46098.247594085646</v>
      </c>
      <c r="G853" s="3">
        <v>46098</v>
      </c>
      <c r="H853" t="s">
        <v>28</v>
      </c>
      <c r="I853">
        <v>5</v>
      </c>
    </row>
    <row r="854" spans="1:9" x14ac:dyDescent="0.2">
      <c r="A854" s="16" t="s">
        <v>935</v>
      </c>
      <c r="B854" s="16" t="s">
        <v>10</v>
      </c>
      <c r="C854" s="2">
        <v>46098.545183761576</v>
      </c>
      <c r="D854">
        <v>531</v>
      </c>
      <c r="F854" s="2">
        <v>46098.253517094905</v>
      </c>
      <c r="G854" s="3">
        <v>46098</v>
      </c>
      <c r="H854" t="s">
        <v>28</v>
      </c>
      <c r="I854">
        <v>6</v>
      </c>
    </row>
    <row r="855" spans="1:9" x14ac:dyDescent="0.2">
      <c r="A855" s="16" t="s">
        <v>936</v>
      </c>
      <c r="B855" s="16" t="s">
        <v>10</v>
      </c>
      <c r="C855" s="2">
        <v>46098.545891539354</v>
      </c>
      <c r="D855">
        <v>36</v>
      </c>
      <c r="F855" s="2">
        <v>46098.254224872682</v>
      </c>
      <c r="G855" s="3">
        <v>46098</v>
      </c>
      <c r="H855" t="s">
        <v>28</v>
      </c>
      <c r="I855">
        <v>6</v>
      </c>
    </row>
    <row r="856" spans="1:9" x14ac:dyDescent="0.2">
      <c r="A856" s="16" t="s">
        <v>937</v>
      </c>
      <c r="B856" s="16" t="s">
        <v>10</v>
      </c>
      <c r="C856" s="2">
        <v>46098.557410324072</v>
      </c>
      <c r="D856">
        <v>1</v>
      </c>
      <c r="E856" s="7" t="s">
        <v>60</v>
      </c>
      <c r="F856" s="2">
        <v>46098.265743657408</v>
      </c>
      <c r="G856" s="3">
        <v>46098</v>
      </c>
      <c r="H856" t="s">
        <v>28</v>
      </c>
      <c r="I856">
        <v>6</v>
      </c>
    </row>
    <row r="857" spans="1:9" x14ac:dyDescent="0.2">
      <c r="A857" s="16" t="s">
        <v>938</v>
      </c>
      <c r="B857" s="16" t="s">
        <v>10</v>
      </c>
      <c r="C857" s="2">
        <v>46098.563423912034</v>
      </c>
      <c r="D857">
        <v>3</v>
      </c>
      <c r="E857" s="7" t="s">
        <v>939</v>
      </c>
      <c r="F857" s="2">
        <v>46098.271757245369</v>
      </c>
      <c r="G857" s="3">
        <v>46098</v>
      </c>
      <c r="H857" t="s">
        <v>28</v>
      </c>
      <c r="I857">
        <v>6</v>
      </c>
    </row>
    <row r="858" spans="1:9" x14ac:dyDescent="0.2">
      <c r="A858" s="16" t="s">
        <v>940</v>
      </c>
      <c r="B858" s="16" t="s">
        <v>10</v>
      </c>
      <c r="C858" s="2">
        <v>46098.565383749999</v>
      </c>
      <c r="D858">
        <v>531</v>
      </c>
      <c r="F858" s="2">
        <v>46098.273717083335</v>
      </c>
      <c r="G858" s="3">
        <v>46098</v>
      </c>
      <c r="H858" t="s">
        <v>28</v>
      </c>
      <c r="I858">
        <v>6</v>
      </c>
    </row>
    <row r="859" spans="1:9" x14ac:dyDescent="0.2">
      <c r="A859" s="16" t="s">
        <v>941</v>
      </c>
      <c r="B859" s="16" t="s">
        <v>10</v>
      </c>
      <c r="C859" s="2">
        <v>46098.615023761573</v>
      </c>
      <c r="D859">
        <v>36</v>
      </c>
      <c r="F859" s="2">
        <v>46098.323357094909</v>
      </c>
      <c r="G859" s="3">
        <v>46098</v>
      </c>
      <c r="H859" t="s">
        <v>28</v>
      </c>
      <c r="I859">
        <v>7</v>
      </c>
    </row>
    <row r="860" spans="1:9" x14ac:dyDescent="0.2">
      <c r="A860" s="16" t="s">
        <v>1066</v>
      </c>
      <c r="B860" s="16" t="s">
        <v>10</v>
      </c>
      <c r="C860" s="2">
        <v>46098.617683449076</v>
      </c>
      <c r="D860">
        <v>36</v>
      </c>
      <c r="F860" s="2">
        <v>46098.326016782405</v>
      </c>
      <c r="G860" s="3">
        <v>46098</v>
      </c>
      <c r="H860" t="s">
        <v>28</v>
      </c>
      <c r="I860">
        <v>7</v>
      </c>
    </row>
    <row r="861" spans="1:9" x14ac:dyDescent="0.2">
      <c r="A861" s="16" t="s">
        <v>942</v>
      </c>
      <c r="B861" s="16" t="s">
        <v>10</v>
      </c>
      <c r="C861" s="2">
        <v>46098.643212511575</v>
      </c>
      <c r="D861">
        <v>36</v>
      </c>
      <c r="F861" s="2">
        <v>46098.351545844911</v>
      </c>
      <c r="G861" s="3">
        <v>46098</v>
      </c>
      <c r="H861" t="s">
        <v>28</v>
      </c>
      <c r="I861">
        <v>8</v>
      </c>
    </row>
    <row r="862" spans="1:9" x14ac:dyDescent="0.2">
      <c r="A862" s="16" t="s">
        <v>949</v>
      </c>
      <c r="B862" s="16" t="s">
        <v>10</v>
      </c>
      <c r="C862" s="2">
        <v>46098.732984108799</v>
      </c>
      <c r="D862">
        <v>531</v>
      </c>
      <c r="F862" s="2">
        <v>46098.441317442128</v>
      </c>
      <c r="G862" s="3">
        <v>46098</v>
      </c>
      <c r="H862" t="s">
        <v>28</v>
      </c>
      <c r="I862">
        <v>10</v>
      </c>
    </row>
    <row r="863" spans="1:9" x14ac:dyDescent="0.2">
      <c r="A863" s="16" t="s">
        <v>950</v>
      </c>
      <c r="B863" s="16" t="s">
        <v>10</v>
      </c>
      <c r="C863" s="2">
        <v>46098.757254722223</v>
      </c>
      <c r="D863">
        <v>531</v>
      </c>
      <c r="F863" s="2">
        <v>46098.465588055558</v>
      </c>
      <c r="G863" s="3">
        <v>46098</v>
      </c>
      <c r="H863" t="s">
        <v>28</v>
      </c>
      <c r="I863">
        <v>11</v>
      </c>
    </row>
    <row r="864" spans="1:9" x14ac:dyDescent="0.2">
      <c r="A864" s="16" t="s">
        <v>951</v>
      </c>
      <c r="B864" s="16" t="s">
        <v>10</v>
      </c>
      <c r="C864" s="2">
        <v>46098.870169780093</v>
      </c>
      <c r="D864">
        <v>531</v>
      </c>
      <c r="F864" s="2">
        <v>46098.578503113429</v>
      </c>
      <c r="G864" s="3">
        <v>46098</v>
      </c>
      <c r="H864" t="s">
        <v>28</v>
      </c>
      <c r="I864">
        <v>13</v>
      </c>
    </row>
    <row r="865" spans="1:9" x14ac:dyDescent="0.2">
      <c r="A865" s="16" t="s">
        <v>952</v>
      </c>
      <c r="B865" s="16" t="s">
        <v>10</v>
      </c>
      <c r="C865" s="2">
        <v>46099.342139907407</v>
      </c>
      <c r="D865">
        <v>531</v>
      </c>
      <c r="F865" s="2">
        <v>46099.050473240743</v>
      </c>
      <c r="G865" s="3">
        <v>46099</v>
      </c>
      <c r="H865" t="s">
        <v>63</v>
      </c>
      <c r="I865">
        <v>1</v>
      </c>
    </row>
    <row r="866" spans="1:9" x14ac:dyDescent="0.2">
      <c r="A866" s="16" t="s">
        <v>953</v>
      </c>
      <c r="B866" s="16" t="s">
        <v>10</v>
      </c>
      <c r="C866" s="2">
        <v>46099.370275451387</v>
      </c>
      <c r="D866">
        <v>36</v>
      </c>
      <c r="F866" s="2">
        <v>46099.078608784723</v>
      </c>
      <c r="G866" s="3">
        <v>46099</v>
      </c>
      <c r="H866" t="s">
        <v>63</v>
      </c>
      <c r="I866">
        <v>1</v>
      </c>
    </row>
    <row r="867" spans="1:9" x14ac:dyDescent="0.2">
      <c r="A867" s="16" t="s">
        <v>1161</v>
      </c>
      <c r="B867" s="16" t="s">
        <v>10</v>
      </c>
      <c r="C867" s="2">
        <v>46099.371168564816</v>
      </c>
      <c r="D867">
        <v>531</v>
      </c>
      <c r="F867" s="2">
        <v>46099.079501898152</v>
      </c>
      <c r="G867" s="3">
        <v>46099</v>
      </c>
      <c r="H867" t="s">
        <v>63</v>
      </c>
      <c r="I867">
        <v>1</v>
      </c>
    </row>
    <row r="868" spans="1:9" x14ac:dyDescent="0.2">
      <c r="A868" s="16" t="s">
        <v>954</v>
      </c>
      <c r="B868" s="16" t="s">
        <v>10</v>
      </c>
      <c r="C868" s="2">
        <v>46099.377515567132</v>
      </c>
      <c r="D868">
        <v>36</v>
      </c>
      <c r="F868" s="2">
        <v>46099.08584890046</v>
      </c>
      <c r="G868" s="3">
        <v>46099</v>
      </c>
      <c r="H868" t="s">
        <v>63</v>
      </c>
      <c r="I868">
        <v>2</v>
      </c>
    </row>
    <row r="869" spans="1:9" x14ac:dyDescent="0.2">
      <c r="A869" s="16" t="s">
        <v>955</v>
      </c>
      <c r="B869" s="16" t="s">
        <v>10</v>
      </c>
      <c r="C869" s="2">
        <v>46099.380611516201</v>
      </c>
      <c r="D869">
        <v>528</v>
      </c>
      <c r="F869" s="2">
        <v>46099.088944849536</v>
      </c>
      <c r="G869" s="3">
        <v>46099</v>
      </c>
      <c r="H869" t="s">
        <v>63</v>
      </c>
      <c r="I869">
        <v>2</v>
      </c>
    </row>
    <row r="870" spans="1:9" x14ac:dyDescent="0.2">
      <c r="A870" s="16" t="s">
        <v>956</v>
      </c>
      <c r="B870" s="16" t="s">
        <v>10</v>
      </c>
      <c r="C870" s="2">
        <v>46099.421552824075</v>
      </c>
      <c r="D870">
        <v>36</v>
      </c>
      <c r="F870" s="2">
        <v>46099.129886157411</v>
      </c>
      <c r="G870" s="3">
        <v>46099</v>
      </c>
      <c r="H870" t="s">
        <v>63</v>
      </c>
      <c r="I870">
        <v>3</v>
      </c>
    </row>
    <row r="871" spans="1:9" x14ac:dyDescent="0.2">
      <c r="A871" s="16" t="s">
        <v>957</v>
      </c>
      <c r="B871" s="16" t="s">
        <v>10</v>
      </c>
      <c r="C871" s="2">
        <v>46099.461995891201</v>
      </c>
      <c r="D871">
        <v>36</v>
      </c>
      <c r="F871" s="2">
        <v>46099.170329224537</v>
      </c>
      <c r="G871" s="3">
        <v>46099</v>
      </c>
      <c r="H871" t="s">
        <v>63</v>
      </c>
      <c r="I871">
        <v>4</v>
      </c>
    </row>
    <row r="872" spans="1:9" x14ac:dyDescent="0.2">
      <c r="A872" s="16" t="s">
        <v>958</v>
      </c>
      <c r="B872" s="16" t="s">
        <v>10</v>
      </c>
      <c r="C872" s="2">
        <v>46099.465419004628</v>
      </c>
      <c r="D872">
        <v>531</v>
      </c>
      <c r="F872" s="2">
        <v>46099.173752337963</v>
      </c>
      <c r="G872" s="3">
        <v>46099</v>
      </c>
      <c r="H872" t="s">
        <v>63</v>
      </c>
      <c r="I872">
        <v>4</v>
      </c>
    </row>
    <row r="873" spans="1:9" x14ac:dyDescent="0.2">
      <c r="A873" s="16" t="s">
        <v>959</v>
      </c>
      <c r="B873" s="16" t="s">
        <v>10</v>
      </c>
      <c r="C873" s="2">
        <v>46099.483695451388</v>
      </c>
      <c r="D873">
        <v>3</v>
      </c>
      <c r="E873" s="7" t="s">
        <v>34</v>
      </c>
      <c r="F873" s="2">
        <v>46099.192028784724</v>
      </c>
      <c r="G873" s="3">
        <v>46099</v>
      </c>
      <c r="H873" t="s">
        <v>63</v>
      </c>
      <c r="I873">
        <v>4</v>
      </c>
    </row>
    <row r="874" spans="1:9" x14ac:dyDescent="0.2">
      <c r="A874" s="16" t="s">
        <v>960</v>
      </c>
      <c r="B874" s="16" t="s">
        <v>10</v>
      </c>
      <c r="C874" s="2">
        <v>46099.485804085649</v>
      </c>
      <c r="D874">
        <v>531</v>
      </c>
      <c r="F874" s="2">
        <v>46099.194137418985</v>
      </c>
      <c r="G874" s="3">
        <v>46099</v>
      </c>
      <c r="H874" t="s">
        <v>63</v>
      </c>
      <c r="I874">
        <v>4</v>
      </c>
    </row>
    <row r="875" spans="1:9" x14ac:dyDescent="0.2">
      <c r="A875" s="16" t="s">
        <v>961</v>
      </c>
      <c r="B875" s="16" t="s">
        <v>10</v>
      </c>
      <c r="C875" s="2">
        <v>46099.485866423609</v>
      </c>
      <c r="D875">
        <v>3</v>
      </c>
      <c r="F875" s="2">
        <v>46099.194199756945</v>
      </c>
      <c r="G875" s="3">
        <v>46099</v>
      </c>
      <c r="H875" t="s">
        <v>63</v>
      </c>
      <c r="I875">
        <v>4</v>
      </c>
    </row>
    <row r="876" spans="1:9" x14ac:dyDescent="0.2">
      <c r="A876" s="16" t="s">
        <v>1067</v>
      </c>
      <c r="B876" s="16" t="s">
        <v>10</v>
      </c>
      <c r="C876" s="2">
        <v>46099.521189513885</v>
      </c>
      <c r="D876">
        <v>36</v>
      </c>
      <c r="F876" s="2">
        <v>46099.229522847221</v>
      </c>
      <c r="G876" s="3">
        <v>46099</v>
      </c>
      <c r="H876" t="s">
        <v>63</v>
      </c>
      <c r="I876">
        <v>5</v>
      </c>
    </row>
    <row r="877" spans="1:9" x14ac:dyDescent="0.2">
      <c r="A877" s="16" t="s">
        <v>962</v>
      </c>
      <c r="B877" s="16" t="s">
        <v>10</v>
      </c>
      <c r="C877" s="2">
        <v>46099.531475173608</v>
      </c>
      <c r="D877">
        <v>36</v>
      </c>
      <c r="F877" s="2">
        <v>46099.239808506944</v>
      </c>
      <c r="G877" s="3">
        <v>46099</v>
      </c>
      <c r="H877" t="s">
        <v>63</v>
      </c>
      <c r="I877">
        <v>5</v>
      </c>
    </row>
    <row r="878" spans="1:9" x14ac:dyDescent="0.2">
      <c r="A878" s="16" t="s">
        <v>963</v>
      </c>
      <c r="B878" s="16" t="s">
        <v>10</v>
      </c>
      <c r="C878" s="2">
        <v>46099.546119421298</v>
      </c>
      <c r="D878">
        <v>36</v>
      </c>
      <c r="F878" s="2">
        <v>46099.254452754627</v>
      </c>
      <c r="G878" s="3">
        <v>46099</v>
      </c>
      <c r="H878" t="s">
        <v>63</v>
      </c>
      <c r="I878">
        <v>6</v>
      </c>
    </row>
    <row r="879" spans="1:9" x14ac:dyDescent="0.2">
      <c r="A879" s="16" t="s">
        <v>964</v>
      </c>
      <c r="B879" s="16" t="s">
        <v>10</v>
      </c>
      <c r="C879" s="2">
        <v>46099.550748275462</v>
      </c>
      <c r="D879">
        <v>531</v>
      </c>
      <c r="E879" s="7" t="s">
        <v>34</v>
      </c>
      <c r="F879" s="2">
        <v>46099.259081608798</v>
      </c>
      <c r="G879" s="3">
        <v>46099</v>
      </c>
      <c r="H879" t="s">
        <v>63</v>
      </c>
      <c r="I879">
        <v>6</v>
      </c>
    </row>
    <row r="880" spans="1:9" x14ac:dyDescent="0.2">
      <c r="A880" s="16" t="s">
        <v>965</v>
      </c>
      <c r="B880" s="16" t="s">
        <v>10</v>
      </c>
      <c r="C880" s="2">
        <v>46099.593370960647</v>
      </c>
      <c r="D880">
        <v>36</v>
      </c>
      <c r="F880" s="2">
        <v>46099.301704293983</v>
      </c>
      <c r="G880" s="3">
        <v>46099</v>
      </c>
      <c r="H880" t="s">
        <v>63</v>
      </c>
      <c r="I880">
        <v>7</v>
      </c>
    </row>
    <row r="881" spans="1:9" x14ac:dyDescent="0.2">
      <c r="A881" s="16" t="s">
        <v>966</v>
      </c>
      <c r="B881" s="16" t="s">
        <v>10</v>
      </c>
      <c r="C881" s="2">
        <v>46099.614786064813</v>
      </c>
      <c r="D881">
        <v>531</v>
      </c>
      <c r="E881" s="7" t="s">
        <v>89</v>
      </c>
      <c r="F881" s="2">
        <v>46099.323119398148</v>
      </c>
      <c r="G881" s="3">
        <v>46099</v>
      </c>
      <c r="H881" t="s">
        <v>63</v>
      </c>
      <c r="I881">
        <v>7</v>
      </c>
    </row>
    <row r="882" spans="1:9" x14ac:dyDescent="0.2">
      <c r="A882" s="16" t="s">
        <v>967</v>
      </c>
      <c r="B882" s="16" t="s">
        <v>10</v>
      </c>
      <c r="C882" s="2">
        <v>46099.619564062501</v>
      </c>
      <c r="D882">
        <v>3</v>
      </c>
      <c r="E882" s="7" t="s">
        <v>968</v>
      </c>
      <c r="F882" s="2">
        <v>46099.327897395837</v>
      </c>
      <c r="G882" s="3">
        <v>46099</v>
      </c>
      <c r="H882" t="s">
        <v>63</v>
      </c>
      <c r="I882">
        <v>7</v>
      </c>
    </row>
    <row r="883" spans="1:9" x14ac:dyDescent="0.2">
      <c r="A883" s="16" t="s">
        <v>969</v>
      </c>
      <c r="B883" s="16" t="s">
        <v>10</v>
      </c>
      <c r="C883" s="2">
        <v>46099.628836875003</v>
      </c>
      <c r="D883">
        <v>531</v>
      </c>
      <c r="E883" s="7" t="s">
        <v>89</v>
      </c>
      <c r="F883" s="2">
        <v>46099.337170208331</v>
      </c>
      <c r="G883" s="3">
        <v>46099</v>
      </c>
      <c r="H883" t="s">
        <v>63</v>
      </c>
      <c r="I883">
        <v>8</v>
      </c>
    </row>
    <row r="884" spans="1:9" x14ac:dyDescent="0.2">
      <c r="A884" s="16" t="s">
        <v>970</v>
      </c>
      <c r="B884" s="16" t="s">
        <v>10</v>
      </c>
      <c r="C884" s="2">
        <v>46099.662813645831</v>
      </c>
      <c r="D884">
        <v>36</v>
      </c>
      <c r="F884" s="2">
        <v>46099.371146979167</v>
      </c>
      <c r="G884" s="3">
        <v>46099</v>
      </c>
      <c r="H884" t="s">
        <v>63</v>
      </c>
      <c r="I884">
        <v>8</v>
      </c>
    </row>
    <row r="885" spans="1:9" x14ac:dyDescent="0.2">
      <c r="A885" s="16" t="s">
        <v>971</v>
      </c>
      <c r="B885" s="16" t="s">
        <v>10</v>
      </c>
      <c r="C885" s="2">
        <v>46099.66756415509</v>
      </c>
      <c r="D885">
        <v>531</v>
      </c>
      <c r="E885" s="7" t="s">
        <v>89</v>
      </c>
      <c r="F885" s="2">
        <v>46099.375897488426</v>
      </c>
      <c r="G885" s="3">
        <v>46099</v>
      </c>
      <c r="H885" t="s">
        <v>63</v>
      </c>
      <c r="I885">
        <v>9</v>
      </c>
    </row>
    <row r="886" spans="1:9" x14ac:dyDescent="0.2">
      <c r="A886" s="16" t="s">
        <v>972</v>
      </c>
      <c r="B886" s="16" t="s">
        <v>10</v>
      </c>
      <c r="C886" s="2">
        <v>46099.669511701388</v>
      </c>
      <c r="D886">
        <v>3</v>
      </c>
      <c r="E886" s="7" t="s">
        <v>973</v>
      </c>
      <c r="F886" s="2">
        <v>46099.377845034724</v>
      </c>
      <c r="G886" s="3">
        <v>46099</v>
      </c>
      <c r="H886" t="s">
        <v>63</v>
      </c>
      <c r="I886">
        <v>9</v>
      </c>
    </row>
    <row r="887" spans="1:9" x14ac:dyDescent="0.2">
      <c r="A887" s="16" t="s">
        <v>974</v>
      </c>
      <c r="B887" s="16" t="s">
        <v>10</v>
      </c>
      <c r="C887" s="2">
        <v>46099.669878819448</v>
      </c>
      <c r="D887">
        <v>3</v>
      </c>
      <c r="F887" s="2">
        <v>46099.378212152777</v>
      </c>
      <c r="G887" s="3">
        <v>46099</v>
      </c>
      <c r="H887" t="s">
        <v>63</v>
      </c>
      <c r="I887">
        <v>9</v>
      </c>
    </row>
    <row r="888" spans="1:9" x14ac:dyDescent="0.2">
      <c r="A888" s="16" t="s">
        <v>975</v>
      </c>
      <c r="B888" s="16" t="s">
        <v>10</v>
      </c>
      <c r="C888" s="2">
        <v>46099.675421087966</v>
      </c>
      <c r="D888">
        <v>531</v>
      </c>
      <c r="E888" s="7" t="s">
        <v>31</v>
      </c>
      <c r="F888" s="2">
        <v>46099.383754421295</v>
      </c>
      <c r="G888" s="3">
        <v>46099</v>
      </c>
      <c r="H888" t="s">
        <v>63</v>
      </c>
      <c r="I888">
        <v>9</v>
      </c>
    </row>
    <row r="889" spans="1:9" x14ac:dyDescent="0.2">
      <c r="A889" s="16" t="s">
        <v>976</v>
      </c>
      <c r="B889" s="16" t="s">
        <v>10</v>
      </c>
      <c r="C889" s="2">
        <v>46099.682044861111</v>
      </c>
      <c r="D889">
        <v>531</v>
      </c>
      <c r="F889" s="2">
        <v>46099.390378194446</v>
      </c>
      <c r="G889" s="3">
        <v>46099</v>
      </c>
      <c r="H889" t="s">
        <v>63</v>
      </c>
      <c r="I889">
        <v>9</v>
      </c>
    </row>
    <row r="890" spans="1:9" x14ac:dyDescent="0.2">
      <c r="A890" s="16" t="s">
        <v>979</v>
      </c>
      <c r="B890" s="16" t="s">
        <v>10</v>
      </c>
      <c r="C890" s="2">
        <v>46099.708610416666</v>
      </c>
      <c r="D890">
        <v>531</v>
      </c>
      <c r="F890" s="2">
        <v>46099.416943750002</v>
      </c>
      <c r="G890" s="3">
        <v>46099</v>
      </c>
      <c r="H890" t="s">
        <v>63</v>
      </c>
      <c r="I890">
        <v>10</v>
      </c>
    </row>
    <row r="891" spans="1:9" x14ac:dyDescent="0.2">
      <c r="A891" s="16" t="s">
        <v>980</v>
      </c>
      <c r="B891" s="16" t="s">
        <v>10</v>
      </c>
      <c r="C891" s="2">
        <v>46099.719778854167</v>
      </c>
      <c r="D891">
        <v>531</v>
      </c>
      <c r="E891" s="7" t="s">
        <v>34</v>
      </c>
      <c r="F891" s="2">
        <v>46099.428112187503</v>
      </c>
      <c r="G891" s="3">
        <v>46099</v>
      </c>
      <c r="H891" t="s">
        <v>63</v>
      </c>
      <c r="I891">
        <v>10</v>
      </c>
    </row>
    <row r="892" spans="1:9" x14ac:dyDescent="0.2">
      <c r="A892" s="16" t="s">
        <v>981</v>
      </c>
      <c r="B892" s="16" t="s">
        <v>10</v>
      </c>
      <c r="C892" s="2">
        <v>46099.778229930555</v>
      </c>
      <c r="D892">
        <v>3</v>
      </c>
      <c r="E892" s="7" t="s">
        <v>874</v>
      </c>
      <c r="F892" s="2">
        <v>46099.48656326389</v>
      </c>
      <c r="G892" s="3">
        <v>46099</v>
      </c>
      <c r="H892" t="s">
        <v>63</v>
      </c>
      <c r="I892">
        <v>11</v>
      </c>
    </row>
    <row r="893" spans="1:9" x14ac:dyDescent="0.2">
      <c r="A893" s="16" t="s">
        <v>982</v>
      </c>
      <c r="B893" s="16" t="s">
        <v>10</v>
      </c>
      <c r="C893" s="2">
        <v>46099.805905972222</v>
      </c>
      <c r="D893">
        <v>35</v>
      </c>
      <c r="F893" s="2">
        <v>46099.514239305558</v>
      </c>
      <c r="G893" s="3">
        <v>46099</v>
      </c>
      <c r="H893" t="s">
        <v>63</v>
      </c>
      <c r="I893">
        <v>12</v>
      </c>
    </row>
    <row r="894" spans="1:9" x14ac:dyDescent="0.2">
      <c r="A894" s="16" t="s">
        <v>983</v>
      </c>
      <c r="B894" s="16" t="s">
        <v>10</v>
      </c>
      <c r="C894" s="2">
        <v>46099.844146469906</v>
      </c>
      <c r="D894">
        <v>531</v>
      </c>
      <c r="F894" s="2">
        <v>46099.552479803242</v>
      </c>
      <c r="G894" s="3">
        <v>46099</v>
      </c>
      <c r="H894" t="s">
        <v>63</v>
      </c>
      <c r="I894">
        <v>13</v>
      </c>
    </row>
    <row r="895" spans="1:9" x14ac:dyDescent="0.2">
      <c r="A895" s="16" t="s">
        <v>984</v>
      </c>
      <c r="B895" s="16" t="s">
        <v>10</v>
      </c>
      <c r="C895" s="2">
        <v>46099.876581076387</v>
      </c>
      <c r="D895">
        <v>531</v>
      </c>
      <c r="F895" s="2">
        <v>46099.584914409723</v>
      </c>
      <c r="G895" s="3">
        <v>46099</v>
      </c>
      <c r="H895" t="s">
        <v>63</v>
      </c>
      <c r="I895">
        <v>14</v>
      </c>
    </row>
    <row r="896" spans="1:9" x14ac:dyDescent="0.2">
      <c r="A896" s="16" t="s">
        <v>1277</v>
      </c>
      <c r="B896" s="16" t="s">
        <v>10</v>
      </c>
      <c r="C896" s="2">
        <v>46099.909361655089</v>
      </c>
      <c r="D896">
        <v>531</v>
      </c>
      <c r="F896" s="2">
        <v>46099.617694988425</v>
      </c>
      <c r="G896" s="3">
        <v>46099</v>
      </c>
      <c r="H896" t="s">
        <v>63</v>
      </c>
      <c r="I896">
        <v>14</v>
      </c>
    </row>
    <row r="897" spans="1:9" x14ac:dyDescent="0.2">
      <c r="A897" s="16" t="s">
        <v>985</v>
      </c>
      <c r="B897" s="16" t="s">
        <v>10</v>
      </c>
      <c r="C897" s="2">
        <v>46099.931100671296</v>
      </c>
      <c r="D897">
        <v>531</v>
      </c>
      <c r="F897" s="2">
        <v>46099.639434004632</v>
      </c>
      <c r="G897" s="3">
        <v>46099</v>
      </c>
      <c r="H897" t="s">
        <v>63</v>
      </c>
      <c r="I897">
        <v>15</v>
      </c>
    </row>
    <row r="898" spans="1:9" x14ac:dyDescent="0.2">
      <c r="A898" s="16" t="s">
        <v>1068</v>
      </c>
      <c r="B898" s="16" t="s">
        <v>10</v>
      </c>
      <c r="C898" s="2">
        <v>46099.944902696756</v>
      </c>
      <c r="D898">
        <v>803</v>
      </c>
      <c r="F898" s="2">
        <v>46099.653236030092</v>
      </c>
      <c r="G898" s="3">
        <v>46099</v>
      </c>
      <c r="H898" t="s">
        <v>63</v>
      </c>
      <c r="I898">
        <v>15</v>
      </c>
    </row>
    <row r="899" spans="1:9" x14ac:dyDescent="0.2">
      <c r="A899" s="16" t="s">
        <v>986</v>
      </c>
      <c r="B899" s="16" t="s">
        <v>10</v>
      </c>
      <c r="C899" s="2">
        <v>46099.947146932871</v>
      </c>
      <c r="D899">
        <v>572</v>
      </c>
      <c r="F899" s="2">
        <v>46099.655480266207</v>
      </c>
      <c r="G899" s="3">
        <v>46099</v>
      </c>
      <c r="H899" t="s">
        <v>63</v>
      </c>
      <c r="I899">
        <v>15</v>
      </c>
    </row>
    <row r="900" spans="1:9" x14ac:dyDescent="0.2">
      <c r="A900" s="16" t="s">
        <v>987</v>
      </c>
      <c r="B900" s="16" t="s">
        <v>10</v>
      </c>
      <c r="C900" s="2">
        <v>46099.953923125002</v>
      </c>
      <c r="D900">
        <v>531</v>
      </c>
      <c r="F900" s="2">
        <v>46099.66225645833</v>
      </c>
      <c r="G900" s="3">
        <v>46099</v>
      </c>
      <c r="H900" t="s">
        <v>63</v>
      </c>
      <c r="I900">
        <v>15</v>
      </c>
    </row>
    <row r="901" spans="1:9" x14ac:dyDescent="0.2">
      <c r="A901" s="16" t="s">
        <v>988</v>
      </c>
      <c r="B901" s="16" t="s">
        <v>10</v>
      </c>
      <c r="C901" s="2">
        <v>46099.98883800926</v>
      </c>
      <c r="D901">
        <v>3</v>
      </c>
      <c r="F901" s="2">
        <v>46099.697171342596</v>
      </c>
      <c r="G901" s="3">
        <v>46099</v>
      </c>
      <c r="H901" t="s">
        <v>63</v>
      </c>
      <c r="I901">
        <v>16</v>
      </c>
    </row>
    <row r="902" spans="1:9" x14ac:dyDescent="0.2">
      <c r="A902" s="16" t="s">
        <v>989</v>
      </c>
      <c r="B902" s="16" t="s">
        <v>10</v>
      </c>
      <c r="C902" s="2">
        <v>46099.992093969908</v>
      </c>
      <c r="D902">
        <v>531</v>
      </c>
      <c r="E902" s="7" t="s">
        <v>990</v>
      </c>
      <c r="F902" s="2">
        <v>46099.700427303243</v>
      </c>
      <c r="G902" s="3">
        <v>46099</v>
      </c>
      <c r="H902" t="s">
        <v>63</v>
      </c>
      <c r="I902">
        <v>16</v>
      </c>
    </row>
    <row r="903" spans="1:9" x14ac:dyDescent="0.2">
      <c r="A903" s="16" t="s">
        <v>991</v>
      </c>
      <c r="B903" s="16" t="s">
        <v>10</v>
      </c>
      <c r="C903" s="2">
        <v>46099.993530451386</v>
      </c>
      <c r="D903">
        <v>3</v>
      </c>
      <c r="F903" s="2">
        <v>46099.701863784721</v>
      </c>
      <c r="G903" s="3">
        <v>46099</v>
      </c>
      <c r="H903" t="s">
        <v>63</v>
      </c>
      <c r="I903">
        <v>16</v>
      </c>
    </row>
    <row r="904" spans="1:9" x14ac:dyDescent="0.2">
      <c r="A904" s="16" t="s">
        <v>992</v>
      </c>
      <c r="B904" s="16" t="s">
        <v>10</v>
      </c>
      <c r="C904" s="2">
        <v>46100.007201574073</v>
      </c>
      <c r="D904">
        <v>528</v>
      </c>
      <c r="F904" s="2">
        <v>46099.715534907409</v>
      </c>
      <c r="G904" s="3">
        <v>46099</v>
      </c>
      <c r="H904" t="s">
        <v>63</v>
      </c>
      <c r="I904">
        <v>17</v>
      </c>
    </row>
    <row r="905" spans="1:9" x14ac:dyDescent="0.2">
      <c r="A905" s="16" t="s">
        <v>993</v>
      </c>
      <c r="B905" s="16" t="s">
        <v>10</v>
      </c>
      <c r="C905" s="2">
        <v>46100.331551041665</v>
      </c>
      <c r="D905">
        <v>2</v>
      </c>
      <c r="F905" s="2">
        <v>46100.039884375001</v>
      </c>
      <c r="G905" s="3">
        <v>46100</v>
      </c>
      <c r="H905" t="s">
        <v>95</v>
      </c>
      <c r="I905">
        <v>0</v>
      </c>
    </row>
    <row r="906" spans="1:9" x14ac:dyDescent="0.2">
      <c r="A906" s="16" t="s">
        <v>994</v>
      </c>
      <c r="B906" s="16" t="s">
        <v>10</v>
      </c>
      <c r="C906" s="2">
        <v>46100.364774293979</v>
      </c>
      <c r="D906">
        <v>36</v>
      </c>
      <c r="F906" s="2">
        <v>46100.073107627315</v>
      </c>
      <c r="G906" s="3">
        <v>46100</v>
      </c>
      <c r="H906" t="s">
        <v>95</v>
      </c>
      <c r="I906">
        <v>1</v>
      </c>
    </row>
    <row r="907" spans="1:9" x14ac:dyDescent="0.2">
      <c r="A907" s="16" t="s">
        <v>995</v>
      </c>
      <c r="B907" s="16" t="s">
        <v>10</v>
      </c>
      <c r="C907" s="2">
        <v>46100.381678101854</v>
      </c>
      <c r="D907">
        <v>2</v>
      </c>
      <c r="F907" s="2">
        <v>46100.090011435183</v>
      </c>
      <c r="G907" s="3">
        <v>46100</v>
      </c>
      <c r="H907" t="s">
        <v>95</v>
      </c>
      <c r="I907">
        <v>2</v>
      </c>
    </row>
    <row r="908" spans="1:9" x14ac:dyDescent="0.2">
      <c r="A908" s="16" t="s">
        <v>996</v>
      </c>
      <c r="B908" s="16" t="s">
        <v>10</v>
      </c>
      <c r="C908" s="2">
        <v>46100.381711273149</v>
      </c>
      <c r="D908">
        <v>3</v>
      </c>
      <c r="F908" s="2">
        <v>46100.090044606484</v>
      </c>
      <c r="G908" s="3">
        <v>46100</v>
      </c>
      <c r="H908" t="s">
        <v>95</v>
      </c>
      <c r="I908">
        <v>2</v>
      </c>
    </row>
    <row r="909" spans="1:9" x14ac:dyDescent="0.2">
      <c r="A909" s="16" t="s">
        <v>997</v>
      </c>
      <c r="B909" s="16" t="s">
        <v>10</v>
      </c>
      <c r="C909" s="2">
        <v>46100.427127581017</v>
      </c>
      <c r="D909">
        <v>3</v>
      </c>
      <c r="F909" s="2">
        <v>46100.135460914353</v>
      </c>
      <c r="G909" s="3">
        <v>46100</v>
      </c>
      <c r="H909" t="s">
        <v>95</v>
      </c>
      <c r="I909">
        <v>3</v>
      </c>
    </row>
    <row r="910" spans="1:9" x14ac:dyDescent="0.2">
      <c r="A910" s="16" t="s">
        <v>1342</v>
      </c>
      <c r="B910" s="16" t="s">
        <v>10</v>
      </c>
      <c r="C910" s="2">
        <v>46100.432854525461</v>
      </c>
      <c r="D910">
        <v>3</v>
      </c>
      <c r="F910" s="2">
        <v>46100.141187858797</v>
      </c>
      <c r="G910" s="3">
        <v>46100</v>
      </c>
      <c r="H910" t="s">
        <v>95</v>
      </c>
      <c r="I910">
        <v>3</v>
      </c>
    </row>
    <row r="911" spans="1:9" x14ac:dyDescent="0.2">
      <c r="A911" s="16" t="s">
        <v>1318</v>
      </c>
      <c r="B911" s="16" t="s">
        <v>10</v>
      </c>
      <c r="C911" s="2">
        <v>46100.437603576385</v>
      </c>
      <c r="D911">
        <v>531</v>
      </c>
      <c r="F911" s="2">
        <v>46100.145936909721</v>
      </c>
      <c r="G911" s="3">
        <v>46100</v>
      </c>
      <c r="H911" t="s">
        <v>95</v>
      </c>
      <c r="I911">
        <v>3</v>
      </c>
    </row>
    <row r="912" spans="1:9" x14ac:dyDescent="0.2">
      <c r="A912" s="16" t="s">
        <v>998</v>
      </c>
      <c r="B912" s="16" t="s">
        <v>10</v>
      </c>
      <c r="C912" s="2">
        <v>46100.443124687503</v>
      </c>
      <c r="D912">
        <v>3</v>
      </c>
      <c r="F912" s="2">
        <v>46100.151458020831</v>
      </c>
      <c r="G912" s="3">
        <v>46100</v>
      </c>
      <c r="H912" t="s">
        <v>95</v>
      </c>
      <c r="I912">
        <v>3</v>
      </c>
    </row>
    <row r="913" spans="1:9" x14ac:dyDescent="0.2">
      <c r="A913" s="16" t="s">
        <v>999</v>
      </c>
      <c r="B913" s="16" t="s">
        <v>10</v>
      </c>
      <c r="C913" s="2">
        <v>46100.443240509259</v>
      </c>
      <c r="D913">
        <v>3</v>
      </c>
      <c r="E913" s="7" t="s">
        <v>1000</v>
      </c>
      <c r="F913" s="2">
        <v>46100.151573842595</v>
      </c>
      <c r="G913" s="3">
        <v>46100</v>
      </c>
      <c r="H913" t="s">
        <v>95</v>
      </c>
      <c r="I913">
        <v>3</v>
      </c>
    </row>
    <row r="914" spans="1:9" x14ac:dyDescent="0.2">
      <c r="A914" s="16" t="s">
        <v>1001</v>
      </c>
      <c r="B914" s="16" t="s">
        <v>10</v>
      </c>
      <c r="C914" s="2">
        <v>46100.458030393522</v>
      </c>
      <c r="D914">
        <v>3</v>
      </c>
      <c r="F914" s="2">
        <v>46100.16636372685</v>
      </c>
      <c r="G914" s="3">
        <v>46100</v>
      </c>
      <c r="H914" t="s">
        <v>95</v>
      </c>
      <c r="I914">
        <v>3</v>
      </c>
    </row>
    <row r="915" spans="1:9" x14ac:dyDescent="0.2">
      <c r="A915" s="16" t="s">
        <v>1002</v>
      </c>
      <c r="B915" s="16" t="s">
        <v>10</v>
      </c>
      <c r="C915" s="2">
        <v>46100.458336435186</v>
      </c>
      <c r="D915">
        <v>528</v>
      </c>
      <c r="F915" s="2">
        <v>46100.166669768521</v>
      </c>
      <c r="G915" s="3">
        <v>46100</v>
      </c>
      <c r="H915" t="s">
        <v>95</v>
      </c>
      <c r="I915">
        <v>4</v>
      </c>
    </row>
    <row r="916" spans="1:9" x14ac:dyDescent="0.2">
      <c r="A916" s="16" t="s">
        <v>1003</v>
      </c>
      <c r="B916" s="16" t="s">
        <v>10</v>
      </c>
      <c r="C916" s="2">
        <v>46100.482553020833</v>
      </c>
      <c r="D916">
        <v>35</v>
      </c>
      <c r="F916" s="2">
        <v>46100.190886354168</v>
      </c>
      <c r="G916" s="3">
        <v>46100</v>
      </c>
      <c r="H916" t="s">
        <v>95</v>
      </c>
      <c r="I916">
        <v>4</v>
      </c>
    </row>
    <row r="917" spans="1:9" x14ac:dyDescent="0.2">
      <c r="A917" s="16" t="s">
        <v>1004</v>
      </c>
      <c r="B917" s="16" t="s">
        <v>10</v>
      </c>
      <c r="C917" s="2">
        <v>46100.489663229164</v>
      </c>
      <c r="D917">
        <v>3</v>
      </c>
      <c r="F917" s="2">
        <v>46100.1979965625</v>
      </c>
      <c r="G917" s="3">
        <v>46100</v>
      </c>
      <c r="H917" t="s">
        <v>95</v>
      </c>
      <c r="I917">
        <v>4</v>
      </c>
    </row>
    <row r="918" spans="1:9" x14ac:dyDescent="0.2">
      <c r="A918" s="16" t="s">
        <v>1005</v>
      </c>
      <c r="B918" s="16" t="s">
        <v>10</v>
      </c>
      <c r="C918" s="2">
        <v>46100.495742291663</v>
      </c>
      <c r="D918">
        <v>3</v>
      </c>
      <c r="E918" s="7" t="s">
        <v>305</v>
      </c>
      <c r="F918" s="2">
        <v>46100.204075624999</v>
      </c>
      <c r="G918" s="3">
        <v>46100</v>
      </c>
      <c r="H918" t="s">
        <v>95</v>
      </c>
      <c r="I918">
        <v>4</v>
      </c>
    </row>
    <row r="919" spans="1:9" x14ac:dyDescent="0.2">
      <c r="A919" s="16" t="s">
        <v>1006</v>
      </c>
      <c r="B919" s="16" t="s">
        <v>10</v>
      </c>
      <c r="C919" s="2">
        <v>46100.515921469909</v>
      </c>
      <c r="D919">
        <v>36</v>
      </c>
      <c r="F919" s="2">
        <v>46100.224254803237</v>
      </c>
      <c r="G919" s="3">
        <v>46100</v>
      </c>
      <c r="H919" t="s">
        <v>95</v>
      </c>
      <c r="I919">
        <v>5</v>
      </c>
    </row>
    <row r="920" spans="1:9" x14ac:dyDescent="0.2">
      <c r="A920" s="16" t="s">
        <v>1007</v>
      </c>
      <c r="B920" s="16" t="s">
        <v>10</v>
      </c>
      <c r="C920" s="2">
        <v>46100.584859282404</v>
      </c>
      <c r="D920">
        <v>575</v>
      </c>
      <c r="E920" s="7" t="s">
        <v>582</v>
      </c>
      <c r="F920" s="2">
        <v>46100.29319261574</v>
      </c>
      <c r="G920" s="3">
        <v>46100</v>
      </c>
      <c r="H920" t="s">
        <v>95</v>
      </c>
      <c r="I920">
        <v>7</v>
      </c>
    </row>
    <row r="921" spans="1:9" x14ac:dyDescent="0.2">
      <c r="A921" s="16" t="s">
        <v>1008</v>
      </c>
      <c r="B921" s="16" t="s">
        <v>10</v>
      </c>
      <c r="C921" s="2">
        <v>46100.603020949071</v>
      </c>
      <c r="D921">
        <v>531</v>
      </c>
      <c r="F921" s="2">
        <v>46100.311354282407</v>
      </c>
      <c r="G921" s="3">
        <v>46100</v>
      </c>
      <c r="H921" t="s">
        <v>95</v>
      </c>
      <c r="I921">
        <v>7</v>
      </c>
    </row>
    <row r="922" spans="1:9" x14ac:dyDescent="0.2">
      <c r="A922" s="16" t="s">
        <v>1009</v>
      </c>
      <c r="B922" s="16" t="s">
        <v>10</v>
      </c>
      <c r="C922" s="2">
        <v>46100.627767349535</v>
      </c>
      <c r="D922">
        <v>575</v>
      </c>
      <c r="E922" s="7" t="s">
        <v>582</v>
      </c>
      <c r="F922" s="2">
        <v>46100.336100682871</v>
      </c>
      <c r="G922" s="3">
        <v>46100</v>
      </c>
      <c r="H922" t="s">
        <v>95</v>
      </c>
      <c r="I922">
        <v>8</v>
      </c>
    </row>
    <row r="923" spans="1:9" x14ac:dyDescent="0.2">
      <c r="A923" s="16" t="s">
        <v>1010</v>
      </c>
      <c r="B923" s="16" t="s">
        <v>10</v>
      </c>
      <c r="C923" s="2">
        <v>46100.638518981483</v>
      </c>
      <c r="D923">
        <v>531</v>
      </c>
      <c r="E923" s="7" t="s">
        <v>89</v>
      </c>
      <c r="F923" s="2">
        <v>46100.346852314811</v>
      </c>
      <c r="G923" s="3">
        <v>46100</v>
      </c>
      <c r="H923" t="s">
        <v>95</v>
      </c>
      <c r="I923">
        <v>8</v>
      </c>
    </row>
    <row r="924" spans="1:9" x14ac:dyDescent="0.2">
      <c r="A924" s="16" t="s">
        <v>1011</v>
      </c>
      <c r="B924" s="16" t="s">
        <v>10</v>
      </c>
      <c r="C924" s="2">
        <v>46100.647757974541</v>
      </c>
      <c r="D924">
        <v>531</v>
      </c>
      <c r="F924" s="2">
        <v>46100.356091307869</v>
      </c>
      <c r="G924" s="3">
        <v>46100</v>
      </c>
      <c r="H924" t="s">
        <v>95</v>
      </c>
      <c r="I924">
        <v>8</v>
      </c>
    </row>
    <row r="925" spans="1:9" x14ac:dyDescent="0.2">
      <c r="A925" s="16" t="s">
        <v>1069</v>
      </c>
      <c r="B925" s="16" t="s">
        <v>10</v>
      </c>
      <c r="C925" s="2">
        <v>46100.747928506942</v>
      </c>
      <c r="D925">
        <v>575</v>
      </c>
      <c r="F925" s="2">
        <v>46100.456261840278</v>
      </c>
      <c r="G925" s="3">
        <v>46100</v>
      </c>
      <c r="H925" t="s">
        <v>95</v>
      </c>
      <c r="I925">
        <v>10</v>
      </c>
    </row>
    <row r="926" spans="1:9" x14ac:dyDescent="0.2">
      <c r="A926" s="16" t="s">
        <v>1070</v>
      </c>
      <c r="B926" s="16" t="s">
        <v>10</v>
      </c>
      <c r="C926" s="2">
        <v>46100.918403900461</v>
      </c>
      <c r="D926">
        <v>3</v>
      </c>
      <c r="E926" s="7" t="s">
        <v>1071</v>
      </c>
      <c r="F926" s="2">
        <v>46100.626737233797</v>
      </c>
      <c r="G926" s="3">
        <v>46100</v>
      </c>
      <c r="H926" t="s">
        <v>95</v>
      </c>
      <c r="I926">
        <v>15</v>
      </c>
    </row>
    <row r="927" spans="1:9" x14ac:dyDescent="0.2">
      <c r="A927" s="16" t="s">
        <v>1072</v>
      </c>
      <c r="B927" s="16" t="s">
        <v>10</v>
      </c>
      <c r="C927" s="2">
        <v>46100.918741527777</v>
      </c>
      <c r="D927">
        <v>2</v>
      </c>
      <c r="E927" s="7" t="s">
        <v>1073</v>
      </c>
      <c r="F927" s="2">
        <v>46100.627074861113</v>
      </c>
      <c r="G927" s="3">
        <v>46100</v>
      </c>
      <c r="H927" t="s">
        <v>95</v>
      </c>
      <c r="I927">
        <v>15</v>
      </c>
    </row>
    <row r="928" spans="1:9" x14ac:dyDescent="0.2">
      <c r="A928" s="16" t="s">
        <v>1074</v>
      </c>
      <c r="B928" s="16" t="s">
        <v>10</v>
      </c>
      <c r="C928" s="2">
        <v>46100.919930717595</v>
      </c>
      <c r="D928">
        <v>3</v>
      </c>
      <c r="F928" s="2">
        <v>46100.628264050923</v>
      </c>
      <c r="G928" s="3">
        <v>46100</v>
      </c>
      <c r="H928" t="s">
        <v>95</v>
      </c>
      <c r="I928">
        <v>15</v>
      </c>
    </row>
    <row r="929" spans="1:9" x14ac:dyDescent="0.2">
      <c r="A929" s="16" t="s">
        <v>1075</v>
      </c>
      <c r="B929" s="16" t="s">
        <v>10</v>
      </c>
      <c r="C929" s="2">
        <v>46101.178652071758</v>
      </c>
      <c r="D929">
        <v>531</v>
      </c>
      <c r="E929" s="7" t="s">
        <v>89</v>
      </c>
      <c r="F929" s="2">
        <v>46100.886985405094</v>
      </c>
      <c r="G929" s="3">
        <v>46100</v>
      </c>
      <c r="H929" t="s">
        <v>95</v>
      </c>
      <c r="I929">
        <v>21</v>
      </c>
    </row>
    <row r="930" spans="1:9" x14ac:dyDescent="0.2">
      <c r="A930" s="16" t="s">
        <v>1076</v>
      </c>
      <c r="B930" s="16" t="s">
        <v>10</v>
      </c>
      <c r="C930" s="2">
        <v>46101.294058078704</v>
      </c>
      <c r="D930">
        <v>3</v>
      </c>
      <c r="F930" s="2">
        <v>46101.002391412039</v>
      </c>
      <c r="G930" s="3">
        <v>46101</v>
      </c>
      <c r="H930" t="s">
        <v>115</v>
      </c>
      <c r="I930">
        <v>0</v>
      </c>
    </row>
    <row r="931" spans="1:9" x14ac:dyDescent="0.2">
      <c r="A931" s="16" t="s">
        <v>1077</v>
      </c>
      <c r="B931" s="16" t="s">
        <v>10</v>
      </c>
      <c r="C931" s="2">
        <v>46101.341216898145</v>
      </c>
      <c r="D931">
        <v>531</v>
      </c>
      <c r="F931" s="2">
        <v>46101.049550231481</v>
      </c>
      <c r="G931" s="3">
        <v>46101</v>
      </c>
      <c r="H931" t="s">
        <v>115</v>
      </c>
      <c r="I931">
        <v>1</v>
      </c>
    </row>
    <row r="932" spans="1:9" x14ac:dyDescent="0.2">
      <c r="A932" s="16" t="s">
        <v>1078</v>
      </c>
      <c r="B932" s="16" t="s">
        <v>10</v>
      </c>
      <c r="C932" s="2">
        <v>46101.588491400464</v>
      </c>
      <c r="D932">
        <v>531</v>
      </c>
      <c r="F932" s="2">
        <v>46101.296824733799</v>
      </c>
      <c r="G932" s="3">
        <v>46101</v>
      </c>
      <c r="H932" t="s">
        <v>115</v>
      </c>
      <c r="I932">
        <v>7</v>
      </c>
    </row>
    <row r="933" spans="1:9" x14ac:dyDescent="0.2">
      <c r="A933" s="16" t="s">
        <v>1079</v>
      </c>
      <c r="B933" s="16" t="s">
        <v>10</v>
      </c>
      <c r="C933" s="2">
        <v>46101.686879699075</v>
      </c>
      <c r="D933">
        <v>531</v>
      </c>
      <c r="E933" s="7" t="s">
        <v>31</v>
      </c>
      <c r="F933" s="2">
        <v>46101.395213032411</v>
      </c>
      <c r="G933" s="3">
        <v>46101</v>
      </c>
      <c r="H933" t="s">
        <v>115</v>
      </c>
      <c r="I933">
        <v>9</v>
      </c>
    </row>
    <row r="934" spans="1:9" x14ac:dyDescent="0.2">
      <c r="A934" s="16" t="s">
        <v>1083</v>
      </c>
      <c r="B934" s="16" t="s">
        <v>10</v>
      </c>
      <c r="C934" s="2">
        <v>46101.80687886574</v>
      </c>
      <c r="D934">
        <v>531</v>
      </c>
      <c r="F934" s="2">
        <v>46101.515212199076</v>
      </c>
      <c r="G934" s="3">
        <v>46101</v>
      </c>
      <c r="H934" t="s">
        <v>115</v>
      </c>
      <c r="I934">
        <v>12</v>
      </c>
    </row>
    <row r="935" spans="1:9" x14ac:dyDescent="0.2">
      <c r="A935" s="16" t="s">
        <v>1084</v>
      </c>
      <c r="B935" s="16" t="s">
        <v>10</v>
      </c>
      <c r="C935" s="2">
        <v>46101.807240740738</v>
      </c>
      <c r="D935">
        <v>3</v>
      </c>
      <c r="F935" s="2">
        <v>46101.515574074074</v>
      </c>
      <c r="G935" s="3">
        <v>46101</v>
      </c>
      <c r="H935" t="s">
        <v>115</v>
      </c>
      <c r="I935">
        <v>12</v>
      </c>
    </row>
    <row r="936" spans="1:9" x14ac:dyDescent="0.2">
      <c r="A936" s="16" t="s">
        <v>1085</v>
      </c>
      <c r="B936" s="16" t="s">
        <v>10</v>
      </c>
      <c r="C936" s="2">
        <v>46101.809812719905</v>
      </c>
      <c r="D936">
        <v>3</v>
      </c>
      <c r="E936" s="7" t="s">
        <v>1086</v>
      </c>
      <c r="F936" s="2">
        <v>46101.51814605324</v>
      </c>
      <c r="G936" s="3">
        <v>46101</v>
      </c>
      <c r="H936" t="s">
        <v>115</v>
      </c>
      <c r="I936">
        <v>12</v>
      </c>
    </row>
    <row r="937" spans="1:9" x14ac:dyDescent="0.2">
      <c r="A937" s="16" t="s">
        <v>1087</v>
      </c>
      <c r="B937" s="16" t="s">
        <v>10</v>
      </c>
      <c r="C937" s="2">
        <v>46101.809968819442</v>
      </c>
      <c r="D937">
        <v>3</v>
      </c>
      <c r="E937" s="7" t="s">
        <v>1088</v>
      </c>
      <c r="F937" s="2">
        <v>46101.518302152777</v>
      </c>
      <c r="G937" s="3">
        <v>46101</v>
      </c>
      <c r="H937" t="s">
        <v>115</v>
      </c>
      <c r="I937">
        <v>12</v>
      </c>
    </row>
    <row r="938" spans="1:9" x14ac:dyDescent="0.2">
      <c r="A938" s="16" t="s">
        <v>1089</v>
      </c>
      <c r="B938" s="16" t="s">
        <v>10</v>
      </c>
      <c r="C938" s="2">
        <v>46101.820779027781</v>
      </c>
      <c r="D938">
        <v>575</v>
      </c>
      <c r="F938" s="2">
        <v>46101.52911236111</v>
      </c>
      <c r="G938" s="3">
        <v>46101</v>
      </c>
      <c r="H938" t="s">
        <v>115</v>
      </c>
      <c r="I938">
        <v>12</v>
      </c>
    </row>
    <row r="939" spans="1:9" x14ac:dyDescent="0.2">
      <c r="A939" s="16" t="s">
        <v>1090</v>
      </c>
      <c r="B939" s="16" t="s">
        <v>10</v>
      </c>
      <c r="C939" s="2">
        <v>46101.824775740744</v>
      </c>
      <c r="D939">
        <v>531</v>
      </c>
      <c r="F939" s="2">
        <v>46101.533109074073</v>
      </c>
      <c r="G939" s="3">
        <v>46101</v>
      </c>
      <c r="H939" t="s">
        <v>115</v>
      </c>
      <c r="I939">
        <v>12</v>
      </c>
    </row>
    <row r="940" spans="1:9" x14ac:dyDescent="0.2">
      <c r="A940" s="16" t="s">
        <v>1091</v>
      </c>
      <c r="B940" s="16" t="s">
        <v>10</v>
      </c>
      <c r="C940" s="2">
        <v>46101.828788321756</v>
      </c>
      <c r="D940">
        <v>3</v>
      </c>
      <c r="E940" s="7" t="s">
        <v>60</v>
      </c>
      <c r="F940" s="2">
        <v>46101.537121655092</v>
      </c>
      <c r="G940" s="3">
        <v>46101</v>
      </c>
      <c r="H940" t="s">
        <v>115</v>
      </c>
      <c r="I940">
        <v>12</v>
      </c>
    </row>
    <row r="941" spans="1:9" x14ac:dyDescent="0.2">
      <c r="A941" s="16" t="s">
        <v>1092</v>
      </c>
      <c r="B941" s="16" t="s">
        <v>10</v>
      </c>
      <c r="C941" s="2">
        <v>46101.83601392361</v>
      </c>
      <c r="D941">
        <v>575</v>
      </c>
      <c r="F941" s="2">
        <v>46101.544347256946</v>
      </c>
      <c r="G941" s="3">
        <v>46101</v>
      </c>
      <c r="H941" t="s">
        <v>115</v>
      </c>
      <c r="I941">
        <v>13</v>
      </c>
    </row>
    <row r="942" spans="1:9" x14ac:dyDescent="0.2">
      <c r="A942" s="16" t="s">
        <v>1093</v>
      </c>
      <c r="B942" s="16" t="s">
        <v>10</v>
      </c>
      <c r="C942" s="2">
        <v>46101.836357731481</v>
      </c>
      <c r="D942">
        <v>3</v>
      </c>
      <c r="F942" s="2">
        <v>46101.544691064817</v>
      </c>
      <c r="G942" s="3">
        <v>46101</v>
      </c>
      <c r="H942" t="s">
        <v>115</v>
      </c>
      <c r="I942">
        <v>13</v>
      </c>
    </row>
    <row r="943" spans="1:9" x14ac:dyDescent="0.2">
      <c r="A943" s="16" t="s">
        <v>1162</v>
      </c>
      <c r="B943" s="16" t="s">
        <v>10</v>
      </c>
      <c r="C943" s="2">
        <v>46101.838353159721</v>
      </c>
      <c r="D943">
        <v>3</v>
      </c>
      <c r="F943" s="2">
        <v>46101.546686493057</v>
      </c>
      <c r="G943" s="3">
        <v>46101</v>
      </c>
      <c r="H943" t="s">
        <v>115</v>
      </c>
      <c r="I943">
        <v>13</v>
      </c>
    </row>
    <row r="944" spans="1:9" x14ac:dyDescent="0.2">
      <c r="A944" s="16" t="s">
        <v>1094</v>
      </c>
      <c r="B944" s="16" t="s">
        <v>10</v>
      </c>
      <c r="C944" s="2">
        <v>46101.841866921299</v>
      </c>
      <c r="D944">
        <v>3</v>
      </c>
      <c r="E944" s="7" t="s">
        <v>60</v>
      </c>
      <c r="F944" s="2">
        <v>46101.550200254627</v>
      </c>
      <c r="G944" s="3">
        <v>46101</v>
      </c>
      <c r="H944" t="s">
        <v>115</v>
      </c>
      <c r="I944">
        <v>13</v>
      </c>
    </row>
    <row r="945" spans="1:9" x14ac:dyDescent="0.2">
      <c r="A945" s="16" t="s">
        <v>1095</v>
      </c>
      <c r="B945" s="16" t="s">
        <v>10</v>
      </c>
      <c r="C945" s="2">
        <v>46101.843052256947</v>
      </c>
      <c r="D945">
        <v>3</v>
      </c>
      <c r="E945" s="7" t="s">
        <v>1088</v>
      </c>
      <c r="F945" s="2">
        <v>46101.551385590275</v>
      </c>
      <c r="G945" s="3">
        <v>46101</v>
      </c>
      <c r="H945" t="s">
        <v>115</v>
      </c>
      <c r="I945">
        <v>13</v>
      </c>
    </row>
    <row r="946" spans="1:9" x14ac:dyDescent="0.2">
      <c r="A946" s="16" t="s">
        <v>1163</v>
      </c>
      <c r="B946" s="16" t="s">
        <v>10</v>
      </c>
      <c r="C946" s="2">
        <v>46101.847754351853</v>
      </c>
      <c r="D946">
        <v>575</v>
      </c>
      <c r="F946" s="2">
        <v>46101.556087685189</v>
      </c>
      <c r="G946" s="3">
        <v>46101</v>
      </c>
      <c r="H946" t="s">
        <v>115</v>
      </c>
      <c r="I946">
        <v>13</v>
      </c>
    </row>
    <row r="947" spans="1:9" x14ac:dyDescent="0.2">
      <c r="A947" s="16" t="s">
        <v>1096</v>
      </c>
      <c r="B947" s="16" t="s">
        <v>10</v>
      </c>
      <c r="C947" s="2">
        <v>46101.851800949073</v>
      </c>
      <c r="D947">
        <v>3</v>
      </c>
      <c r="E947" s="7" t="s">
        <v>1097</v>
      </c>
      <c r="F947" s="2">
        <v>46101.560134282408</v>
      </c>
      <c r="G947" s="3">
        <v>46101</v>
      </c>
      <c r="H947" t="s">
        <v>115</v>
      </c>
      <c r="I947">
        <v>13</v>
      </c>
    </row>
    <row r="948" spans="1:9" x14ac:dyDescent="0.2">
      <c r="A948" s="16" t="s">
        <v>1098</v>
      </c>
      <c r="B948" s="16" t="s">
        <v>10</v>
      </c>
      <c r="C948" s="2">
        <v>46101.852310497685</v>
      </c>
      <c r="D948">
        <v>531</v>
      </c>
      <c r="E948" s="7" t="s">
        <v>1099</v>
      </c>
      <c r="F948" s="2">
        <v>46101.560643831021</v>
      </c>
      <c r="G948" s="3">
        <v>46101</v>
      </c>
      <c r="H948" t="s">
        <v>115</v>
      </c>
      <c r="I948">
        <v>13</v>
      </c>
    </row>
    <row r="949" spans="1:9" x14ac:dyDescent="0.2">
      <c r="A949" s="16" t="s">
        <v>1100</v>
      </c>
      <c r="B949" s="16" t="s">
        <v>10</v>
      </c>
      <c r="C949" s="2">
        <v>46101.855866030091</v>
      </c>
      <c r="D949">
        <v>1</v>
      </c>
      <c r="E949" s="7" t="s">
        <v>1101</v>
      </c>
      <c r="F949" s="2">
        <v>46101.564199363427</v>
      </c>
      <c r="G949" s="3">
        <v>46101</v>
      </c>
      <c r="H949" t="s">
        <v>115</v>
      </c>
      <c r="I949">
        <v>13</v>
      </c>
    </row>
    <row r="950" spans="1:9" x14ac:dyDescent="0.2">
      <c r="A950" s="16" t="s">
        <v>1102</v>
      </c>
      <c r="B950" s="16" t="s">
        <v>10</v>
      </c>
      <c r="C950" s="2">
        <v>46101.863919120369</v>
      </c>
      <c r="D950">
        <v>3</v>
      </c>
      <c r="E950" s="7" t="s">
        <v>1101</v>
      </c>
      <c r="F950" s="2">
        <v>46101.572252453705</v>
      </c>
      <c r="G950" s="3">
        <v>46101</v>
      </c>
      <c r="H950" t="s">
        <v>115</v>
      </c>
      <c r="I950">
        <v>13</v>
      </c>
    </row>
    <row r="951" spans="1:9" x14ac:dyDescent="0.2">
      <c r="A951" s="16" t="s">
        <v>1103</v>
      </c>
      <c r="B951" s="16" t="s">
        <v>10</v>
      </c>
      <c r="C951" s="2">
        <v>46101.871945312501</v>
      </c>
      <c r="D951">
        <v>3</v>
      </c>
      <c r="F951" s="2">
        <v>46101.58027864583</v>
      </c>
      <c r="G951" s="3">
        <v>46101</v>
      </c>
      <c r="H951" t="s">
        <v>115</v>
      </c>
      <c r="I951">
        <v>13</v>
      </c>
    </row>
    <row r="952" spans="1:9" x14ac:dyDescent="0.2">
      <c r="A952" s="16" t="s">
        <v>1104</v>
      </c>
      <c r="B952" s="16" t="s">
        <v>10</v>
      </c>
      <c r="C952" s="2">
        <v>46101.87673802083</v>
      </c>
      <c r="D952">
        <v>531</v>
      </c>
      <c r="F952" s="2">
        <v>46101.585071354166</v>
      </c>
      <c r="G952" s="3">
        <v>46101</v>
      </c>
      <c r="H952" t="s">
        <v>115</v>
      </c>
      <c r="I952">
        <v>14</v>
      </c>
    </row>
    <row r="953" spans="1:9" x14ac:dyDescent="0.2">
      <c r="A953" s="16" t="s">
        <v>1105</v>
      </c>
      <c r="B953" s="16" t="s">
        <v>10</v>
      </c>
      <c r="C953" s="2">
        <v>46101.88313008102</v>
      </c>
      <c r="D953">
        <v>575</v>
      </c>
      <c r="F953" s="2">
        <v>46101.591463414348</v>
      </c>
      <c r="G953" s="3">
        <v>46101</v>
      </c>
      <c r="H953" t="s">
        <v>115</v>
      </c>
      <c r="I953">
        <v>14</v>
      </c>
    </row>
    <row r="954" spans="1:9" x14ac:dyDescent="0.2">
      <c r="A954" s="16" t="s">
        <v>1106</v>
      </c>
      <c r="B954" s="16" t="s">
        <v>10</v>
      </c>
      <c r="C954" s="2">
        <v>46101.888586527777</v>
      </c>
      <c r="D954">
        <v>575</v>
      </c>
      <c r="F954" s="2">
        <v>46101.596919861113</v>
      </c>
      <c r="G954" s="3">
        <v>46101</v>
      </c>
      <c r="H954" t="s">
        <v>115</v>
      </c>
      <c r="I954">
        <v>14</v>
      </c>
    </row>
    <row r="955" spans="1:9" x14ac:dyDescent="0.2">
      <c r="A955" s="16" t="s">
        <v>1266</v>
      </c>
      <c r="B955" s="16" t="s">
        <v>10</v>
      </c>
      <c r="C955" s="2">
        <v>46101.91428996528</v>
      </c>
      <c r="D955">
        <v>3</v>
      </c>
      <c r="F955" s="2">
        <v>46101.622623298608</v>
      </c>
      <c r="G955" s="3">
        <v>46101</v>
      </c>
      <c r="H955" t="s">
        <v>115</v>
      </c>
      <c r="I955">
        <v>14</v>
      </c>
    </row>
    <row r="956" spans="1:9" x14ac:dyDescent="0.2">
      <c r="A956" s="16" t="s">
        <v>1107</v>
      </c>
      <c r="B956" s="16" t="s">
        <v>10</v>
      </c>
      <c r="C956" s="2">
        <v>46101.915155671297</v>
      </c>
      <c r="D956">
        <v>531</v>
      </c>
      <c r="F956" s="2">
        <v>46101.623489004633</v>
      </c>
      <c r="G956" s="3">
        <v>46101</v>
      </c>
      <c r="H956" t="s">
        <v>115</v>
      </c>
      <c r="I956">
        <v>14</v>
      </c>
    </row>
    <row r="957" spans="1:9" x14ac:dyDescent="0.2">
      <c r="A957" s="16" t="s">
        <v>1108</v>
      </c>
      <c r="B957" s="16" t="s">
        <v>10</v>
      </c>
      <c r="C957" s="2">
        <v>46101.917070254633</v>
      </c>
      <c r="D957">
        <v>531</v>
      </c>
      <c r="F957" s="2">
        <v>46101.625403587961</v>
      </c>
      <c r="G957" s="3">
        <v>46101</v>
      </c>
      <c r="H957" t="s">
        <v>115</v>
      </c>
      <c r="I957">
        <v>15</v>
      </c>
    </row>
    <row r="958" spans="1:9" x14ac:dyDescent="0.2">
      <c r="A958" s="16" t="s">
        <v>1109</v>
      </c>
      <c r="B958" s="16" t="s">
        <v>10</v>
      </c>
      <c r="C958" s="2">
        <v>46101.922453564817</v>
      </c>
      <c r="D958">
        <v>3</v>
      </c>
      <c r="F958" s="2">
        <v>46101.630786898146</v>
      </c>
      <c r="G958" s="3">
        <v>46101</v>
      </c>
      <c r="H958" t="s">
        <v>115</v>
      </c>
      <c r="I958">
        <v>15</v>
      </c>
    </row>
    <row r="959" spans="1:9" x14ac:dyDescent="0.2">
      <c r="A959" s="16" t="s">
        <v>1110</v>
      </c>
      <c r="B959" s="16" t="s">
        <v>10</v>
      </c>
      <c r="C959" s="2">
        <v>46101.925838668983</v>
      </c>
      <c r="D959">
        <v>36</v>
      </c>
      <c r="F959" s="2">
        <v>46101.634172002312</v>
      </c>
      <c r="G959" s="3">
        <v>46101</v>
      </c>
      <c r="H959" t="s">
        <v>115</v>
      </c>
      <c r="I959">
        <v>15</v>
      </c>
    </row>
    <row r="960" spans="1:9" x14ac:dyDescent="0.2">
      <c r="A960" s="16" t="s">
        <v>1111</v>
      </c>
      <c r="B960" s="16" t="s">
        <v>10</v>
      </c>
      <c r="C960" s="2">
        <v>46101.932773136577</v>
      </c>
      <c r="D960">
        <v>3</v>
      </c>
      <c r="E960" s="7" t="s">
        <v>1112</v>
      </c>
      <c r="F960" s="2">
        <v>46101.641106469906</v>
      </c>
      <c r="G960" s="3">
        <v>46101</v>
      </c>
      <c r="H960" t="s">
        <v>115</v>
      </c>
      <c r="I960">
        <v>15</v>
      </c>
    </row>
    <row r="961" spans="1:9" x14ac:dyDescent="0.2">
      <c r="A961" s="16" t="s">
        <v>1113</v>
      </c>
      <c r="B961" s="16" t="s">
        <v>10</v>
      </c>
      <c r="C961" s="2">
        <v>46101.938514513888</v>
      </c>
      <c r="D961">
        <v>575</v>
      </c>
      <c r="F961" s="2">
        <v>46101.646847847223</v>
      </c>
      <c r="G961" s="3">
        <v>46101</v>
      </c>
      <c r="H961" t="s">
        <v>115</v>
      </c>
      <c r="I961">
        <v>15</v>
      </c>
    </row>
    <row r="962" spans="1:9" x14ac:dyDescent="0.2">
      <c r="A962" s="16" t="s">
        <v>1114</v>
      </c>
      <c r="B962" s="16" t="s">
        <v>10</v>
      </c>
      <c r="C962" s="2">
        <v>46101.942967604169</v>
      </c>
      <c r="D962">
        <v>3</v>
      </c>
      <c r="E962" s="7" t="s">
        <v>1115</v>
      </c>
      <c r="F962" s="2">
        <v>46101.651300937498</v>
      </c>
      <c r="G962" s="3">
        <v>46101</v>
      </c>
      <c r="H962" t="s">
        <v>115</v>
      </c>
      <c r="I962">
        <v>15</v>
      </c>
    </row>
    <row r="963" spans="1:9" x14ac:dyDescent="0.2">
      <c r="A963" s="16" t="s">
        <v>1116</v>
      </c>
      <c r="B963" s="16" t="s">
        <v>10</v>
      </c>
      <c r="C963" s="2">
        <v>46101.981837453706</v>
      </c>
      <c r="D963">
        <v>3</v>
      </c>
      <c r="F963" s="2">
        <v>46101.690170787035</v>
      </c>
      <c r="G963" s="3">
        <v>46101</v>
      </c>
      <c r="H963" t="s">
        <v>115</v>
      </c>
      <c r="I963">
        <v>16</v>
      </c>
    </row>
    <row r="964" spans="1:9" x14ac:dyDescent="0.2">
      <c r="A964" s="16" t="s">
        <v>1117</v>
      </c>
      <c r="B964" s="16" t="s">
        <v>10</v>
      </c>
      <c r="C964" s="2">
        <v>46101.982796284719</v>
      </c>
      <c r="D964">
        <v>531</v>
      </c>
      <c r="F964" s="2">
        <v>46101.691129618055</v>
      </c>
      <c r="G964" s="3">
        <v>46101</v>
      </c>
      <c r="H964" t="s">
        <v>115</v>
      </c>
      <c r="I964">
        <v>16</v>
      </c>
    </row>
    <row r="965" spans="1:9" x14ac:dyDescent="0.2">
      <c r="A965" s="16" t="s">
        <v>1118</v>
      </c>
      <c r="B965" s="16" t="s">
        <v>10</v>
      </c>
      <c r="C965" s="2">
        <v>46102.002942314815</v>
      </c>
      <c r="D965">
        <v>531</v>
      </c>
      <c r="F965" s="2">
        <v>46101.711275648151</v>
      </c>
      <c r="G965" s="3">
        <v>46101</v>
      </c>
      <c r="H965" t="s">
        <v>115</v>
      </c>
      <c r="I965">
        <v>17</v>
      </c>
    </row>
    <row r="966" spans="1:9" x14ac:dyDescent="0.2">
      <c r="A966" s="16" t="s">
        <v>1119</v>
      </c>
      <c r="B966" s="16" t="s">
        <v>10</v>
      </c>
      <c r="C966" s="2">
        <v>46102.008859814814</v>
      </c>
      <c r="D966">
        <v>3</v>
      </c>
      <c r="E966" s="7" t="s">
        <v>89</v>
      </c>
      <c r="F966" s="2">
        <v>46101.71719314815</v>
      </c>
      <c r="G966" s="3">
        <v>46101</v>
      </c>
      <c r="H966" t="s">
        <v>115</v>
      </c>
      <c r="I966">
        <v>17</v>
      </c>
    </row>
    <row r="967" spans="1:9" x14ac:dyDescent="0.2">
      <c r="A967" s="16" t="s">
        <v>1120</v>
      </c>
      <c r="B967" s="16" t="s">
        <v>10</v>
      </c>
      <c r="C967" s="2">
        <v>46102.008955844911</v>
      </c>
      <c r="D967">
        <v>531</v>
      </c>
      <c r="F967" s="2">
        <v>46101.717289178239</v>
      </c>
      <c r="G967" s="3">
        <v>46101</v>
      </c>
      <c r="H967" t="s">
        <v>115</v>
      </c>
      <c r="I967">
        <v>17</v>
      </c>
    </row>
    <row r="968" spans="1:9" x14ac:dyDescent="0.2">
      <c r="A968" s="16" t="s">
        <v>1121</v>
      </c>
      <c r="B968" s="16" t="s">
        <v>10</v>
      </c>
      <c r="C968" s="2">
        <v>46102.011336111114</v>
      </c>
      <c r="D968">
        <v>36</v>
      </c>
      <c r="F968" s="2">
        <v>46101.719669444443</v>
      </c>
      <c r="G968" s="3">
        <v>46101</v>
      </c>
      <c r="H968" t="s">
        <v>115</v>
      </c>
      <c r="I968">
        <v>17</v>
      </c>
    </row>
    <row r="969" spans="1:9" x14ac:dyDescent="0.2">
      <c r="A969" s="16" t="s">
        <v>1122</v>
      </c>
      <c r="B969" s="16" t="s">
        <v>10</v>
      </c>
      <c r="C969" s="2">
        <v>46102.022916041664</v>
      </c>
      <c r="D969">
        <v>806</v>
      </c>
      <c r="F969" s="2">
        <v>46101.731249375</v>
      </c>
      <c r="G969" s="3">
        <v>46101</v>
      </c>
      <c r="H969" t="s">
        <v>115</v>
      </c>
      <c r="I969">
        <v>17</v>
      </c>
    </row>
    <row r="970" spans="1:9" x14ac:dyDescent="0.2">
      <c r="A970" s="16" t="s">
        <v>1123</v>
      </c>
      <c r="B970" s="16" t="s">
        <v>10</v>
      </c>
      <c r="C970" s="2">
        <v>46102.050519317127</v>
      </c>
      <c r="D970">
        <v>531</v>
      </c>
      <c r="F970" s="2">
        <v>46101.758852650462</v>
      </c>
      <c r="G970" s="3">
        <v>46101</v>
      </c>
      <c r="H970" t="s">
        <v>115</v>
      </c>
      <c r="I970">
        <v>18</v>
      </c>
    </row>
    <row r="971" spans="1:9" x14ac:dyDescent="0.2">
      <c r="A971" s="16" t="s">
        <v>1124</v>
      </c>
      <c r="B971" s="16" t="s">
        <v>10</v>
      </c>
      <c r="C971" s="2">
        <v>46102.08000577546</v>
      </c>
      <c r="D971">
        <v>3</v>
      </c>
      <c r="F971" s="2">
        <v>46101.788339108796</v>
      </c>
      <c r="G971" s="3">
        <v>46101</v>
      </c>
      <c r="H971" t="s">
        <v>115</v>
      </c>
      <c r="I971">
        <v>18</v>
      </c>
    </row>
    <row r="972" spans="1:9" x14ac:dyDescent="0.2">
      <c r="A972" s="16" t="s">
        <v>1125</v>
      </c>
      <c r="B972" s="16" t="s">
        <v>10</v>
      </c>
      <c r="C972" s="2">
        <v>46102.091103368053</v>
      </c>
      <c r="D972">
        <v>3</v>
      </c>
      <c r="F972" s="2">
        <v>46101.799436701389</v>
      </c>
      <c r="G972" s="3">
        <v>46101</v>
      </c>
      <c r="H972" t="s">
        <v>115</v>
      </c>
      <c r="I972">
        <v>19</v>
      </c>
    </row>
    <row r="973" spans="1:9" x14ac:dyDescent="0.2">
      <c r="A973" s="16" t="s">
        <v>1126</v>
      </c>
      <c r="B973" s="16" t="s">
        <v>10</v>
      </c>
      <c r="C973" s="2">
        <v>46102.091702743055</v>
      </c>
      <c r="D973">
        <v>3</v>
      </c>
      <c r="F973" s="2">
        <v>46101.800036076391</v>
      </c>
      <c r="G973" s="3">
        <v>46101</v>
      </c>
      <c r="H973" t="s">
        <v>115</v>
      </c>
      <c r="I973">
        <v>19</v>
      </c>
    </row>
    <row r="974" spans="1:9" x14ac:dyDescent="0.2">
      <c r="A974" s="16" t="s">
        <v>1127</v>
      </c>
      <c r="B974" s="16" t="s">
        <v>10</v>
      </c>
      <c r="C974" s="2">
        <v>46102.091842291666</v>
      </c>
      <c r="D974">
        <v>3</v>
      </c>
      <c r="F974" s="2">
        <v>46101.800175625001</v>
      </c>
      <c r="G974" s="3">
        <v>46101</v>
      </c>
      <c r="H974" t="s">
        <v>115</v>
      </c>
      <c r="I974">
        <v>19</v>
      </c>
    </row>
    <row r="975" spans="1:9" x14ac:dyDescent="0.2">
      <c r="A975" s="16" t="s">
        <v>1128</v>
      </c>
      <c r="B975" s="16" t="s">
        <v>10</v>
      </c>
      <c r="C975" s="2">
        <v>46102.092119236113</v>
      </c>
      <c r="D975">
        <v>3</v>
      </c>
      <c r="F975" s="2">
        <v>46101.800452569441</v>
      </c>
      <c r="G975" s="3">
        <v>46101</v>
      </c>
      <c r="H975" t="s">
        <v>115</v>
      </c>
      <c r="I975">
        <v>19</v>
      </c>
    </row>
    <row r="976" spans="1:9" x14ac:dyDescent="0.2">
      <c r="A976" s="16" t="s">
        <v>1129</v>
      </c>
      <c r="B976" s="16" t="s">
        <v>10</v>
      </c>
      <c r="C976" s="2">
        <v>46102.097666250003</v>
      </c>
      <c r="D976">
        <v>3</v>
      </c>
      <c r="E976" s="7" t="s">
        <v>1130</v>
      </c>
      <c r="F976" s="2">
        <v>46101.805999583332</v>
      </c>
      <c r="G976" s="3">
        <v>46101</v>
      </c>
      <c r="H976" t="s">
        <v>115</v>
      </c>
      <c r="I976">
        <v>19</v>
      </c>
    </row>
    <row r="977" spans="1:9" x14ac:dyDescent="0.2">
      <c r="A977" s="16" t="s">
        <v>1131</v>
      </c>
      <c r="B977" s="16" t="s">
        <v>10</v>
      </c>
      <c r="C977" s="2">
        <v>46102.101742662038</v>
      </c>
      <c r="D977">
        <v>1</v>
      </c>
      <c r="E977" s="7" t="s">
        <v>1099</v>
      </c>
      <c r="F977" s="2">
        <v>46101.810075995367</v>
      </c>
      <c r="G977" s="3">
        <v>46101</v>
      </c>
      <c r="H977" t="s">
        <v>115</v>
      </c>
      <c r="I977">
        <v>19</v>
      </c>
    </row>
    <row r="978" spans="1:9" x14ac:dyDescent="0.2">
      <c r="A978" s="16" t="s">
        <v>1132</v>
      </c>
      <c r="B978" s="16" t="s">
        <v>10</v>
      </c>
      <c r="C978" s="2">
        <v>46102.127913009259</v>
      </c>
      <c r="D978">
        <v>531</v>
      </c>
      <c r="F978" s="2">
        <v>46101.836246342595</v>
      </c>
      <c r="G978" s="3">
        <v>46101</v>
      </c>
      <c r="H978" t="s">
        <v>115</v>
      </c>
      <c r="I978">
        <v>20</v>
      </c>
    </row>
    <row r="979" spans="1:9" x14ac:dyDescent="0.2">
      <c r="A979" s="16" t="s">
        <v>1133</v>
      </c>
      <c r="B979" s="16" t="s">
        <v>10</v>
      </c>
      <c r="C979" s="2">
        <v>46102.129405729167</v>
      </c>
      <c r="D979">
        <v>575</v>
      </c>
      <c r="F979" s="2">
        <v>46101.837739062503</v>
      </c>
      <c r="G979" s="3">
        <v>46101</v>
      </c>
      <c r="H979" t="s">
        <v>115</v>
      </c>
      <c r="I979">
        <v>20</v>
      </c>
    </row>
    <row r="980" spans="1:9" x14ac:dyDescent="0.2">
      <c r="A980" s="16" t="s">
        <v>1134</v>
      </c>
      <c r="B980" s="16" t="s">
        <v>10</v>
      </c>
      <c r="C980" s="2">
        <v>46102.150172511574</v>
      </c>
      <c r="D980">
        <v>531</v>
      </c>
      <c r="F980" s="2">
        <v>46101.85850584491</v>
      </c>
      <c r="G980" s="3">
        <v>46101</v>
      </c>
      <c r="H980" t="s">
        <v>115</v>
      </c>
      <c r="I980">
        <v>20</v>
      </c>
    </row>
    <row r="981" spans="1:9" x14ac:dyDescent="0.2">
      <c r="A981" s="16" t="s">
        <v>1135</v>
      </c>
      <c r="B981" s="16" t="s">
        <v>10</v>
      </c>
      <c r="C981" s="2">
        <v>46102.169343622685</v>
      </c>
      <c r="D981">
        <v>575</v>
      </c>
      <c r="F981" s="2">
        <v>46101.877676956021</v>
      </c>
      <c r="G981" s="3">
        <v>46101</v>
      </c>
      <c r="H981" t="s">
        <v>115</v>
      </c>
      <c r="I981">
        <v>21</v>
      </c>
    </row>
    <row r="982" spans="1:9" x14ac:dyDescent="0.2">
      <c r="A982" s="16" t="s">
        <v>1136</v>
      </c>
      <c r="B982" s="16" t="s">
        <v>10</v>
      </c>
      <c r="C982" s="2">
        <v>46102.186557870373</v>
      </c>
      <c r="D982">
        <v>3</v>
      </c>
      <c r="F982" s="2">
        <v>46101.894891203701</v>
      </c>
      <c r="G982" s="3">
        <v>46101</v>
      </c>
      <c r="H982" t="s">
        <v>115</v>
      </c>
      <c r="I982">
        <v>21</v>
      </c>
    </row>
    <row r="983" spans="1:9" x14ac:dyDescent="0.2">
      <c r="A983" s="16" t="s">
        <v>1137</v>
      </c>
      <c r="B983" s="16" t="s">
        <v>10</v>
      </c>
      <c r="C983" s="2">
        <v>46102.226183692132</v>
      </c>
      <c r="D983">
        <v>575</v>
      </c>
      <c r="F983" s="2">
        <v>46101.93451702546</v>
      </c>
      <c r="G983" s="3">
        <v>46101</v>
      </c>
      <c r="H983" t="s">
        <v>115</v>
      </c>
      <c r="I983">
        <v>22</v>
      </c>
    </row>
    <row r="984" spans="1:9" x14ac:dyDescent="0.2">
      <c r="A984" s="16" t="s">
        <v>1138</v>
      </c>
      <c r="B984" s="16" t="s">
        <v>10</v>
      </c>
      <c r="C984" s="2">
        <v>46102.391724155095</v>
      </c>
      <c r="D984">
        <v>3</v>
      </c>
      <c r="E984" s="7" t="s">
        <v>1139</v>
      </c>
      <c r="F984" s="2">
        <v>46102.100057488424</v>
      </c>
      <c r="G984" s="3">
        <v>46102</v>
      </c>
      <c r="H984" t="s">
        <v>120</v>
      </c>
      <c r="I984">
        <v>2</v>
      </c>
    </row>
    <row r="985" spans="1:9" x14ac:dyDescent="0.2">
      <c r="A985" s="16" t="s">
        <v>1140</v>
      </c>
      <c r="B985" s="16" t="s">
        <v>10</v>
      </c>
      <c r="C985" s="2">
        <v>46102.407829768519</v>
      </c>
      <c r="D985">
        <v>575</v>
      </c>
      <c r="F985" s="2">
        <v>46102.116163101855</v>
      </c>
      <c r="G985" s="3">
        <v>46102</v>
      </c>
      <c r="H985" t="s">
        <v>120</v>
      </c>
      <c r="I985">
        <v>2</v>
      </c>
    </row>
    <row r="986" spans="1:9" x14ac:dyDescent="0.2">
      <c r="A986" s="16" t="s">
        <v>1141</v>
      </c>
      <c r="B986" s="16" t="s">
        <v>10</v>
      </c>
      <c r="C986" s="2">
        <v>46102.419711111113</v>
      </c>
      <c r="D986">
        <v>3</v>
      </c>
      <c r="E986" s="7" t="s">
        <v>1139</v>
      </c>
      <c r="F986" s="2">
        <v>46102.128044444442</v>
      </c>
      <c r="G986" s="3">
        <v>46102</v>
      </c>
      <c r="H986" t="s">
        <v>120</v>
      </c>
      <c r="I986">
        <v>3</v>
      </c>
    </row>
    <row r="987" spans="1:9" x14ac:dyDescent="0.2">
      <c r="A987" s="16" t="s">
        <v>1142</v>
      </c>
      <c r="B987" s="16" t="s">
        <v>10</v>
      </c>
      <c r="C987" s="2">
        <v>46102.437674189816</v>
      </c>
      <c r="D987">
        <v>3</v>
      </c>
      <c r="F987" s="2">
        <v>46102.146007523152</v>
      </c>
      <c r="G987" s="3">
        <v>46102</v>
      </c>
      <c r="H987" t="s">
        <v>120</v>
      </c>
      <c r="I987">
        <v>3</v>
      </c>
    </row>
    <row r="988" spans="1:9" x14ac:dyDescent="0.2">
      <c r="A988" s="16" t="s">
        <v>1143</v>
      </c>
      <c r="B988" s="16" t="s">
        <v>10</v>
      </c>
      <c r="C988" s="2">
        <v>46102.443562361113</v>
      </c>
      <c r="D988">
        <v>3</v>
      </c>
      <c r="E988" s="7" t="s">
        <v>305</v>
      </c>
      <c r="F988" s="2">
        <v>46102.151895694442</v>
      </c>
      <c r="G988" s="3">
        <v>46102</v>
      </c>
      <c r="H988" t="s">
        <v>120</v>
      </c>
      <c r="I988">
        <v>3</v>
      </c>
    </row>
    <row r="989" spans="1:9" x14ac:dyDescent="0.2">
      <c r="A989" s="16" t="s">
        <v>1144</v>
      </c>
      <c r="B989" s="16" t="s">
        <v>10</v>
      </c>
      <c r="C989" s="2">
        <v>46102.455513263892</v>
      </c>
      <c r="D989">
        <v>3</v>
      </c>
      <c r="F989" s="2">
        <v>46102.163846597221</v>
      </c>
      <c r="G989" s="3">
        <v>46102</v>
      </c>
      <c r="H989" t="s">
        <v>120</v>
      </c>
      <c r="I989">
        <v>3</v>
      </c>
    </row>
    <row r="990" spans="1:9" x14ac:dyDescent="0.2">
      <c r="A990" s="16" t="s">
        <v>1145</v>
      </c>
      <c r="B990" s="16" t="s">
        <v>10</v>
      </c>
      <c r="C990" s="2">
        <v>46102.460725127312</v>
      </c>
      <c r="D990">
        <v>572</v>
      </c>
      <c r="F990" s="2">
        <v>46102.169058460648</v>
      </c>
      <c r="G990" s="3">
        <v>46102</v>
      </c>
      <c r="H990" t="s">
        <v>120</v>
      </c>
      <c r="I990">
        <v>4</v>
      </c>
    </row>
    <row r="991" spans="1:9" x14ac:dyDescent="0.2">
      <c r="A991" s="16" t="s">
        <v>1146</v>
      </c>
      <c r="B991" s="16" t="s">
        <v>10</v>
      </c>
      <c r="C991" s="2">
        <v>46102.464767280093</v>
      </c>
      <c r="D991">
        <v>531</v>
      </c>
      <c r="E991" s="7" t="s">
        <v>89</v>
      </c>
      <c r="F991" s="2">
        <v>46102.173100613429</v>
      </c>
      <c r="G991" s="3">
        <v>46102</v>
      </c>
      <c r="H991" t="s">
        <v>120</v>
      </c>
      <c r="I991">
        <v>4</v>
      </c>
    </row>
    <row r="992" spans="1:9" x14ac:dyDescent="0.2">
      <c r="A992" s="16" t="s">
        <v>1147</v>
      </c>
      <c r="B992" s="16" t="s">
        <v>10</v>
      </c>
      <c r="C992" s="2">
        <v>46102.482279328702</v>
      </c>
      <c r="D992">
        <v>2</v>
      </c>
      <c r="F992" s="2">
        <v>46102.190612662038</v>
      </c>
      <c r="G992" s="3">
        <v>46102</v>
      </c>
      <c r="H992" t="s">
        <v>120</v>
      </c>
      <c r="I992">
        <v>4</v>
      </c>
    </row>
    <row r="993" spans="1:9" x14ac:dyDescent="0.2">
      <c r="A993" s="16" t="s">
        <v>1148</v>
      </c>
      <c r="B993" s="16" t="s">
        <v>10</v>
      </c>
      <c r="C993" s="2">
        <v>46102.541031319444</v>
      </c>
      <c r="D993">
        <v>3</v>
      </c>
      <c r="F993" s="2">
        <v>46102.24936465278</v>
      </c>
      <c r="G993" s="3">
        <v>46102</v>
      </c>
      <c r="H993" t="s">
        <v>120</v>
      </c>
      <c r="I993">
        <v>5</v>
      </c>
    </row>
    <row r="994" spans="1:9" x14ac:dyDescent="0.2">
      <c r="A994" s="16" t="s">
        <v>1149</v>
      </c>
      <c r="B994" s="16" t="s">
        <v>10</v>
      </c>
      <c r="C994" s="2">
        <v>46102.621892326388</v>
      </c>
      <c r="D994">
        <v>531</v>
      </c>
      <c r="F994" s="2">
        <v>46102.330225659724</v>
      </c>
      <c r="G994" s="3">
        <v>46102</v>
      </c>
      <c r="H994" t="s">
        <v>120</v>
      </c>
      <c r="I994">
        <v>7</v>
      </c>
    </row>
    <row r="995" spans="1:9" x14ac:dyDescent="0.2">
      <c r="A995" s="16" t="s">
        <v>1150</v>
      </c>
      <c r="B995" s="16" t="s">
        <v>10</v>
      </c>
      <c r="C995" s="2">
        <v>46102.700329155094</v>
      </c>
      <c r="D995">
        <v>3</v>
      </c>
      <c r="E995" s="7" t="s">
        <v>1151</v>
      </c>
      <c r="F995" s="2">
        <v>46102.408662488429</v>
      </c>
      <c r="G995" s="3">
        <v>46102</v>
      </c>
      <c r="H995" t="s">
        <v>120</v>
      </c>
      <c r="I995">
        <v>9</v>
      </c>
    </row>
    <row r="996" spans="1:9" x14ac:dyDescent="0.2">
      <c r="A996" s="16" t="s">
        <v>1164</v>
      </c>
      <c r="B996" s="16" t="s">
        <v>10</v>
      </c>
      <c r="C996" s="2">
        <v>46102.71026240741</v>
      </c>
      <c r="D996">
        <v>3</v>
      </c>
      <c r="E996" s="7" t="s">
        <v>1151</v>
      </c>
      <c r="F996" s="2">
        <v>46102.418595740739</v>
      </c>
      <c r="G996" s="3">
        <v>46102</v>
      </c>
      <c r="H996" t="s">
        <v>120</v>
      </c>
      <c r="I996">
        <v>10</v>
      </c>
    </row>
    <row r="997" spans="1:9" x14ac:dyDescent="0.2">
      <c r="A997" s="16" t="s">
        <v>1165</v>
      </c>
      <c r="B997" s="16" t="s">
        <v>10</v>
      </c>
      <c r="C997" s="2">
        <v>46102.990061388889</v>
      </c>
      <c r="D997">
        <v>575</v>
      </c>
      <c r="F997" s="2">
        <v>46102.698394722225</v>
      </c>
      <c r="G997" s="3">
        <v>46102</v>
      </c>
      <c r="H997" t="s">
        <v>120</v>
      </c>
      <c r="I997">
        <v>16</v>
      </c>
    </row>
    <row r="998" spans="1:9" x14ac:dyDescent="0.2">
      <c r="A998" s="16" t="s">
        <v>1166</v>
      </c>
      <c r="B998" s="16" t="s">
        <v>10</v>
      </c>
      <c r="C998" s="2">
        <v>46103.210762199073</v>
      </c>
      <c r="D998">
        <v>3</v>
      </c>
      <c r="F998" s="2">
        <v>46102.919095532408</v>
      </c>
      <c r="G998" s="3">
        <v>46102</v>
      </c>
      <c r="H998" t="s">
        <v>120</v>
      </c>
      <c r="I998">
        <v>22</v>
      </c>
    </row>
    <row r="999" spans="1:9" x14ac:dyDescent="0.2">
      <c r="A999" s="16" t="s">
        <v>1167</v>
      </c>
      <c r="B999" s="16" t="s">
        <v>10</v>
      </c>
      <c r="C999" s="2">
        <v>46103.468402638886</v>
      </c>
      <c r="D999">
        <v>3</v>
      </c>
      <c r="F999" s="2">
        <v>46103.176735972222</v>
      </c>
      <c r="G999" s="3">
        <v>46103</v>
      </c>
      <c r="H999" t="s">
        <v>125</v>
      </c>
      <c r="I999">
        <v>4</v>
      </c>
    </row>
    <row r="1000" spans="1:9" x14ac:dyDescent="0.2">
      <c r="A1000" s="16" t="s">
        <v>1168</v>
      </c>
      <c r="B1000" s="16" t="s">
        <v>10</v>
      </c>
      <c r="C1000" s="2">
        <v>46103.468600925924</v>
      </c>
      <c r="D1000">
        <v>3</v>
      </c>
      <c r="F1000" s="2">
        <v>46103.17693425926</v>
      </c>
      <c r="G1000" s="3">
        <v>46103</v>
      </c>
      <c r="H1000" t="s">
        <v>125</v>
      </c>
      <c r="I1000">
        <v>4</v>
      </c>
    </row>
    <row r="1001" spans="1:9" x14ac:dyDescent="0.2">
      <c r="A1001" s="16" t="s">
        <v>1169</v>
      </c>
      <c r="B1001" s="16" t="s">
        <v>10</v>
      </c>
      <c r="C1001" s="2">
        <v>46103.469651608793</v>
      </c>
      <c r="D1001">
        <v>2</v>
      </c>
      <c r="F1001" s="2">
        <v>46103.177984942129</v>
      </c>
      <c r="G1001" s="3">
        <v>46103</v>
      </c>
      <c r="H1001" t="s">
        <v>125</v>
      </c>
      <c r="I1001">
        <v>4</v>
      </c>
    </row>
    <row r="1002" spans="1:9" x14ac:dyDescent="0.2">
      <c r="A1002" s="16" t="s">
        <v>1170</v>
      </c>
      <c r="B1002" s="16" t="s">
        <v>10</v>
      </c>
      <c r="C1002" s="2">
        <v>46103.475049479166</v>
      </c>
      <c r="D1002">
        <v>531</v>
      </c>
      <c r="F1002" s="2">
        <v>46103.183382812502</v>
      </c>
      <c r="G1002" s="3">
        <v>46103</v>
      </c>
      <c r="H1002" t="s">
        <v>125</v>
      </c>
      <c r="I1002">
        <v>4</v>
      </c>
    </row>
    <row r="1003" spans="1:9" x14ac:dyDescent="0.2">
      <c r="A1003" s="16" t="s">
        <v>1171</v>
      </c>
      <c r="B1003" s="16" t="s">
        <v>10</v>
      </c>
      <c r="C1003" s="2">
        <v>46103.495603900461</v>
      </c>
      <c r="D1003">
        <v>531</v>
      </c>
      <c r="E1003" s="7" t="s">
        <v>31</v>
      </c>
      <c r="F1003" s="2">
        <v>46103.203937233797</v>
      </c>
      <c r="G1003" s="3">
        <v>46103</v>
      </c>
      <c r="H1003" t="s">
        <v>125</v>
      </c>
      <c r="I1003">
        <v>4</v>
      </c>
    </row>
    <row r="1004" spans="1:9" x14ac:dyDescent="0.2">
      <c r="A1004" s="16" t="s">
        <v>1172</v>
      </c>
      <c r="B1004" s="16" t="s">
        <v>10</v>
      </c>
      <c r="C1004" s="2">
        <v>46103.503232546296</v>
      </c>
      <c r="D1004">
        <v>531</v>
      </c>
      <c r="E1004" s="7" t="s">
        <v>31</v>
      </c>
      <c r="F1004" s="2">
        <v>46103.211565879632</v>
      </c>
      <c r="G1004" s="3">
        <v>46103</v>
      </c>
      <c r="H1004" t="s">
        <v>125</v>
      </c>
      <c r="I1004">
        <v>5</v>
      </c>
    </row>
    <row r="1005" spans="1:9" x14ac:dyDescent="0.2">
      <c r="A1005" s="16" t="s">
        <v>1173</v>
      </c>
      <c r="B1005" s="16" t="s">
        <v>10</v>
      </c>
      <c r="C1005" s="2">
        <v>46103.593313113422</v>
      </c>
      <c r="D1005">
        <v>531</v>
      </c>
      <c r="E1005" s="7" t="s">
        <v>275</v>
      </c>
      <c r="F1005" s="2">
        <v>46103.301646446758</v>
      </c>
      <c r="G1005" s="3">
        <v>46103</v>
      </c>
      <c r="H1005" t="s">
        <v>125</v>
      </c>
      <c r="I1005">
        <v>7</v>
      </c>
    </row>
    <row r="1006" spans="1:9" x14ac:dyDescent="0.2">
      <c r="A1006" s="16" t="s">
        <v>1174</v>
      </c>
      <c r="B1006" s="16" t="s">
        <v>10</v>
      </c>
      <c r="C1006" s="2">
        <v>46103.611841192127</v>
      </c>
      <c r="D1006">
        <v>531</v>
      </c>
      <c r="E1006" s="7" t="s">
        <v>1175</v>
      </c>
      <c r="F1006" s="2">
        <v>46103.320174525463</v>
      </c>
      <c r="G1006" s="3">
        <v>46103</v>
      </c>
      <c r="H1006" t="s">
        <v>125</v>
      </c>
      <c r="I1006">
        <v>7</v>
      </c>
    </row>
    <row r="1007" spans="1:9" x14ac:dyDescent="0.2">
      <c r="A1007" s="16" t="s">
        <v>1176</v>
      </c>
      <c r="B1007" s="16" t="s">
        <v>10</v>
      </c>
      <c r="C1007" s="2">
        <v>46103.671348506941</v>
      </c>
      <c r="D1007">
        <v>3</v>
      </c>
      <c r="F1007" s="2">
        <v>46103.379681840277</v>
      </c>
      <c r="G1007" s="3">
        <v>46103</v>
      </c>
      <c r="H1007" t="s">
        <v>125</v>
      </c>
      <c r="I1007">
        <v>9</v>
      </c>
    </row>
    <row r="1008" spans="1:9" x14ac:dyDescent="0.2">
      <c r="A1008" s="16" t="s">
        <v>1177</v>
      </c>
      <c r="B1008" s="16" t="s">
        <v>10</v>
      </c>
      <c r="C1008" s="2">
        <v>46103.674721261574</v>
      </c>
      <c r="D1008">
        <v>35</v>
      </c>
      <c r="F1008" s="2">
        <v>46103.383054594909</v>
      </c>
      <c r="G1008" s="3">
        <v>46103</v>
      </c>
      <c r="H1008" t="s">
        <v>125</v>
      </c>
      <c r="I1008">
        <v>9</v>
      </c>
    </row>
    <row r="1009" spans="1:9" x14ac:dyDescent="0.2">
      <c r="A1009" s="16" t="s">
        <v>1178</v>
      </c>
      <c r="B1009" s="16" t="s">
        <v>10</v>
      </c>
      <c r="C1009" s="2">
        <v>46103.681660601855</v>
      </c>
      <c r="D1009">
        <v>3</v>
      </c>
      <c r="E1009" s="7" t="s">
        <v>990</v>
      </c>
      <c r="F1009" s="2">
        <v>46103.389993935183</v>
      </c>
      <c r="G1009" s="3">
        <v>46103</v>
      </c>
      <c r="H1009" t="s">
        <v>125</v>
      </c>
      <c r="I1009">
        <v>9</v>
      </c>
    </row>
    <row r="1010" spans="1:9" x14ac:dyDescent="0.2">
      <c r="A1010" s="16" t="s">
        <v>1179</v>
      </c>
      <c r="B1010" s="16" t="s">
        <v>10</v>
      </c>
      <c r="C1010" s="2">
        <v>46103.682083553242</v>
      </c>
      <c r="D1010">
        <v>3</v>
      </c>
      <c r="E1010" s="7" t="s">
        <v>1180</v>
      </c>
      <c r="F1010" s="2">
        <v>46103.390416886577</v>
      </c>
      <c r="G1010" s="3">
        <v>46103</v>
      </c>
      <c r="H1010" t="s">
        <v>125</v>
      </c>
      <c r="I1010">
        <v>9</v>
      </c>
    </row>
    <row r="1011" spans="1:9" x14ac:dyDescent="0.2">
      <c r="A1011" s="16" t="s">
        <v>1267</v>
      </c>
      <c r="B1011" s="16" t="s">
        <v>10</v>
      </c>
      <c r="C1011" s="2">
        <v>46103.753342222219</v>
      </c>
      <c r="D1011">
        <v>3</v>
      </c>
      <c r="F1011" s="2">
        <v>46103.461675555554</v>
      </c>
      <c r="G1011" s="3">
        <v>46103</v>
      </c>
      <c r="H1011" t="s">
        <v>125</v>
      </c>
      <c r="I1011">
        <v>11</v>
      </c>
    </row>
    <row r="1012" spans="1:9" x14ac:dyDescent="0.2">
      <c r="A1012" s="16" t="s">
        <v>1268</v>
      </c>
      <c r="B1012" s="16" t="s">
        <v>10</v>
      </c>
      <c r="C1012" s="2">
        <v>46103.906425416666</v>
      </c>
      <c r="D1012">
        <v>531</v>
      </c>
      <c r="E1012" s="7" t="s">
        <v>89</v>
      </c>
      <c r="F1012" s="2">
        <v>46103.614758750002</v>
      </c>
      <c r="G1012" s="3">
        <v>46103</v>
      </c>
      <c r="H1012" t="s">
        <v>125</v>
      </c>
      <c r="I1012">
        <v>14</v>
      </c>
    </row>
    <row r="1013" spans="1:9" x14ac:dyDescent="0.2">
      <c r="A1013" s="16" t="s">
        <v>1269</v>
      </c>
      <c r="B1013" s="16" t="s">
        <v>10</v>
      </c>
      <c r="C1013" s="2">
        <v>46103.987017210646</v>
      </c>
      <c r="D1013">
        <v>531</v>
      </c>
      <c r="F1013" s="2">
        <v>46103.695350543981</v>
      </c>
      <c r="G1013" s="3">
        <v>46103</v>
      </c>
      <c r="H1013" t="s">
        <v>125</v>
      </c>
      <c r="I1013">
        <v>16</v>
      </c>
    </row>
    <row r="1014" spans="1:9" x14ac:dyDescent="0.2">
      <c r="A1014" s="16" t="s">
        <v>1270</v>
      </c>
      <c r="B1014" s="16" t="s">
        <v>10</v>
      </c>
      <c r="C1014" s="2">
        <v>46104.3227468287</v>
      </c>
      <c r="D1014">
        <v>575</v>
      </c>
      <c r="F1014" s="2">
        <v>46104.031080162036</v>
      </c>
      <c r="G1014" s="3">
        <v>46104</v>
      </c>
      <c r="H1014" t="s">
        <v>11</v>
      </c>
      <c r="I1014">
        <v>0</v>
      </c>
    </row>
    <row r="1015" spans="1:9" x14ac:dyDescent="0.2">
      <c r="A1015" s="16" t="s">
        <v>1271</v>
      </c>
      <c r="B1015" s="16" t="s">
        <v>10</v>
      </c>
      <c r="C1015" s="2">
        <v>46104.389749108799</v>
      </c>
      <c r="D1015">
        <v>3</v>
      </c>
      <c r="F1015" s="2">
        <v>46104.098082442128</v>
      </c>
      <c r="G1015" s="3">
        <v>46104</v>
      </c>
      <c r="H1015" t="s">
        <v>11</v>
      </c>
      <c r="I1015">
        <v>2</v>
      </c>
    </row>
    <row r="1016" spans="1:9" x14ac:dyDescent="0.2">
      <c r="A1016" s="16" t="s">
        <v>1272</v>
      </c>
      <c r="B1016" s="16" t="s">
        <v>10</v>
      </c>
      <c r="C1016" s="2">
        <v>46104.549907754626</v>
      </c>
      <c r="D1016">
        <v>1</v>
      </c>
      <c r="F1016" s="2">
        <v>46104.258241087962</v>
      </c>
      <c r="G1016" s="3">
        <v>46104</v>
      </c>
      <c r="H1016" t="s">
        <v>11</v>
      </c>
      <c r="I1016">
        <v>6</v>
      </c>
    </row>
    <row r="1017" spans="1:9" x14ac:dyDescent="0.2">
      <c r="A1017" s="16" t="s">
        <v>1273</v>
      </c>
      <c r="B1017" s="16" t="s">
        <v>10</v>
      </c>
      <c r="C1017" s="2">
        <v>46104.648427002314</v>
      </c>
      <c r="D1017">
        <v>575</v>
      </c>
      <c r="F1017" s="2">
        <v>46104.35676033565</v>
      </c>
      <c r="G1017" s="3">
        <v>46104</v>
      </c>
      <c r="H1017" t="s">
        <v>11</v>
      </c>
      <c r="I1017">
        <v>8</v>
      </c>
    </row>
    <row r="1018" spans="1:9" x14ac:dyDescent="0.2">
      <c r="A1018" s="16" t="s">
        <v>1274</v>
      </c>
      <c r="B1018" s="16" t="s">
        <v>10</v>
      </c>
      <c r="C1018" s="2">
        <v>46104.697347083333</v>
      </c>
      <c r="D1018">
        <v>575</v>
      </c>
      <c r="F1018" s="2">
        <v>46104.405680416668</v>
      </c>
      <c r="G1018" s="3">
        <v>46104</v>
      </c>
      <c r="H1018" t="s">
        <v>11</v>
      </c>
      <c r="I1018">
        <v>9</v>
      </c>
    </row>
    <row r="1019" spans="1:9" x14ac:dyDescent="0.2">
      <c r="A1019" s="16" t="s">
        <v>1278</v>
      </c>
      <c r="B1019" s="16" t="s">
        <v>10</v>
      </c>
      <c r="C1019" s="2">
        <v>46104.711560266202</v>
      </c>
      <c r="D1019">
        <v>3</v>
      </c>
      <c r="F1019" s="2">
        <v>46104.419893599537</v>
      </c>
      <c r="G1019" s="3">
        <v>46104</v>
      </c>
      <c r="H1019" t="s">
        <v>11</v>
      </c>
      <c r="I1019">
        <v>10</v>
      </c>
    </row>
    <row r="1020" spans="1:9" x14ac:dyDescent="0.2">
      <c r="A1020" s="16" t="s">
        <v>1279</v>
      </c>
      <c r="B1020" s="16" t="s">
        <v>10</v>
      </c>
      <c r="C1020" s="2">
        <v>46104.720968182868</v>
      </c>
      <c r="D1020">
        <v>575</v>
      </c>
      <c r="E1020" s="7" t="s">
        <v>1280</v>
      </c>
      <c r="F1020" s="2">
        <v>46104.429301516204</v>
      </c>
      <c r="G1020" s="3">
        <v>46104</v>
      </c>
      <c r="H1020" t="s">
        <v>11</v>
      </c>
      <c r="I1020">
        <v>10</v>
      </c>
    </row>
    <row r="1021" spans="1:9" x14ac:dyDescent="0.2">
      <c r="A1021" s="16" t="s">
        <v>1281</v>
      </c>
      <c r="B1021" s="16" t="s">
        <v>10</v>
      </c>
      <c r="C1021" s="2">
        <v>46104.722799212963</v>
      </c>
      <c r="D1021">
        <v>575</v>
      </c>
      <c r="F1021" s="2">
        <v>46104.431132546299</v>
      </c>
      <c r="G1021" s="3">
        <v>46104</v>
      </c>
      <c r="H1021" t="s">
        <v>11</v>
      </c>
      <c r="I1021">
        <v>10</v>
      </c>
    </row>
    <row r="1022" spans="1:9" x14ac:dyDescent="0.2">
      <c r="A1022" s="16" t="s">
        <v>1282</v>
      </c>
      <c r="B1022" s="16" t="s">
        <v>10</v>
      </c>
      <c r="C1022" s="2">
        <v>46104.727812106481</v>
      </c>
      <c r="D1022">
        <v>3</v>
      </c>
      <c r="E1022" s="7" t="s">
        <v>267</v>
      </c>
      <c r="F1022" s="2">
        <v>46104.436145439817</v>
      </c>
      <c r="G1022" s="3">
        <v>46104</v>
      </c>
      <c r="H1022" t="s">
        <v>11</v>
      </c>
      <c r="I1022">
        <v>10</v>
      </c>
    </row>
    <row r="1023" spans="1:9" x14ac:dyDescent="0.2">
      <c r="A1023" s="16" t="s">
        <v>1283</v>
      </c>
      <c r="B1023" s="16" t="s">
        <v>10</v>
      </c>
      <c r="C1023" s="2">
        <v>46104.863372951389</v>
      </c>
      <c r="D1023">
        <v>531</v>
      </c>
      <c r="F1023" s="2">
        <v>46104.571706284725</v>
      </c>
      <c r="G1023" s="3">
        <v>46104</v>
      </c>
      <c r="H1023" t="s">
        <v>11</v>
      </c>
      <c r="I1023">
        <v>13</v>
      </c>
    </row>
    <row r="1024" spans="1:9" x14ac:dyDescent="0.2">
      <c r="A1024" s="16" t="s">
        <v>1284</v>
      </c>
      <c r="B1024" s="16" t="s">
        <v>10</v>
      </c>
      <c r="C1024" s="2">
        <v>46104.933948113423</v>
      </c>
      <c r="D1024">
        <v>3</v>
      </c>
      <c r="E1024" s="7" t="s">
        <v>709</v>
      </c>
      <c r="F1024" s="2">
        <v>46104.642281446759</v>
      </c>
      <c r="G1024" s="3">
        <v>46104</v>
      </c>
      <c r="H1024" t="s">
        <v>11</v>
      </c>
      <c r="I1024">
        <v>15</v>
      </c>
    </row>
    <row r="1025" spans="1:9" x14ac:dyDescent="0.2">
      <c r="A1025" s="16" t="s">
        <v>1285</v>
      </c>
      <c r="B1025" s="16" t="s">
        <v>10</v>
      </c>
      <c r="C1025" s="2">
        <v>46104.935878842596</v>
      </c>
      <c r="D1025">
        <v>3</v>
      </c>
      <c r="F1025" s="2">
        <v>46104.644212175925</v>
      </c>
      <c r="G1025" s="3">
        <v>46104</v>
      </c>
      <c r="H1025" t="s">
        <v>11</v>
      </c>
      <c r="I1025">
        <v>15</v>
      </c>
    </row>
    <row r="1026" spans="1:9" x14ac:dyDescent="0.2">
      <c r="A1026" s="16" t="s">
        <v>1286</v>
      </c>
      <c r="B1026" s="16" t="s">
        <v>10</v>
      </c>
      <c r="C1026" s="2">
        <v>46104.959911967591</v>
      </c>
      <c r="D1026">
        <v>5</v>
      </c>
      <c r="E1026" s="7" t="s">
        <v>709</v>
      </c>
      <c r="F1026" s="2">
        <v>46104.668245300927</v>
      </c>
      <c r="G1026" s="3">
        <v>46104</v>
      </c>
      <c r="H1026" t="s">
        <v>11</v>
      </c>
      <c r="I1026">
        <v>16</v>
      </c>
    </row>
    <row r="1027" spans="1:9" x14ac:dyDescent="0.2">
      <c r="A1027" s="16" t="s">
        <v>1287</v>
      </c>
      <c r="B1027" s="16" t="s">
        <v>10</v>
      </c>
      <c r="C1027" s="2">
        <v>46105.043822106483</v>
      </c>
      <c r="D1027">
        <v>2</v>
      </c>
      <c r="E1027" s="7" t="s">
        <v>613</v>
      </c>
      <c r="F1027" s="2">
        <v>46104.752155439812</v>
      </c>
      <c r="G1027" s="3">
        <v>46104</v>
      </c>
      <c r="H1027" t="s">
        <v>11</v>
      </c>
      <c r="I1027">
        <v>18</v>
      </c>
    </row>
    <row r="1028" spans="1:9" x14ac:dyDescent="0.2">
      <c r="A1028" s="16" t="s">
        <v>1288</v>
      </c>
      <c r="B1028" s="16" t="s">
        <v>10</v>
      </c>
      <c r="C1028" s="2">
        <v>46105.046435995369</v>
      </c>
      <c r="D1028">
        <v>3</v>
      </c>
      <c r="F1028" s="2">
        <v>46104.754769328705</v>
      </c>
      <c r="G1028" s="3">
        <v>46104</v>
      </c>
      <c r="H1028" t="s">
        <v>11</v>
      </c>
      <c r="I1028">
        <v>18</v>
      </c>
    </row>
    <row r="1029" spans="1:9" x14ac:dyDescent="0.2">
      <c r="A1029" s="16" t="s">
        <v>1289</v>
      </c>
      <c r="B1029" s="16" t="s">
        <v>10</v>
      </c>
      <c r="C1029" s="2">
        <v>46105.058931493055</v>
      </c>
      <c r="D1029">
        <v>5</v>
      </c>
      <c r="E1029" s="7" t="s">
        <v>709</v>
      </c>
      <c r="F1029" s="2">
        <v>46104.767264826391</v>
      </c>
      <c r="G1029" s="3">
        <v>46104</v>
      </c>
      <c r="H1029" t="s">
        <v>11</v>
      </c>
      <c r="I1029">
        <v>18</v>
      </c>
    </row>
    <row r="1030" spans="1:9" x14ac:dyDescent="0.2">
      <c r="A1030" s="16" t="s">
        <v>1290</v>
      </c>
      <c r="B1030" s="16" t="s">
        <v>10</v>
      </c>
      <c r="C1030" s="2">
        <v>46105.106195439817</v>
      </c>
      <c r="D1030">
        <v>5</v>
      </c>
      <c r="E1030" s="7" t="s">
        <v>709</v>
      </c>
      <c r="F1030" s="2">
        <v>46104.814528773146</v>
      </c>
      <c r="G1030" s="3">
        <v>46104</v>
      </c>
      <c r="H1030" t="s">
        <v>11</v>
      </c>
      <c r="I1030">
        <v>19</v>
      </c>
    </row>
    <row r="1031" spans="1:9" x14ac:dyDescent="0.2">
      <c r="A1031" s="16" t="s">
        <v>1291</v>
      </c>
      <c r="B1031" s="16" t="s">
        <v>10</v>
      </c>
      <c r="C1031" s="2">
        <v>46105.10626818287</v>
      </c>
      <c r="D1031">
        <v>36</v>
      </c>
      <c r="E1031" s="7" t="s">
        <v>613</v>
      </c>
      <c r="F1031" s="2">
        <v>46104.814601516206</v>
      </c>
      <c r="G1031" s="3">
        <v>46104</v>
      </c>
      <c r="H1031" t="s">
        <v>11</v>
      </c>
      <c r="I1031">
        <v>19</v>
      </c>
    </row>
    <row r="1032" spans="1:9" x14ac:dyDescent="0.2">
      <c r="A1032" s="16" t="s">
        <v>1292</v>
      </c>
      <c r="B1032" s="16" t="s">
        <v>10</v>
      </c>
      <c r="C1032" s="2">
        <v>46105.296520763892</v>
      </c>
      <c r="D1032">
        <v>531</v>
      </c>
      <c r="E1032" s="7" t="s">
        <v>34</v>
      </c>
      <c r="F1032" s="2">
        <v>46105.00485409722</v>
      </c>
      <c r="G1032" s="3">
        <v>46105</v>
      </c>
      <c r="H1032" t="s">
        <v>28</v>
      </c>
      <c r="I1032">
        <v>0</v>
      </c>
    </row>
    <row r="1033" spans="1:9" x14ac:dyDescent="0.2">
      <c r="A1033" s="16" t="s">
        <v>1293</v>
      </c>
      <c r="B1033" s="16" t="s">
        <v>10</v>
      </c>
      <c r="C1033" s="2">
        <v>46105.338615486115</v>
      </c>
      <c r="D1033">
        <v>3</v>
      </c>
      <c r="E1033" s="7" t="s">
        <v>1294</v>
      </c>
      <c r="F1033" s="2">
        <v>46105.046948819443</v>
      </c>
      <c r="G1033" s="3">
        <v>46105</v>
      </c>
      <c r="H1033" t="s">
        <v>28</v>
      </c>
      <c r="I1033">
        <v>1</v>
      </c>
    </row>
    <row r="1034" spans="1:9" x14ac:dyDescent="0.2">
      <c r="A1034" s="16" t="s">
        <v>1295</v>
      </c>
      <c r="B1034" s="16" t="s">
        <v>10</v>
      </c>
      <c r="C1034" s="2">
        <v>46105.404223287034</v>
      </c>
      <c r="D1034">
        <v>531</v>
      </c>
      <c r="E1034" s="7" t="s">
        <v>31</v>
      </c>
      <c r="F1034" s="2">
        <v>46105.11255662037</v>
      </c>
      <c r="G1034" s="3">
        <v>46105</v>
      </c>
      <c r="H1034" t="s">
        <v>28</v>
      </c>
      <c r="I1034">
        <v>2</v>
      </c>
    </row>
    <row r="1035" spans="1:9" x14ac:dyDescent="0.2">
      <c r="A1035" s="16" t="s">
        <v>1296</v>
      </c>
      <c r="B1035" s="16" t="s">
        <v>10</v>
      </c>
      <c r="C1035" s="2">
        <v>46105.411896087964</v>
      </c>
      <c r="D1035">
        <v>2</v>
      </c>
      <c r="F1035" s="2">
        <v>46105.1202294213</v>
      </c>
      <c r="G1035" s="3">
        <v>46105</v>
      </c>
      <c r="H1035" t="s">
        <v>28</v>
      </c>
      <c r="I1035">
        <v>2</v>
      </c>
    </row>
    <row r="1036" spans="1:9" x14ac:dyDescent="0.2">
      <c r="A1036" s="16" t="s">
        <v>1297</v>
      </c>
      <c r="B1036" s="16" t="s">
        <v>10</v>
      </c>
      <c r="C1036" s="2">
        <v>46105.420724675925</v>
      </c>
      <c r="D1036">
        <v>531</v>
      </c>
      <c r="E1036" s="7" t="s">
        <v>275</v>
      </c>
      <c r="F1036" s="2">
        <v>46105.129058009261</v>
      </c>
      <c r="G1036" s="3">
        <v>46105</v>
      </c>
      <c r="H1036" t="s">
        <v>28</v>
      </c>
      <c r="I1036">
        <v>3</v>
      </c>
    </row>
    <row r="1037" spans="1:9" x14ac:dyDescent="0.2">
      <c r="A1037" s="16" t="s">
        <v>1298</v>
      </c>
      <c r="B1037" s="16" t="s">
        <v>10</v>
      </c>
      <c r="C1037" s="2">
        <v>46105.423109895833</v>
      </c>
      <c r="D1037">
        <v>1</v>
      </c>
      <c r="F1037" s="2">
        <v>46105.131443229169</v>
      </c>
      <c r="G1037" s="3">
        <v>46105</v>
      </c>
      <c r="H1037" t="s">
        <v>28</v>
      </c>
      <c r="I1037">
        <v>3</v>
      </c>
    </row>
    <row r="1038" spans="1:9" x14ac:dyDescent="0.2">
      <c r="A1038" s="16" t="s">
        <v>1299</v>
      </c>
      <c r="B1038" s="16" t="s">
        <v>10</v>
      </c>
      <c r="C1038" s="2">
        <v>46105.450344039353</v>
      </c>
      <c r="D1038">
        <v>575</v>
      </c>
      <c r="F1038" s="2">
        <v>46105.158677372689</v>
      </c>
      <c r="G1038" s="3">
        <v>46105</v>
      </c>
      <c r="H1038" t="s">
        <v>28</v>
      </c>
      <c r="I1038">
        <v>3</v>
      </c>
    </row>
    <row r="1039" spans="1:9" x14ac:dyDescent="0.2">
      <c r="A1039" s="16" t="s">
        <v>1300</v>
      </c>
      <c r="B1039" s="16" t="s">
        <v>10</v>
      </c>
      <c r="C1039" s="2">
        <v>46105.451446122686</v>
      </c>
      <c r="D1039">
        <v>3</v>
      </c>
      <c r="F1039" s="2">
        <v>46105.159779456022</v>
      </c>
      <c r="G1039" s="3">
        <v>46105</v>
      </c>
      <c r="H1039" t="s">
        <v>28</v>
      </c>
      <c r="I1039">
        <v>3</v>
      </c>
    </row>
    <row r="1040" spans="1:9" x14ac:dyDescent="0.2">
      <c r="A1040" s="16" t="s">
        <v>1301</v>
      </c>
      <c r="B1040" s="16" t="s">
        <v>10</v>
      </c>
      <c r="C1040" s="2">
        <v>46105.453006597221</v>
      </c>
      <c r="D1040">
        <v>3</v>
      </c>
      <c r="E1040" s="7" t="s">
        <v>1302</v>
      </c>
      <c r="F1040" s="2">
        <v>46105.161339930557</v>
      </c>
      <c r="G1040" s="3">
        <v>46105</v>
      </c>
      <c r="H1040" t="s">
        <v>28</v>
      </c>
      <c r="I1040">
        <v>3</v>
      </c>
    </row>
    <row r="1041" spans="1:9" x14ac:dyDescent="0.2">
      <c r="A1041" s="16" t="s">
        <v>1303</v>
      </c>
      <c r="B1041" s="16" t="s">
        <v>10</v>
      </c>
      <c r="C1041" s="2">
        <v>46105.463571932873</v>
      </c>
      <c r="D1041">
        <v>575</v>
      </c>
      <c r="E1041" s="7" t="s">
        <v>89</v>
      </c>
      <c r="F1041" s="2">
        <v>46105.171905266201</v>
      </c>
      <c r="G1041" s="3">
        <v>46105</v>
      </c>
      <c r="H1041" t="s">
        <v>28</v>
      </c>
      <c r="I1041">
        <v>4</v>
      </c>
    </row>
    <row r="1042" spans="1:9" x14ac:dyDescent="0.2">
      <c r="A1042" s="16" t="s">
        <v>1304</v>
      </c>
      <c r="B1042" s="16" t="s">
        <v>10</v>
      </c>
      <c r="C1042" s="2">
        <v>46105.463603078701</v>
      </c>
      <c r="D1042">
        <v>3</v>
      </c>
      <c r="F1042" s="2">
        <v>46105.171936412036</v>
      </c>
      <c r="G1042" s="3">
        <v>46105</v>
      </c>
      <c r="H1042" t="s">
        <v>28</v>
      </c>
      <c r="I1042">
        <v>4</v>
      </c>
    </row>
    <row r="1043" spans="1:9" x14ac:dyDescent="0.2">
      <c r="A1043" s="16" t="s">
        <v>1305</v>
      </c>
      <c r="B1043" s="16" t="s">
        <v>10</v>
      </c>
      <c r="C1043" s="2">
        <v>46105.496175057873</v>
      </c>
      <c r="D1043">
        <v>35</v>
      </c>
      <c r="F1043" s="2">
        <v>46105.204508391202</v>
      </c>
      <c r="G1043" s="3">
        <v>46105</v>
      </c>
      <c r="H1043" t="s">
        <v>28</v>
      </c>
      <c r="I1043">
        <v>4</v>
      </c>
    </row>
    <row r="1044" spans="1:9" x14ac:dyDescent="0.2">
      <c r="A1044" s="16" t="s">
        <v>1306</v>
      </c>
      <c r="B1044" s="16" t="s">
        <v>10</v>
      </c>
      <c r="C1044" s="2">
        <v>46105.499283819445</v>
      </c>
      <c r="D1044">
        <v>531</v>
      </c>
      <c r="E1044" s="7" t="s">
        <v>34</v>
      </c>
      <c r="F1044" s="2">
        <v>46105.207617152781</v>
      </c>
      <c r="G1044" s="3">
        <v>46105</v>
      </c>
      <c r="H1044" t="s">
        <v>28</v>
      </c>
      <c r="I1044">
        <v>4</v>
      </c>
    </row>
    <row r="1045" spans="1:9" x14ac:dyDescent="0.2">
      <c r="A1045" s="16" t="s">
        <v>1307</v>
      </c>
      <c r="B1045" s="16" t="s">
        <v>10</v>
      </c>
      <c r="C1045" s="2">
        <v>46105.501609930558</v>
      </c>
      <c r="D1045">
        <v>575</v>
      </c>
      <c r="E1045" s="7" t="s">
        <v>34</v>
      </c>
      <c r="F1045" s="2">
        <v>46105.209943263886</v>
      </c>
      <c r="G1045" s="3">
        <v>46105</v>
      </c>
      <c r="H1045" t="s">
        <v>28</v>
      </c>
      <c r="I1045">
        <v>5</v>
      </c>
    </row>
    <row r="1046" spans="1:9" x14ac:dyDescent="0.2">
      <c r="A1046" s="16" t="s">
        <v>1308</v>
      </c>
      <c r="B1046" s="16" t="s">
        <v>10</v>
      </c>
      <c r="C1046" s="2">
        <v>46105.525591666665</v>
      </c>
      <c r="D1046">
        <v>3</v>
      </c>
      <c r="F1046" s="2">
        <v>46105.233925</v>
      </c>
      <c r="G1046" s="3">
        <v>46105</v>
      </c>
      <c r="H1046" t="s">
        <v>28</v>
      </c>
      <c r="I1046">
        <v>5</v>
      </c>
    </row>
    <row r="1047" spans="1:9" x14ac:dyDescent="0.2">
      <c r="A1047" s="16" t="s">
        <v>1309</v>
      </c>
      <c r="B1047" s="16" t="s">
        <v>10</v>
      </c>
      <c r="C1047" s="2">
        <v>46105.543075069443</v>
      </c>
      <c r="D1047">
        <v>575</v>
      </c>
      <c r="E1047" s="7" t="s">
        <v>89</v>
      </c>
      <c r="F1047" s="2">
        <v>46105.251408402779</v>
      </c>
      <c r="G1047" s="3">
        <v>46105</v>
      </c>
      <c r="H1047" t="s">
        <v>28</v>
      </c>
      <c r="I1047">
        <v>6</v>
      </c>
    </row>
    <row r="1048" spans="1:9" x14ac:dyDescent="0.2">
      <c r="A1048" s="16" t="s">
        <v>1310</v>
      </c>
      <c r="B1048" s="16" t="s">
        <v>10</v>
      </c>
      <c r="C1048" s="2">
        <v>46105.543702442126</v>
      </c>
      <c r="D1048">
        <v>575</v>
      </c>
      <c r="F1048" s="2">
        <v>46105.252035775462</v>
      </c>
      <c r="G1048" s="3">
        <v>46105</v>
      </c>
      <c r="H1048" t="s">
        <v>28</v>
      </c>
      <c r="I1048">
        <v>6</v>
      </c>
    </row>
    <row r="1049" spans="1:9" x14ac:dyDescent="0.2">
      <c r="A1049" s="16" t="s">
        <v>1311</v>
      </c>
      <c r="B1049" s="16" t="s">
        <v>10</v>
      </c>
      <c r="C1049" s="2">
        <v>46105.57983263889</v>
      </c>
      <c r="D1049">
        <v>3</v>
      </c>
      <c r="F1049" s="2">
        <v>46105.288165972219</v>
      </c>
      <c r="G1049" s="3">
        <v>46105</v>
      </c>
      <c r="H1049" t="s">
        <v>28</v>
      </c>
      <c r="I1049">
        <v>6</v>
      </c>
    </row>
    <row r="1050" spans="1:9" x14ac:dyDescent="0.2">
      <c r="A1050" s="16" t="s">
        <v>1312</v>
      </c>
      <c r="B1050" s="16" t="s">
        <v>10</v>
      </c>
      <c r="C1050" s="2">
        <v>46105.593718263888</v>
      </c>
      <c r="D1050">
        <v>2</v>
      </c>
      <c r="F1050" s="2">
        <v>46105.302051597224</v>
      </c>
      <c r="G1050" s="3">
        <v>46105</v>
      </c>
      <c r="H1050" t="s">
        <v>28</v>
      </c>
      <c r="I1050">
        <v>7</v>
      </c>
    </row>
    <row r="1051" spans="1:9" x14ac:dyDescent="0.2">
      <c r="A1051" s="16" t="s">
        <v>1313</v>
      </c>
      <c r="B1051" s="16" t="s">
        <v>10</v>
      </c>
      <c r="C1051" s="2">
        <v>46105.646764155092</v>
      </c>
      <c r="D1051">
        <v>5</v>
      </c>
      <c r="E1051" s="7" t="s">
        <v>709</v>
      </c>
      <c r="F1051" s="2">
        <v>46105.355097488427</v>
      </c>
      <c r="G1051" s="3">
        <v>46105</v>
      </c>
      <c r="H1051" t="s">
        <v>28</v>
      </c>
      <c r="I1051">
        <v>8</v>
      </c>
    </row>
    <row r="1052" spans="1:9" x14ac:dyDescent="0.2">
      <c r="A1052" s="16" t="s">
        <v>1314</v>
      </c>
      <c r="B1052" s="16" t="s">
        <v>10</v>
      </c>
      <c r="C1052" s="2">
        <v>46105.668830185183</v>
      </c>
      <c r="D1052">
        <v>3</v>
      </c>
      <c r="F1052" s="2">
        <v>46105.377163518519</v>
      </c>
      <c r="G1052" s="3">
        <v>46105</v>
      </c>
      <c r="H1052" t="s">
        <v>28</v>
      </c>
      <c r="I1052">
        <v>9</v>
      </c>
    </row>
    <row r="1053" spans="1:9" x14ac:dyDescent="0.2">
      <c r="A1053" s="16" t="s">
        <v>1319</v>
      </c>
      <c r="B1053" s="16" t="s">
        <v>10</v>
      </c>
      <c r="C1053" s="2">
        <v>46105.711148796297</v>
      </c>
      <c r="D1053">
        <v>575</v>
      </c>
      <c r="E1053" s="7" t="s">
        <v>89</v>
      </c>
      <c r="F1053" s="2">
        <v>46105.419482129633</v>
      </c>
      <c r="G1053" s="3">
        <v>46105</v>
      </c>
      <c r="H1053" t="s">
        <v>28</v>
      </c>
      <c r="I1053">
        <v>10</v>
      </c>
    </row>
    <row r="1054" spans="1:9" x14ac:dyDescent="0.2">
      <c r="A1054" s="16" t="s">
        <v>1320</v>
      </c>
      <c r="B1054" s="16" t="s">
        <v>10</v>
      </c>
      <c r="C1054" s="2">
        <v>46105.88569422454</v>
      </c>
      <c r="D1054">
        <v>531</v>
      </c>
      <c r="E1054" s="7" t="s">
        <v>709</v>
      </c>
      <c r="F1054" s="2">
        <v>46105.594027557869</v>
      </c>
      <c r="G1054" s="3">
        <v>46105</v>
      </c>
      <c r="H1054" t="s">
        <v>28</v>
      </c>
      <c r="I1054">
        <v>14</v>
      </c>
    </row>
    <row r="1055" spans="1:9" x14ac:dyDescent="0.2">
      <c r="A1055" s="16" t="s">
        <v>1321</v>
      </c>
      <c r="B1055" s="16" t="s">
        <v>10</v>
      </c>
      <c r="C1055" s="2">
        <v>46105.887712118056</v>
      </c>
      <c r="D1055">
        <v>3</v>
      </c>
      <c r="F1055" s="2">
        <v>46105.596045451392</v>
      </c>
      <c r="G1055" s="3">
        <v>46105</v>
      </c>
      <c r="H1055" t="s">
        <v>28</v>
      </c>
      <c r="I1055">
        <v>14</v>
      </c>
    </row>
    <row r="1056" spans="1:9" x14ac:dyDescent="0.2">
      <c r="A1056" s="16" t="s">
        <v>1322</v>
      </c>
      <c r="B1056" s="16" t="s">
        <v>10</v>
      </c>
      <c r="C1056" s="2">
        <v>46105.887809548614</v>
      </c>
      <c r="D1056">
        <v>3</v>
      </c>
      <c r="E1056" s="7" t="s">
        <v>60</v>
      </c>
      <c r="F1056" s="2">
        <v>46105.596142881943</v>
      </c>
      <c r="G1056" s="3">
        <v>46105</v>
      </c>
      <c r="H1056" t="s">
        <v>28</v>
      </c>
      <c r="I1056">
        <v>14</v>
      </c>
    </row>
    <row r="1057" spans="1:9" x14ac:dyDescent="0.2">
      <c r="A1057" s="16" t="s">
        <v>1323</v>
      </c>
      <c r="B1057" s="16" t="s">
        <v>10</v>
      </c>
      <c r="C1057" s="2">
        <v>46105.904056874999</v>
      </c>
      <c r="D1057">
        <v>531</v>
      </c>
      <c r="F1057" s="2">
        <v>46105.612390208335</v>
      </c>
      <c r="G1057" s="3">
        <v>46105</v>
      </c>
      <c r="H1057" t="s">
        <v>28</v>
      </c>
      <c r="I1057">
        <v>14</v>
      </c>
    </row>
    <row r="1058" spans="1:9" x14ac:dyDescent="0.2">
      <c r="A1058" s="16" t="s">
        <v>1324</v>
      </c>
      <c r="B1058" s="16" t="s">
        <v>10</v>
      </c>
      <c r="C1058" s="2">
        <v>46105.919936840277</v>
      </c>
      <c r="D1058">
        <v>531</v>
      </c>
      <c r="E1058" s="7" t="s">
        <v>709</v>
      </c>
      <c r="F1058" s="2">
        <v>46105.628270173613</v>
      </c>
      <c r="G1058" s="3">
        <v>46105</v>
      </c>
      <c r="H1058" t="s">
        <v>28</v>
      </c>
      <c r="I1058">
        <v>15</v>
      </c>
    </row>
    <row r="1059" spans="1:9" x14ac:dyDescent="0.2">
      <c r="A1059" s="16" t="s">
        <v>1325</v>
      </c>
      <c r="B1059" s="16" t="s">
        <v>10</v>
      </c>
      <c r="C1059" s="2">
        <v>46105.964968773151</v>
      </c>
      <c r="D1059">
        <v>531</v>
      </c>
      <c r="E1059" s="7" t="s">
        <v>709</v>
      </c>
      <c r="F1059" s="2">
        <v>46105.673302106479</v>
      </c>
      <c r="G1059" s="3">
        <v>46105</v>
      </c>
      <c r="H1059" t="s">
        <v>28</v>
      </c>
      <c r="I1059">
        <v>16</v>
      </c>
    </row>
    <row r="1060" spans="1:9" x14ac:dyDescent="0.2">
      <c r="A1060" s="16" t="s">
        <v>1326</v>
      </c>
      <c r="B1060" s="16" t="s">
        <v>10</v>
      </c>
      <c r="C1060" s="2">
        <v>46106.033690856479</v>
      </c>
      <c r="D1060">
        <v>531</v>
      </c>
      <c r="E1060" s="7" t="s">
        <v>709</v>
      </c>
      <c r="F1060" s="2">
        <v>46105.742024189814</v>
      </c>
      <c r="G1060" s="3">
        <v>46105</v>
      </c>
      <c r="H1060" t="s">
        <v>28</v>
      </c>
      <c r="I1060">
        <v>17</v>
      </c>
    </row>
    <row r="1061" spans="1:9" x14ac:dyDescent="0.2">
      <c r="A1061" s="16" t="s">
        <v>1327</v>
      </c>
      <c r="B1061" s="16" t="s">
        <v>10</v>
      </c>
      <c r="C1061" s="2">
        <v>46106.084664988426</v>
      </c>
      <c r="D1061">
        <v>531</v>
      </c>
      <c r="E1061" s="7" t="s">
        <v>709</v>
      </c>
      <c r="F1061" s="2">
        <v>46105.792998321762</v>
      </c>
      <c r="G1061" s="3">
        <v>46105</v>
      </c>
      <c r="H1061" t="s">
        <v>28</v>
      </c>
      <c r="I1061">
        <v>19</v>
      </c>
    </row>
    <row r="1062" spans="1:9" x14ac:dyDescent="0.2">
      <c r="A1062" s="16" t="s">
        <v>1328</v>
      </c>
      <c r="B1062" s="16" t="s">
        <v>10</v>
      </c>
      <c r="C1062" s="2">
        <v>46106.32637516204</v>
      </c>
      <c r="D1062">
        <v>36</v>
      </c>
      <c r="F1062" s="2">
        <v>46106.034708495368</v>
      </c>
      <c r="G1062" s="3">
        <v>46106</v>
      </c>
      <c r="H1062" t="s">
        <v>63</v>
      </c>
      <c r="I1062">
        <v>0</v>
      </c>
    </row>
    <row r="1063" spans="1:9" x14ac:dyDescent="0.2">
      <c r="A1063" s="16" t="s">
        <v>1329</v>
      </c>
      <c r="B1063" s="16" t="s">
        <v>10</v>
      </c>
      <c r="C1063" s="2">
        <v>46106.330663182867</v>
      </c>
      <c r="D1063">
        <v>3</v>
      </c>
      <c r="E1063" s="7" t="s">
        <v>1115</v>
      </c>
      <c r="F1063" s="2">
        <v>46106.038996516203</v>
      </c>
      <c r="G1063" s="3">
        <v>46106</v>
      </c>
      <c r="H1063" t="s">
        <v>63</v>
      </c>
      <c r="I1063">
        <v>0</v>
      </c>
    </row>
    <row r="1064" spans="1:9" x14ac:dyDescent="0.2">
      <c r="A1064" s="16" t="s">
        <v>1330</v>
      </c>
      <c r="B1064" s="16" t="s">
        <v>10</v>
      </c>
      <c r="C1064" s="2">
        <v>46106.33376134259</v>
      </c>
      <c r="D1064">
        <v>3</v>
      </c>
      <c r="E1064" s="7" t="s">
        <v>1115</v>
      </c>
      <c r="F1064" s="2">
        <v>46106.042094675926</v>
      </c>
      <c r="G1064" s="3">
        <v>46106</v>
      </c>
      <c r="H1064" t="s">
        <v>63</v>
      </c>
      <c r="I1064">
        <v>1</v>
      </c>
    </row>
    <row r="1065" spans="1:9" x14ac:dyDescent="0.2">
      <c r="A1065" s="16" t="s">
        <v>1331</v>
      </c>
      <c r="B1065" s="16" t="s">
        <v>10</v>
      </c>
      <c r="C1065" s="2">
        <v>46106.354134108798</v>
      </c>
      <c r="D1065">
        <v>36</v>
      </c>
      <c r="F1065" s="2">
        <v>46106.062467442127</v>
      </c>
      <c r="G1065" s="3">
        <v>46106</v>
      </c>
      <c r="H1065" t="s">
        <v>63</v>
      </c>
      <c r="I1065">
        <v>1</v>
      </c>
    </row>
    <row r="1066" spans="1:9" x14ac:dyDescent="0.2">
      <c r="A1066" s="16" t="s">
        <v>1332</v>
      </c>
      <c r="B1066" s="16" t="s">
        <v>10</v>
      </c>
      <c r="C1066" s="2">
        <v>46106.449750266205</v>
      </c>
      <c r="D1066">
        <v>36</v>
      </c>
      <c r="F1066" s="2">
        <v>46106.158083599534</v>
      </c>
      <c r="G1066" s="3">
        <v>46106</v>
      </c>
      <c r="H1066" t="s">
        <v>63</v>
      </c>
      <c r="I1066">
        <v>3</v>
      </c>
    </row>
    <row r="1067" spans="1:9" x14ac:dyDescent="0.2">
      <c r="A1067" s="16" t="s">
        <v>1333</v>
      </c>
      <c r="B1067" s="16" t="s">
        <v>10</v>
      </c>
      <c r="C1067" s="2">
        <v>46106.468030787037</v>
      </c>
      <c r="D1067">
        <v>2</v>
      </c>
      <c r="E1067" s="7" t="s">
        <v>1334</v>
      </c>
      <c r="F1067" s="2">
        <v>46106.176364120372</v>
      </c>
      <c r="G1067" s="3">
        <v>46106</v>
      </c>
      <c r="H1067" t="s">
        <v>63</v>
      </c>
      <c r="I1067">
        <v>4</v>
      </c>
    </row>
    <row r="1068" spans="1:9" x14ac:dyDescent="0.2">
      <c r="A1068" s="16" t="s">
        <v>1335</v>
      </c>
      <c r="B1068" s="16" t="s">
        <v>10</v>
      </c>
      <c r="C1068" s="2">
        <v>46106.47683796296</v>
      </c>
      <c r="D1068">
        <v>593</v>
      </c>
      <c r="F1068" s="2">
        <v>46106.185171296296</v>
      </c>
      <c r="G1068" s="3">
        <v>46106</v>
      </c>
      <c r="H1068" t="s">
        <v>63</v>
      </c>
      <c r="I1068">
        <v>4</v>
      </c>
    </row>
    <row r="1069" spans="1:9" x14ac:dyDescent="0.2">
      <c r="A1069" s="16" t="s">
        <v>1336</v>
      </c>
      <c r="B1069" s="16" t="s">
        <v>10</v>
      </c>
      <c r="C1069" s="2">
        <v>46106.518391724538</v>
      </c>
      <c r="D1069">
        <v>36</v>
      </c>
      <c r="F1069" s="2">
        <v>46106.226725057873</v>
      </c>
      <c r="G1069" s="3">
        <v>46106</v>
      </c>
      <c r="H1069" t="s">
        <v>63</v>
      </c>
      <c r="I1069">
        <v>5</v>
      </c>
    </row>
    <row r="1070" spans="1:9" x14ac:dyDescent="0.2">
      <c r="A1070" s="16" t="s">
        <v>1337</v>
      </c>
      <c r="B1070" s="16" t="s">
        <v>10</v>
      </c>
      <c r="C1070" s="2">
        <v>46106.571522129627</v>
      </c>
      <c r="D1070">
        <v>3</v>
      </c>
      <c r="F1070" s="2">
        <v>46106.279855462963</v>
      </c>
      <c r="G1070" s="3">
        <v>46106</v>
      </c>
      <c r="H1070" t="s">
        <v>63</v>
      </c>
      <c r="I1070">
        <v>6</v>
      </c>
    </row>
    <row r="1071" spans="1:9" x14ac:dyDescent="0.2">
      <c r="A1071" s="16" t="s">
        <v>1338</v>
      </c>
      <c r="B1071" s="16" t="s">
        <v>10</v>
      </c>
      <c r="C1071" s="2">
        <v>46106.625753472224</v>
      </c>
      <c r="D1071">
        <v>3</v>
      </c>
      <c r="E1071" s="7" t="s">
        <v>709</v>
      </c>
      <c r="F1071" s="2">
        <v>46106.334086805553</v>
      </c>
      <c r="G1071" s="3">
        <v>46106</v>
      </c>
      <c r="H1071" t="s">
        <v>63</v>
      </c>
      <c r="I1071">
        <v>8</v>
      </c>
    </row>
    <row r="1072" spans="1:9" x14ac:dyDescent="0.2">
      <c r="A1072" s="16" t="s">
        <v>1339</v>
      </c>
      <c r="B1072" s="16" t="s">
        <v>10</v>
      </c>
      <c r="C1072" s="2">
        <v>46106.632238622682</v>
      </c>
      <c r="D1072">
        <v>575</v>
      </c>
      <c r="F1072" s="2">
        <v>46106.340571956018</v>
      </c>
      <c r="G1072" s="3">
        <v>46106</v>
      </c>
      <c r="H1072" t="s">
        <v>63</v>
      </c>
      <c r="I1072">
        <v>8</v>
      </c>
    </row>
    <row r="1073" spans="1:9" x14ac:dyDescent="0.2">
      <c r="A1073" s="16" t="s">
        <v>1340</v>
      </c>
      <c r="B1073" s="16" t="s">
        <v>10</v>
      </c>
      <c r="C1073" s="2">
        <v>46106.680528912038</v>
      </c>
      <c r="D1073">
        <v>531</v>
      </c>
      <c r="E1073" s="7" t="s">
        <v>89</v>
      </c>
      <c r="F1073" s="2">
        <v>46106.388862245367</v>
      </c>
      <c r="G1073" s="3">
        <v>46106</v>
      </c>
      <c r="H1073" t="s">
        <v>63</v>
      </c>
      <c r="I1073">
        <v>9</v>
      </c>
    </row>
    <row r="1074" spans="1:9" x14ac:dyDescent="0.2">
      <c r="A1074" s="16" t="s">
        <v>1343</v>
      </c>
      <c r="B1074" s="16" t="s">
        <v>10</v>
      </c>
      <c r="C1074" s="2">
        <v>46106.705131053241</v>
      </c>
      <c r="D1074">
        <v>531</v>
      </c>
      <c r="E1074" s="7" t="s">
        <v>89</v>
      </c>
      <c r="F1074" s="2">
        <v>46106.413464386576</v>
      </c>
      <c r="G1074" s="3">
        <v>46106</v>
      </c>
      <c r="H1074" t="s">
        <v>63</v>
      </c>
      <c r="I1074">
        <v>9</v>
      </c>
    </row>
    <row r="1075" spans="1:9" x14ac:dyDescent="0.2">
      <c r="A1075" s="16" t="s">
        <v>1344</v>
      </c>
      <c r="B1075" s="16" t="s">
        <v>10</v>
      </c>
      <c r="C1075" s="2">
        <v>46106.712643171297</v>
      </c>
      <c r="D1075">
        <v>1</v>
      </c>
      <c r="E1075" s="7" t="s">
        <v>1115</v>
      </c>
      <c r="F1075" s="2">
        <v>46106.420976504633</v>
      </c>
      <c r="G1075" s="3">
        <v>46106</v>
      </c>
      <c r="H1075" t="s">
        <v>63</v>
      </c>
      <c r="I1075">
        <v>10</v>
      </c>
    </row>
    <row r="1076" spans="1:9" x14ac:dyDescent="0.2">
      <c r="A1076" s="16" t="s">
        <v>1345</v>
      </c>
      <c r="B1076" s="16" t="s">
        <v>10</v>
      </c>
      <c r="C1076" s="2">
        <v>46106.717769606483</v>
      </c>
      <c r="D1076">
        <v>575</v>
      </c>
      <c r="E1076" s="7" t="s">
        <v>60</v>
      </c>
      <c r="F1076" s="2">
        <v>46106.426102939811</v>
      </c>
      <c r="G1076" s="3">
        <v>46106</v>
      </c>
      <c r="H1076" t="s">
        <v>63</v>
      </c>
      <c r="I1076">
        <v>10</v>
      </c>
    </row>
    <row r="1077" spans="1:9" x14ac:dyDescent="0.2">
      <c r="A1077" s="16" t="s">
        <v>1346</v>
      </c>
      <c r="B1077" s="16" t="s">
        <v>10</v>
      </c>
      <c r="C1077" s="2">
        <v>46106.723203182868</v>
      </c>
      <c r="D1077">
        <v>531</v>
      </c>
      <c r="E1077" s="7" t="s">
        <v>89</v>
      </c>
      <c r="F1077" s="2">
        <v>46106.431536516204</v>
      </c>
      <c r="G1077" s="3">
        <v>46106</v>
      </c>
      <c r="H1077" t="s">
        <v>63</v>
      </c>
      <c r="I1077">
        <v>10</v>
      </c>
    </row>
    <row r="1078" spans="1:9" x14ac:dyDescent="0.2">
      <c r="A1078" s="16" t="s">
        <v>1347</v>
      </c>
      <c r="B1078" s="16" t="s">
        <v>10</v>
      </c>
      <c r="C1078" s="2">
        <v>46106.95060275463</v>
      </c>
      <c r="D1078">
        <v>3</v>
      </c>
      <c r="E1078" s="7" t="s">
        <v>60</v>
      </c>
      <c r="F1078" s="2">
        <v>46106.658936087966</v>
      </c>
      <c r="G1078" s="3">
        <v>46106</v>
      </c>
      <c r="H1078" t="s">
        <v>63</v>
      </c>
      <c r="I1078">
        <v>15</v>
      </c>
    </row>
    <row r="1079" spans="1:9" x14ac:dyDescent="0.2">
      <c r="A1079" s="16" t="s">
        <v>1348</v>
      </c>
      <c r="B1079" s="16" t="s">
        <v>10</v>
      </c>
      <c r="C1079" s="2">
        <v>46106.954307835651</v>
      </c>
      <c r="D1079">
        <v>531</v>
      </c>
      <c r="F1079" s="2">
        <v>46106.662641168979</v>
      </c>
      <c r="G1079" s="3">
        <v>46106</v>
      </c>
      <c r="H1079" t="s">
        <v>63</v>
      </c>
      <c r="I1079">
        <v>15</v>
      </c>
    </row>
    <row r="1080" spans="1:9" x14ac:dyDescent="0.2">
      <c r="A1080" s="16" t="s">
        <v>1349</v>
      </c>
      <c r="B1080" s="16" t="s">
        <v>10</v>
      </c>
      <c r="C1080" s="2">
        <v>46106.961066261574</v>
      </c>
      <c r="D1080">
        <v>4</v>
      </c>
      <c r="E1080" s="7" t="s">
        <v>60</v>
      </c>
      <c r="F1080" s="2">
        <v>46106.66939959491</v>
      </c>
      <c r="G1080" s="3">
        <v>46106</v>
      </c>
      <c r="H1080" t="s">
        <v>63</v>
      </c>
      <c r="I1080">
        <v>16</v>
      </c>
    </row>
    <row r="1081" spans="1:9" x14ac:dyDescent="0.2">
      <c r="A1081" s="16" t="s">
        <v>1350</v>
      </c>
      <c r="B1081" s="16" t="s">
        <v>10</v>
      </c>
      <c r="C1081" s="2">
        <v>46107.292439745368</v>
      </c>
      <c r="D1081">
        <v>891</v>
      </c>
      <c r="F1081" s="2">
        <v>46107.000773078704</v>
      </c>
      <c r="G1081" s="3">
        <v>46107</v>
      </c>
      <c r="H1081" t="s">
        <v>95</v>
      </c>
      <c r="I1081">
        <v>0</v>
      </c>
    </row>
    <row r="1082" spans="1:9" x14ac:dyDescent="0.2">
      <c r="A1082" s="16" t="s">
        <v>1351</v>
      </c>
      <c r="B1082" s="16" t="s">
        <v>10</v>
      </c>
      <c r="C1082" s="2">
        <v>46107.39035115741</v>
      </c>
      <c r="D1082">
        <v>1</v>
      </c>
      <c r="E1082" s="7" t="s">
        <v>1115</v>
      </c>
      <c r="F1082" s="2">
        <v>46107.098684490738</v>
      </c>
      <c r="G1082" s="3">
        <v>46107</v>
      </c>
      <c r="H1082" t="s">
        <v>95</v>
      </c>
      <c r="I1082">
        <v>2</v>
      </c>
    </row>
    <row r="1083" spans="1:9" x14ac:dyDescent="0.2">
      <c r="A1083" s="16" t="s">
        <v>1352</v>
      </c>
      <c r="B1083" s="16" t="s">
        <v>10</v>
      </c>
      <c r="C1083" s="2">
        <v>46107.44612310185</v>
      </c>
      <c r="D1083">
        <v>3</v>
      </c>
      <c r="F1083" s="2">
        <v>46107.154456435186</v>
      </c>
      <c r="G1083" s="3">
        <v>46107</v>
      </c>
      <c r="H1083" t="s">
        <v>95</v>
      </c>
      <c r="I1083">
        <v>3</v>
      </c>
    </row>
    <row r="1084" spans="1:9" x14ac:dyDescent="0.2">
      <c r="A1084" s="16" t="s">
        <v>1353</v>
      </c>
      <c r="B1084" s="16" t="s">
        <v>10</v>
      </c>
      <c r="C1084" s="2">
        <v>46107.460546840281</v>
      </c>
      <c r="D1084">
        <v>3</v>
      </c>
      <c r="F1084" s="2">
        <v>46107.168880173609</v>
      </c>
      <c r="G1084" s="3">
        <v>46107</v>
      </c>
      <c r="H1084" t="s">
        <v>95</v>
      </c>
      <c r="I1084">
        <v>4</v>
      </c>
    </row>
    <row r="1085" spans="1:9" x14ac:dyDescent="0.2">
      <c r="A1085" s="16" t="s">
        <v>1354</v>
      </c>
      <c r="B1085" s="16" t="s">
        <v>10</v>
      </c>
      <c r="C1085" s="2">
        <v>46107.500777997688</v>
      </c>
      <c r="D1085">
        <v>1</v>
      </c>
      <c r="F1085" s="2">
        <v>46107.209111331016</v>
      </c>
      <c r="G1085" s="3">
        <v>46107</v>
      </c>
      <c r="H1085" t="s">
        <v>95</v>
      </c>
      <c r="I1085">
        <v>5</v>
      </c>
    </row>
    <row r="1086" spans="1:9" x14ac:dyDescent="0.2">
      <c r="A1086" s="16" t="s">
        <v>1355</v>
      </c>
      <c r="B1086" s="16" t="s">
        <v>10</v>
      </c>
      <c r="C1086" s="2">
        <v>46107.510817025461</v>
      </c>
      <c r="D1086">
        <v>891</v>
      </c>
      <c r="F1086" s="2">
        <v>46107.219150358796</v>
      </c>
      <c r="G1086" s="3">
        <v>46107</v>
      </c>
      <c r="H1086" t="s">
        <v>95</v>
      </c>
      <c r="I1086">
        <v>5</v>
      </c>
    </row>
    <row r="1087" spans="1:9" x14ac:dyDescent="0.2">
      <c r="A1087" s="16" t="s">
        <v>1356</v>
      </c>
      <c r="B1087" s="16" t="s">
        <v>10</v>
      </c>
      <c r="C1087" s="2">
        <v>46107.575537546298</v>
      </c>
      <c r="D1087">
        <v>531</v>
      </c>
      <c r="F1087" s="2">
        <v>46107.283870879626</v>
      </c>
      <c r="G1087" s="3">
        <v>46107</v>
      </c>
      <c r="H1087" t="s">
        <v>95</v>
      </c>
      <c r="I1087">
        <v>6</v>
      </c>
    </row>
    <row r="1088" spans="1:9" x14ac:dyDescent="0.2">
      <c r="A1088" s="16" t="s">
        <v>1357</v>
      </c>
      <c r="B1088" s="16" t="s">
        <v>10</v>
      </c>
      <c r="C1088" s="2">
        <v>46107.59436412037</v>
      </c>
      <c r="D1088">
        <v>575</v>
      </c>
      <c r="E1088" s="7" t="s">
        <v>582</v>
      </c>
      <c r="F1088" s="2">
        <v>46107.302697453706</v>
      </c>
      <c r="G1088" s="3">
        <v>46107</v>
      </c>
      <c r="H1088" t="s">
        <v>95</v>
      </c>
      <c r="I1088">
        <v>7</v>
      </c>
    </row>
    <row r="1089" spans="1:9" x14ac:dyDescent="0.2">
      <c r="A1089" s="16" t="s">
        <v>1358</v>
      </c>
      <c r="B1089" s="16" t="s">
        <v>10</v>
      </c>
      <c r="C1089" s="2">
        <v>46107.607034791668</v>
      </c>
      <c r="D1089">
        <v>3</v>
      </c>
      <c r="F1089" s="2">
        <v>46107.315368124997</v>
      </c>
      <c r="G1089" s="3">
        <v>46107</v>
      </c>
      <c r="H1089" t="s">
        <v>95</v>
      </c>
      <c r="I1089">
        <v>7</v>
      </c>
    </row>
    <row r="1090" spans="1:9" x14ac:dyDescent="0.2">
      <c r="A1090" s="16" t="s">
        <v>1359</v>
      </c>
      <c r="B1090" s="16" t="s">
        <v>10</v>
      </c>
      <c r="C1090" s="2">
        <v>46107.631538553243</v>
      </c>
      <c r="D1090">
        <v>531</v>
      </c>
      <c r="F1090" s="2">
        <v>46107.339871886572</v>
      </c>
      <c r="G1090" s="3">
        <v>46107</v>
      </c>
      <c r="H1090" t="s">
        <v>95</v>
      </c>
      <c r="I1090">
        <v>8</v>
      </c>
    </row>
    <row r="1091" spans="1:9" x14ac:dyDescent="0.2">
      <c r="A1091" s="16" t="s">
        <v>1360</v>
      </c>
      <c r="B1091" s="16" t="s">
        <v>10</v>
      </c>
      <c r="C1091" s="2">
        <v>46107.68575665509</v>
      </c>
      <c r="D1091">
        <v>891</v>
      </c>
      <c r="F1091" s="2">
        <v>46107.394089988426</v>
      </c>
      <c r="G1091" s="3">
        <v>46107</v>
      </c>
      <c r="H1091" t="s">
        <v>95</v>
      </c>
      <c r="I1091"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J84"/>
  <sheetViews>
    <sheetView tabSelected="1" workbookViewId="0"/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</cols>
  <sheetData>
    <row r="1" spans="1:10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</row>
    <row r="2" spans="1:10" x14ac:dyDescent="0.2">
      <c r="A2" s="2">
        <v>46108.583425925928</v>
      </c>
      <c r="B2">
        <v>1070</v>
      </c>
      <c r="C2">
        <v>1090</v>
      </c>
      <c r="D2">
        <v>20</v>
      </c>
      <c r="E2" s="3">
        <v>46087</v>
      </c>
      <c r="F2" s="3">
        <v>46107</v>
      </c>
      <c r="G2">
        <v>11</v>
      </c>
      <c r="H2">
        <v>55</v>
      </c>
      <c r="I2">
        <v>2</v>
      </c>
      <c r="J2" t="s">
        <v>1361</v>
      </c>
    </row>
    <row r="3" spans="1:10" x14ac:dyDescent="0.2">
      <c r="A3" s="2"/>
      <c r="E3" s="3"/>
      <c r="F3" s="3"/>
      <c r="J3" t="s">
        <v>1362</v>
      </c>
    </row>
    <row r="4" spans="1:10" x14ac:dyDescent="0.2">
      <c r="A4" s="2">
        <v>46108.375092592592</v>
      </c>
      <c r="B4">
        <v>1070</v>
      </c>
      <c r="C4">
        <v>1070</v>
      </c>
      <c r="D4">
        <v>0</v>
      </c>
      <c r="E4" s="3"/>
      <c r="F4" s="3"/>
      <c r="G4">
        <v>0</v>
      </c>
      <c r="H4">
        <v>0</v>
      </c>
      <c r="I4">
        <v>0</v>
      </c>
      <c r="J4" t="s">
        <v>1195</v>
      </c>
    </row>
    <row r="5" spans="1:10" x14ac:dyDescent="0.2">
      <c r="A5" s="2">
        <v>46107.583402777775</v>
      </c>
      <c r="B5">
        <v>1045</v>
      </c>
      <c r="C5">
        <v>1070</v>
      </c>
      <c r="D5">
        <v>25</v>
      </c>
      <c r="E5" s="3">
        <v>46090</v>
      </c>
      <c r="F5" s="3">
        <v>46106</v>
      </c>
      <c r="G5">
        <v>10</v>
      </c>
      <c r="H5">
        <v>40</v>
      </c>
      <c r="I5">
        <v>4</v>
      </c>
      <c r="J5" t="s">
        <v>1191</v>
      </c>
    </row>
    <row r="6" spans="1:10" x14ac:dyDescent="0.2">
      <c r="A6" s="2"/>
      <c r="E6" s="3"/>
      <c r="F6" s="3"/>
      <c r="J6" t="s">
        <v>1192</v>
      </c>
    </row>
    <row r="7" spans="1:10" x14ac:dyDescent="0.2">
      <c r="A7" s="2"/>
      <c r="E7" s="3"/>
      <c r="F7" s="3"/>
      <c r="J7" t="s">
        <v>1193</v>
      </c>
    </row>
    <row r="8" spans="1:10" x14ac:dyDescent="0.2">
      <c r="A8" s="2"/>
      <c r="E8" s="3"/>
      <c r="F8" s="3"/>
      <c r="J8" t="s">
        <v>1194</v>
      </c>
    </row>
    <row r="9" spans="1:10" x14ac:dyDescent="0.2">
      <c r="A9" s="2">
        <v>46107.375185185185</v>
      </c>
      <c r="B9">
        <v>1045</v>
      </c>
      <c r="C9">
        <v>1045</v>
      </c>
      <c r="D9">
        <v>0</v>
      </c>
      <c r="E9" s="3"/>
      <c r="F9" s="3"/>
      <c r="G9">
        <v>0</v>
      </c>
      <c r="H9">
        <v>0</v>
      </c>
      <c r="I9">
        <v>0</v>
      </c>
      <c r="J9" t="s">
        <v>1195</v>
      </c>
    </row>
    <row r="10" spans="1:10" x14ac:dyDescent="0.2">
      <c r="A10" s="2">
        <v>46106.583541666667</v>
      </c>
      <c r="B10">
        <v>1008</v>
      </c>
      <c r="C10">
        <v>1045</v>
      </c>
      <c r="D10">
        <v>37</v>
      </c>
      <c r="E10" s="3">
        <v>46078</v>
      </c>
      <c r="F10" s="3">
        <v>46105</v>
      </c>
      <c r="G10">
        <v>18</v>
      </c>
      <c r="H10">
        <v>48.6</v>
      </c>
      <c r="I10">
        <v>3</v>
      </c>
      <c r="J10" t="s">
        <v>1196</v>
      </c>
    </row>
    <row r="11" spans="1:10" x14ac:dyDescent="0.2">
      <c r="A11" s="2"/>
      <c r="E11" s="3"/>
      <c r="F11" s="3"/>
      <c r="J11" t="s">
        <v>1197</v>
      </c>
    </row>
    <row r="12" spans="1:10" x14ac:dyDescent="0.2">
      <c r="A12" s="2"/>
      <c r="E12" s="3"/>
      <c r="F12" s="3"/>
      <c r="J12" t="s">
        <v>1198</v>
      </c>
    </row>
    <row r="13" spans="1:10" x14ac:dyDescent="0.2">
      <c r="A13" s="2">
        <v>46106.3753125</v>
      </c>
      <c r="B13">
        <v>1008</v>
      </c>
      <c r="C13">
        <v>1008</v>
      </c>
      <c r="D13">
        <v>0</v>
      </c>
      <c r="E13" s="3"/>
      <c r="F13" s="3"/>
      <c r="G13">
        <v>0</v>
      </c>
      <c r="H13">
        <v>0</v>
      </c>
      <c r="I13">
        <v>0</v>
      </c>
      <c r="J13" t="s">
        <v>1195</v>
      </c>
    </row>
    <row r="14" spans="1:10" x14ac:dyDescent="0.2">
      <c r="A14" s="2">
        <v>46105.770162037035</v>
      </c>
      <c r="B14">
        <v>994</v>
      </c>
      <c r="C14">
        <v>1008</v>
      </c>
      <c r="D14">
        <v>14</v>
      </c>
      <c r="E14" s="3">
        <v>46076</v>
      </c>
      <c r="F14" s="3">
        <v>46104</v>
      </c>
      <c r="G14">
        <v>11</v>
      </c>
      <c r="H14">
        <v>78.599999999999994</v>
      </c>
      <c r="I14">
        <v>6</v>
      </c>
      <c r="J14" t="s">
        <v>1199</v>
      </c>
    </row>
    <row r="15" spans="1:10" x14ac:dyDescent="0.2">
      <c r="A15" s="2"/>
      <c r="E15" s="3"/>
      <c r="F15" s="3"/>
      <c r="J15" t="s">
        <v>1200</v>
      </c>
    </row>
    <row r="16" spans="1:10" x14ac:dyDescent="0.2">
      <c r="A16" s="2"/>
      <c r="E16" s="3"/>
      <c r="F16" s="3"/>
      <c r="J16" t="s">
        <v>1201</v>
      </c>
    </row>
    <row r="17" spans="1:10" x14ac:dyDescent="0.2">
      <c r="A17" s="2"/>
      <c r="E17" s="3"/>
      <c r="F17" s="3"/>
      <c r="J17" t="s">
        <v>1202</v>
      </c>
    </row>
    <row r="18" spans="1:10" x14ac:dyDescent="0.2">
      <c r="A18" s="2"/>
      <c r="E18" s="3"/>
      <c r="F18" s="3"/>
      <c r="J18" t="s">
        <v>1203</v>
      </c>
    </row>
    <row r="19" spans="1:10" x14ac:dyDescent="0.2">
      <c r="A19" s="2"/>
      <c r="E19" s="3"/>
      <c r="F19" s="3"/>
      <c r="J19" t="s">
        <v>1204</v>
      </c>
    </row>
    <row r="20" spans="1:10" x14ac:dyDescent="0.2">
      <c r="A20" s="2">
        <v>46105.375185185185</v>
      </c>
      <c r="B20">
        <v>994</v>
      </c>
      <c r="C20">
        <v>994</v>
      </c>
      <c r="D20">
        <v>0</v>
      </c>
      <c r="E20" s="3"/>
      <c r="F20" s="3"/>
      <c r="G20">
        <v>0</v>
      </c>
      <c r="H20">
        <v>0</v>
      </c>
      <c r="I20">
        <v>0</v>
      </c>
      <c r="J20" t="s">
        <v>1195</v>
      </c>
    </row>
    <row r="21" spans="1:10" x14ac:dyDescent="0.2">
      <c r="A21" s="2">
        <v>46104.583333333336</v>
      </c>
      <c r="B21">
        <v>967</v>
      </c>
      <c r="C21">
        <v>994</v>
      </c>
      <c r="D21">
        <v>27</v>
      </c>
      <c r="E21" s="3">
        <v>46076</v>
      </c>
      <c r="F21" s="3">
        <v>46103</v>
      </c>
      <c r="G21">
        <v>13</v>
      </c>
      <c r="H21">
        <v>48.1</v>
      </c>
      <c r="I21">
        <v>12</v>
      </c>
      <c r="J21" t="s">
        <v>1205</v>
      </c>
    </row>
    <row r="22" spans="1:10" x14ac:dyDescent="0.2">
      <c r="A22" s="2"/>
      <c r="E22" s="3"/>
      <c r="F22" s="3"/>
      <c r="J22" t="s">
        <v>1206</v>
      </c>
    </row>
    <row r="23" spans="1:10" x14ac:dyDescent="0.2">
      <c r="A23" s="2"/>
      <c r="E23" s="3"/>
      <c r="F23" s="3"/>
      <c r="J23" t="s">
        <v>1207</v>
      </c>
    </row>
    <row r="24" spans="1:10" x14ac:dyDescent="0.2">
      <c r="A24" s="2"/>
      <c r="E24" s="3"/>
      <c r="F24" s="3"/>
      <c r="J24" t="s">
        <v>1208</v>
      </c>
    </row>
    <row r="25" spans="1:10" x14ac:dyDescent="0.2">
      <c r="A25" s="2"/>
      <c r="E25" s="3"/>
      <c r="F25" s="3"/>
      <c r="J25" t="s">
        <v>1209</v>
      </c>
    </row>
    <row r="26" spans="1:10" x14ac:dyDescent="0.2">
      <c r="A26" s="2"/>
      <c r="E26" s="3"/>
      <c r="F26" s="3"/>
      <c r="J26" t="s">
        <v>1210</v>
      </c>
    </row>
    <row r="27" spans="1:10" x14ac:dyDescent="0.2">
      <c r="A27" s="2"/>
      <c r="E27" s="3"/>
      <c r="F27" s="3"/>
      <c r="J27" t="s">
        <v>1211</v>
      </c>
    </row>
    <row r="28" spans="1:10" x14ac:dyDescent="0.2">
      <c r="A28" s="2"/>
      <c r="E28" s="3"/>
      <c r="F28" s="3"/>
      <c r="J28" t="s">
        <v>1212</v>
      </c>
    </row>
    <row r="29" spans="1:10" x14ac:dyDescent="0.2">
      <c r="A29" s="2"/>
      <c r="E29" s="3"/>
      <c r="F29" s="3"/>
      <c r="J29" t="s">
        <v>1213</v>
      </c>
    </row>
    <row r="30" spans="1:10" x14ac:dyDescent="0.2">
      <c r="A30" s="2"/>
      <c r="E30" s="3"/>
      <c r="F30" s="3"/>
      <c r="J30" t="s">
        <v>1214</v>
      </c>
    </row>
    <row r="31" spans="1:10" x14ac:dyDescent="0.2">
      <c r="A31" s="2"/>
      <c r="E31" s="3"/>
      <c r="F31" s="3"/>
      <c r="J31" t="s">
        <v>1215</v>
      </c>
    </row>
    <row r="32" spans="1:10" x14ac:dyDescent="0.2">
      <c r="A32" s="2"/>
      <c r="E32" s="3"/>
      <c r="F32" s="3"/>
      <c r="J32" t="s">
        <v>1216</v>
      </c>
    </row>
    <row r="33" spans="1:10" x14ac:dyDescent="0.2">
      <c r="A33" s="2">
        <v>46104.375</v>
      </c>
      <c r="B33">
        <v>967</v>
      </c>
      <c r="C33">
        <v>967</v>
      </c>
      <c r="D33">
        <v>0</v>
      </c>
      <c r="E33" s="3"/>
      <c r="F33" s="3"/>
      <c r="G33">
        <v>0</v>
      </c>
      <c r="H33">
        <v>0</v>
      </c>
      <c r="I33">
        <v>0</v>
      </c>
      <c r="J33" t="s">
        <v>1195</v>
      </c>
    </row>
    <row r="34" spans="1:10" x14ac:dyDescent="0.2">
      <c r="A34" s="2">
        <v>46103.583333333336</v>
      </c>
      <c r="B34">
        <v>967</v>
      </c>
      <c r="C34">
        <v>967</v>
      </c>
      <c r="D34">
        <v>0</v>
      </c>
      <c r="E34" s="3"/>
      <c r="F34" s="3"/>
      <c r="G34">
        <v>0</v>
      </c>
      <c r="H34">
        <v>0</v>
      </c>
      <c r="I34">
        <v>0</v>
      </c>
      <c r="J34" t="s">
        <v>1195</v>
      </c>
    </row>
    <row r="35" spans="1:10" x14ac:dyDescent="0.2">
      <c r="A35" s="2">
        <v>46103.474305555559</v>
      </c>
      <c r="B35">
        <v>905</v>
      </c>
      <c r="C35">
        <v>967</v>
      </c>
      <c r="D35">
        <v>62</v>
      </c>
      <c r="E35" s="3">
        <v>46076</v>
      </c>
      <c r="F35" s="3">
        <v>46102</v>
      </c>
      <c r="G35">
        <v>42</v>
      </c>
      <c r="H35">
        <v>67.7</v>
      </c>
      <c r="I35">
        <v>3</v>
      </c>
      <c r="J35" t="s">
        <v>1217</v>
      </c>
    </row>
    <row r="36" spans="1:10" x14ac:dyDescent="0.2">
      <c r="A36" s="2"/>
      <c r="E36" s="3"/>
      <c r="F36" s="3"/>
      <c r="J36" t="s">
        <v>1218</v>
      </c>
    </row>
    <row r="37" spans="1:10" x14ac:dyDescent="0.2">
      <c r="A37" s="2"/>
      <c r="E37" s="3"/>
      <c r="F37" s="3"/>
      <c r="J37" t="s">
        <v>1219</v>
      </c>
    </row>
    <row r="38" spans="1:10" x14ac:dyDescent="0.2">
      <c r="A38" s="2">
        <v>46103.375</v>
      </c>
      <c r="B38">
        <v>905</v>
      </c>
      <c r="C38">
        <v>905</v>
      </c>
      <c r="D38">
        <v>0</v>
      </c>
      <c r="E38" s="3"/>
      <c r="F38" s="3"/>
      <c r="G38">
        <v>0</v>
      </c>
      <c r="H38">
        <v>0</v>
      </c>
      <c r="I38">
        <v>0</v>
      </c>
      <c r="J38" t="s">
        <v>1195</v>
      </c>
    </row>
    <row r="39" spans="1:10" x14ac:dyDescent="0.2">
      <c r="A39" s="2">
        <v>46102.579861111109</v>
      </c>
      <c r="B39">
        <v>886</v>
      </c>
      <c r="C39">
        <v>905</v>
      </c>
      <c r="D39">
        <v>19</v>
      </c>
      <c r="E39" s="3">
        <v>46076</v>
      </c>
      <c r="F39" s="3">
        <v>46101</v>
      </c>
      <c r="G39">
        <v>11</v>
      </c>
      <c r="H39">
        <v>57.9</v>
      </c>
      <c r="I39">
        <v>10</v>
      </c>
      <c r="J39" t="s">
        <v>1220</v>
      </c>
    </row>
    <row r="40" spans="1:10" x14ac:dyDescent="0.2">
      <c r="A40" s="2"/>
      <c r="E40" s="3"/>
      <c r="F40" s="3"/>
      <c r="J40" t="s">
        <v>1221</v>
      </c>
    </row>
    <row r="41" spans="1:10" x14ac:dyDescent="0.2">
      <c r="A41" s="2"/>
      <c r="E41" s="3"/>
      <c r="F41" s="3"/>
      <c r="J41" t="s">
        <v>1222</v>
      </c>
    </row>
    <row r="42" spans="1:10" x14ac:dyDescent="0.2">
      <c r="A42" s="2"/>
      <c r="E42" s="3"/>
      <c r="F42" s="3"/>
      <c r="J42" t="s">
        <v>1223</v>
      </c>
    </row>
    <row r="43" spans="1:10" x14ac:dyDescent="0.2">
      <c r="A43" s="2"/>
      <c r="E43" s="3"/>
      <c r="F43" s="3"/>
      <c r="J43" t="s">
        <v>1224</v>
      </c>
    </row>
    <row r="44" spans="1:10" x14ac:dyDescent="0.2">
      <c r="A44" s="2"/>
      <c r="E44" s="3"/>
      <c r="F44" s="3"/>
      <c r="J44" t="s">
        <v>1225</v>
      </c>
    </row>
    <row r="45" spans="1:10" x14ac:dyDescent="0.2">
      <c r="A45" s="2"/>
      <c r="E45" s="3"/>
      <c r="F45" s="3"/>
      <c r="J45" t="s">
        <v>1226</v>
      </c>
    </row>
    <row r="46" spans="1:10" x14ac:dyDescent="0.2">
      <c r="A46" s="2"/>
      <c r="E46" s="3"/>
      <c r="F46" s="3"/>
      <c r="J46" t="s">
        <v>1227</v>
      </c>
    </row>
    <row r="47" spans="1:10" x14ac:dyDescent="0.2">
      <c r="A47" s="2"/>
      <c r="E47" s="3"/>
      <c r="F47" s="3"/>
      <c r="J47" t="s">
        <v>1228</v>
      </c>
    </row>
    <row r="48" spans="1:10" x14ac:dyDescent="0.2">
      <c r="A48" s="2"/>
      <c r="E48" s="3"/>
      <c r="F48" s="3"/>
      <c r="J48" t="s">
        <v>1229</v>
      </c>
    </row>
    <row r="49" spans="1:10" x14ac:dyDescent="0.2">
      <c r="A49" s="2">
        <v>46102.375</v>
      </c>
      <c r="B49">
        <v>886</v>
      </c>
      <c r="C49">
        <v>886</v>
      </c>
      <c r="D49">
        <v>0</v>
      </c>
      <c r="E49" s="3"/>
      <c r="F49" s="3"/>
      <c r="G49">
        <v>0</v>
      </c>
      <c r="H49">
        <v>0</v>
      </c>
      <c r="I49">
        <v>0</v>
      </c>
      <c r="J49" t="s">
        <v>1195</v>
      </c>
    </row>
    <row r="50" spans="1:10" x14ac:dyDescent="0.2">
      <c r="A50" s="2">
        <v>46101.396527777775</v>
      </c>
      <c r="B50">
        <v>854</v>
      </c>
      <c r="C50">
        <v>886</v>
      </c>
      <c r="D50">
        <v>32</v>
      </c>
      <c r="E50" s="3">
        <v>46095</v>
      </c>
      <c r="F50" s="3">
        <v>46100</v>
      </c>
      <c r="G50">
        <v>24</v>
      </c>
      <c r="H50">
        <v>75</v>
      </c>
      <c r="I50">
        <v>1</v>
      </c>
      <c r="J50" t="s">
        <v>1230</v>
      </c>
    </row>
    <row r="51" spans="1:10" x14ac:dyDescent="0.2">
      <c r="A51" s="2">
        <v>46100.375</v>
      </c>
      <c r="B51">
        <v>822</v>
      </c>
      <c r="C51">
        <v>854</v>
      </c>
      <c r="D51">
        <v>32</v>
      </c>
      <c r="E51" s="3">
        <v>46074</v>
      </c>
      <c r="F51" s="3">
        <v>46099</v>
      </c>
      <c r="G51">
        <v>21</v>
      </c>
      <c r="H51">
        <v>65.599999999999994</v>
      </c>
      <c r="I51">
        <v>6</v>
      </c>
      <c r="J51" t="s">
        <v>1231</v>
      </c>
    </row>
    <row r="52" spans="1:10" x14ac:dyDescent="0.2">
      <c r="A52" s="2"/>
      <c r="E52" s="3"/>
      <c r="F52" s="3"/>
      <c r="J52" t="s">
        <v>1232</v>
      </c>
    </row>
    <row r="53" spans="1:10" x14ac:dyDescent="0.2">
      <c r="A53" s="2"/>
      <c r="E53" s="3"/>
      <c r="F53" s="3"/>
      <c r="J53" t="s">
        <v>1233</v>
      </c>
    </row>
    <row r="54" spans="1:10" x14ac:dyDescent="0.2">
      <c r="A54" s="2"/>
      <c r="E54" s="3"/>
      <c r="F54" s="3"/>
      <c r="J54" t="s">
        <v>1234</v>
      </c>
    </row>
    <row r="55" spans="1:10" x14ac:dyDescent="0.2">
      <c r="A55" s="2"/>
      <c r="E55" s="3"/>
      <c r="F55" s="3"/>
      <c r="J55" t="s">
        <v>1235</v>
      </c>
    </row>
    <row r="56" spans="1:10" x14ac:dyDescent="0.2">
      <c r="A56" s="2"/>
      <c r="E56" s="3"/>
      <c r="F56" s="3"/>
      <c r="J56" t="s">
        <v>1236</v>
      </c>
    </row>
    <row r="57" spans="1:10" x14ac:dyDescent="0.2">
      <c r="A57" s="2">
        <v>46099.375</v>
      </c>
      <c r="B57">
        <v>777</v>
      </c>
      <c r="C57">
        <v>822</v>
      </c>
      <c r="D57">
        <v>45</v>
      </c>
      <c r="E57" s="3">
        <v>46072</v>
      </c>
      <c r="F57" s="3">
        <v>46098</v>
      </c>
      <c r="G57">
        <v>22</v>
      </c>
      <c r="H57">
        <v>48.9</v>
      </c>
      <c r="I57">
        <v>11</v>
      </c>
      <c r="J57" t="s">
        <v>1237</v>
      </c>
    </row>
    <row r="58" spans="1:10" x14ac:dyDescent="0.2">
      <c r="A58" s="2"/>
      <c r="E58" s="3"/>
      <c r="F58" s="3"/>
      <c r="J58" t="s">
        <v>1238</v>
      </c>
    </row>
    <row r="59" spans="1:10" x14ac:dyDescent="0.2">
      <c r="A59" s="2"/>
      <c r="E59" s="3"/>
      <c r="F59" s="3"/>
      <c r="J59" t="s">
        <v>1239</v>
      </c>
    </row>
    <row r="60" spans="1:10" x14ac:dyDescent="0.2">
      <c r="A60" s="2"/>
      <c r="E60" s="3"/>
      <c r="F60" s="3"/>
      <c r="J60" t="s">
        <v>1240</v>
      </c>
    </row>
    <row r="61" spans="1:10" x14ac:dyDescent="0.2">
      <c r="A61" s="2"/>
      <c r="E61" s="3"/>
      <c r="F61" s="3"/>
      <c r="J61" t="s">
        <v>1241</v>
      </c>
    </row>
    <row r="62" spans="1:10" x14ac:dyDescent="0.2">
      <c r="A62" s="2"/>
      <c r="E62" s="3"/>
      <c r="F62" s="3"/>
      <c r="J62" t="s">
        <v>1242</v>
      </c>
    </row>
    <row r="63" spans="1:10" x14ac:dyDescent="0.2">
      <c r="A63" s="2"/>
      <c r="E63" s="3"/>
      <c r="F63" s="3"/>
      <c r="J63" t="s">
        <v>1243</v>
      </c>
    </row>
    <row r="64" spans="1:10" x14ac:dyDescent="0.2">
      <c r="A64" s="2"/>
      <c r="E64" s="3"/>
      <c r="F64" s="3"/>
      <c r="J64" t="s">
        <v>1244</v>
      </c>
    </row>
    <row r="65" spans="1:10" x14ac:dyDescent="0.2">
      <c r="A65" s="2"/>
      <c r="E65" s="3"/>
      <c r="F65" s="3"/>
      <c r="J65" t="s">
        <v>1245</v>
      </c>
    </row>
    <row r="66" spans="1:10" x14ac:dyDescent="0.2">
      <c r="A66" s="2"/>
      <c r="E66" s="3"/>
      <c r="F66" s="3"/>
      <c r="J66" t="s">
        <v>1246</v>
      </c>
    </row>
    <row r="67" spans="1:10" x14ac:dyDescent="0.2">
      <c r="A67" s="2"/>
      <c r="E67" s="3"/>
      <c r="F67" s="3"/>
      <c r="J67" t="s">
        <v>1247</v>
      </c>
    </row>
    <row r="68" spans="1:10" x14ac:dyDescent="0.2">
      <c r="A68" s="2">
        <v>46098.375</v>
      </c>
      <c r="B68">
        <v>753</v>
      </c>
      <c r="C68">
        <v>777</v>
      </c>
      <c r="D68">
        <v>24</v>
      </c>
      <c r="E68" s="3">
        <v>46072</v>
      </c>
      <c r="F68" s="3">
        <v>46097</v>
      </c>
      <c r="G68">
        <v>13</v>
      </c>
      <c r="H68">
        <v>54.2</v>
      </c>
      <c r="I68">
        <v>5</v>
      </c>
      <c r="J68" t="s">
        <v>1248</v>
      </c>
    </row>
    <row r="69" spans="1:10" x14ac:dyDescent="0.2">
      <c r="A69" s="2"/>
      <c r="E69" s="3"/>
      <c r="F69" s="3"/>
      <c r="J69" t="s">
        <v>1249</v>
      </c>
    </row>
    <row r="70" spans="1:10" x14ac:dyDescent="0.2">
      <c r="A70" s="2"/>
      <c r="E70" s="3"/>
      <c r="F70" s="3"/>
      <c r="J70" t="s">
        <v>1250</v>
      </c>
    </row>
    <row r="71" spans="1:10" x14ac:dyDescent="0.2">
      <c r="A71" s="2"/>
      <c r="E71" s="3"/>
      <c r="F71" s="3"/>
      <c r="J71" t="s">
        <v>1251</v>
      </c>
    </row>
    <row r="72" spans="1:10" x14ac:dyDescent="0.2">
      <c r="A72" s="2"/>
      <c r="E72" s="3"/>
      <c r="F72" s="3"/>
      <c r="J72" t="s">
        <v>1252</v>
      </c>
    </row>
    <row r="73" spans="1:10" x14ac:dyDescent="0.2">
      <c r="A73" s="2">
        <v>46097.527777777781</v>
      </c>
      <c r="B73">
        <v>753</v>
      </c>
      <c r="C73">
        <v>753</v>
      </c>
      <c r="D73">
        <v>0</v>
      </c>
      <c r="E73" s="3"/>
      <c r="F73" s="3"/>
      <c r="G73">
        <v>0</v>
      </c>
      <c r="H73">
        <v>0</v>
      </c>
      <c r="I73">
        <v>0</v>
      </c>
      <c r="J73" t="s">
        <v>1195</v>
      </c>
    </row>
    <row r="74" spans="1:10" x14ac:dyDescent="0.2">
      <c r="A74" s="2">
        <v>46097.526388888888</v>
      </c>
      <c r="B74">
        <v>741</v>
      </c>
      <c r="C74">
        <v>753</v>
      </c>
      <c r="D74">
        <v>12</v>
      </c>
      <c r="E74" s="3">
        <v>46069</v>
      </c>
      <c r="F74" s="3">
        <v>46096</v>
      </c>
      <c r="G74">
        <v>6</v>
      </c>
      <c r="H74">
        <v>0.5</v>
      </c>
      <c r="I74">
        <v>8</v>
      </c>
      <c r="J74" t="s">
        <v>1253</v>
      </c>
    </row>
    <row r="75" spans="1:10" x14ac:dyDescent="0.2">
      <c r="A75" s="2"/>
      <c r="E75" s="3"/>
      <c r="F75" s="3"/>
      <c r="J75" t="s">
        <v>1254</v>
      </c>
    </row>
    <row r="76" spans="1:10" x14ac:dyDescent="0.2">
      <c r="A76" s="2"/>
      <c r="E76" s="3"/>
      <c r="F76" s="3"/>
      <c r="J76" t="s">
        <v>1255</v>
      </c>
    </row>
    <row r="77" spans="1:10" x14ac:dyDescent="0.2">
      <c r="A77" s="2"/>
      <c r="E77" s="3"/>
      <c r="F77" s="3"/>
      <c r="J77" t="s">
        <v>1256</v>
      </c>
    </row>
    <row r="78" spans="1:10" x14ac:dyDescent="0.2">
      <c r="A78" s="2"/>
      <c r="E78" s="3"/>
      <c r="F78" s="3"/>
      <c r="J78" t="s">
        <v>1257</v>
      </c>
    </row>
    <row r="79" spans="1:10" x14ac:dyDescent="0.2">
      <c r="A79" s="2">
        <v>46097.375</v>
      </c>
      <c r="B79">
        <v>718</v>
      </c>
      <c r="C79">
        <v>741</v>
      </c>
      <c r="D79">
        <v>23</v>
      </c>
      <c r="E79" s="3">
        <v>46076</v>
      </c>
      <c r="F79" s="3">
        <v>46095</v>
      </c>
      <c r="G79">
        <v>10</v>
      </c>
      <c r="H79">
        <v>0.43480000000000002</v>
      </c>
      <c r="I79">
        <v>7</v>
      </c>
      <c r="J79" t="s">
        <v>1254</v>
      </c>
    </row>
    <row r="80" spans="1:10" x14ac:dyDescent="0.2">
      <c r="A80" s="2"/>
      <c r="E80" s="3"/>
      <c r="F80" s="3"/>
      <c r="J80" t="s">
        <v>1258</v>
      </c>
    </row>
    <row r="81" spans="1:10" x14ac:dyDescent="0.2">
      <c r="A81" s="2"/>
      <c r="E81" s="3"/>
      <c r="F81" s="3"/>
      <c r="J81" t="s">
        <v>1259</v>
      </c>
    </row>
    <row r="82" spans="1:10" x14ac:dyDescent="0.2">
      <c r="A82" s="2"/>
      <c r="E82" s="3"/>
      <c r="F82" s="3"/>
      <c r="J82" t="s">
        <v>1260</v>
      </c>
    </row>
    <row r="83" spans="1:10" x14ac:dyDescent="0.2">
      <c r="A83" s="2"/>
      <c r="E83" s="3"/>
      <c r="F83" s="3"/>
      <c r="J83" t="s">
        <v>1255</v>
      </c>
    </row>
    <row r="84" spans="1:10" x14ac:dyDescent="0.2">
      <c r="A84" s="2"/>
      <c r="E84" s="3"/>
      <c r="F84" s="3"/>
      <c r="J84" t="s">
        <v>1257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Night Analysis</vt:lpstr>
      <vt:lpstr>Reason Graph</vt:lpstr>
      <vt:lpstr>Searches by Hour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2026-03-28T02:05:28Z</dcterms:modified>
</cp:coreProperties>
</file>