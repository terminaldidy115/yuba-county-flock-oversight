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imelineCaches/timelineCache1.xml" ContentType="application/vnd.ms-excel.timeline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1.xml" ContentType="application/vnd.openxmlformats-officedocument.spreadsheetml.pivotTable+xml"/>
  <Override PartName="/xl/drawings/drawing2.xml" ContentType="application/vnd.openxmlformats-officedocument.drawing+xml"/>
  <Override PartName="/xl/timelines/timeline1.xml" ContentType="application/vnd.ms-excel.timelin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2"/>
  <workbookPr hidePivotFieldList="1"/>
  <mc:AlternateContent xmlns:mc="http://schemas.openxmlformats.org/markup-compatibility/2006">
    <mc:Choice Requires="x15">
      <x15ac:absPath xmlns:x15ac="http://schemas.microsoft.com/office/spreadsheetml/2010/11/ac" url="/Users/thomashammock/Desktop/Flock/"/>
    </mc:Choice>
  </mc:AlternateContent>
  <xr:revisionPtr revIDLastSave="0" documentId="13_ncr:1_{3AC94BB2-1805-3743-9172-D44850C1BF39}" xr6:coauthVersionLast="47" xr6:coauthVersionMax="47" xr10:uidLastSave="{00000000-0000-0000-0000-000000000000}"/>
  <bookViews>
    <workbookView xWindow="32340" yWindow="6520" windowWidth="45680" windowHeight="18620" xr2:uid="{00000000-000D-0000-FFFF-FFFF00000000}"/>
  </bookViews>
  <sheets>
    <sheet name="Late Night Analysis" sheetId="9" r:id="rId1"/>
    <sheet name="Reason Graph" sheetId="8" r:id="rId2"/>
    <sheet name="Searches by Hour" sheetId="3" r:id="rId3"/>
    <sheet name="Network Analysis" sheetId="10" r:id="rId4"/>
    <sheet name="Search Audit" sheetId="4" r:id="rId5"/>
    <sheet name="flock_run_log" sheetId="11" r:id="rId6"/>
  </sheets>
  <definedNames>
    <definedName name="_xlnm._FilterDatabase" localSheetId="0" hidden="1">'Late Night Analysis'!$A$1:$D$25</definedName>
    <definedName name="_xlnm._FilterDatabase" localSheetId="2" hidden="1">'Searches by Hour'!$A$1:$B$25</definedName>
    <definedName name="ExternalData_1" localSheetId="5" hidden="1">flock_run_log!$A$1:$J$93</definedName>
    <definedName name="ExternalData_1" localSheetId="4" hidden="1">'Search Audit'!$A$1:$I$1120</definedName>
    <definedName name="NativeTimeline_Date__Pacific">#N/A</definedName>
  </definedNames>
  <calcPr calcId="191029" iterateDelta="1E-4"/>
  <pivotCaches>
    <pivotCache cacheId="27" r:id="rId7"/>
  </pivotCaches>
  <extLs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8"/>
      </x15:timelineCacheRefs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" i="10" l="1"/>
  <c r="C5" i="10"/>
  <c r="C41" i="10" s="1"/>
  <c r="C6" i="10"/>
  <c r="C42" i="10" s="1"/>
  <c r="C7" i="10"/>
  <c r="C43" i="10" s="1"/>
  <c r="C8" i="10"/>
  <c r="C44" i="10" s="1"/>
  <c r="C9" i="10"/>
  <c r="C45" i="10" s="1"/>
  <c r="C10" i="10"/>
  <c r="C46" i="10" s="1"/>
  <c r="C11" i="10"/>
  <c r="C47" i="10" s="1"/>
  <c r="C12" i="10"/>
  <c r="C48" i="10" s="1"/>
  <c r="C13" i="10"/>
  <c r="C49" i="10" s="1"/>
  <c r="C14" i="10"/>
  <c r="C16" i="10"/>
  <c r="C18" i="10"/>
  <c r="C17" i="10"/>
  <c r="C15" i="10"/>
  <c r="C19" i="10"/>
  <c r="C20" i="10"/>
  <c r="C21" i="10"/>
  <c r="C22" i="10"/>
  <c r="C23" i="10"/>
  <c r="C24" i="10"/>
  <c r="C25" i="10"/>
  <c r="C26" i="10"/>
  <c r="C27" i="10"/>
  <c r="C28" i="10"/>
  <c r="C29" i="10"/>
  <c r="C30" i="10"/>
  <c r="C31" i="10"/>
  <c r="C32" i="10"/>
  <c r="C33" i="10"/>
  <c r="C34" i="10"/>
  <c r="B4" i="10"/>
  <c r="B5" i="10"/>
  <c r="B6" i="10"/>
  <c r="B7" i="10"/>
  <c r="B8" i="10"/>
  <c r="B9" i="10"/>
  <c r="B10" i="10"/>
  <c r="B11" i="10"/>
  <c r="B12" i="10"/>
  <c r="B13" i="10"/>
  <c r="B14" i="10"/>
  <c r="B16" i="10"/>
  <c r="B18" i="10"/>
  <c r="B17" i="10"/>
  <c r="B15" i="10"/>
  <c r="B19" i="10"/>
  <c r="B20" i="10"/>
  <c r="B21" i="10"/>
  <c r="B22" i="10"/>
  <c r="B23" i="10"/>
  <c r="B24" i="10"/>
  <c r="B25" i="10"/>
  <c r="B26" i="10"/>
  <c r="B27" i="10"/>
  <c r="B28" i="10"/>
  <c r="B29" i="10"/>
  <c r="B30" i="10"/>
  <c r="B31" i="10"/>
  <c r="B32" i="10"/>
  <c r="B33" i="10"/>
  <c r="B34" i="10"/>
  <c r="C8" i="9"/>
  <c r="C2" i="9"/>
  <c r="C10" i="9"/>
  <c r="C12" i="9"/>
  <c r="C14" i="9"/>
  <c r="C16" i="9"/>
  <c r="C18" i="9"/>
  <c r="C20" i="9"/>
  <c r="C22" i="9"/>
  <c r="C24" i="9"/>
  <c r="C4" i="9"/>
  <c r="C6" i="9"/>
  <c r="C9" i="9"/>
  <c r="C3" i="9"/>
  <c r="C11" i="9"/>
  <c r="C13" i="9"/>
  <c r="C15" i="9"/>
  <c r="C17" i="9"/>
  <c r="C19" i="9"/>
  <c r="C21" i="9"/>
  <c r="C23" i="9"/>
  <c r="C25" i="9"/>
  <c r="C5" i="9"/>
  <c r="C7" i="9"/>
  <c r="B8" i="9"/>
  <c r="D8" i="9" s="1"/>
  <c r="B2" i="9"/>
  <c r="D2" i="9" s="1"/>
  <c r="B10" i="9"/>
  <c r="B12" i="9"/>
  <c r="D12" i="9" s="1"/>
  <c r="B14" i="9"/>
  <c r="D14" i="9" s="1"/>
  <c r="B16" i="9"/>
  <c r="D16" i="9" s="1"/>
  <c r="B18" i="9"/>
  <c r="B20" i="9"/>
  <c r="B22" i="9"/>
  <c r="D22" i="9" s="1"/>
  <c r="B24" i="9"/>
  <c r="D24" i="9" s="1"/>
  <c r="B4" i="9"/>
  <c r="D4" i="9" s="1"/>
  <c r="B6" i="9"/>
  <c r="B9" i="9"/>
  <c r="D9" i="9" s="1"/>
  <c r="B3" i="9"/>
  <c r="B11" i="9"/>
  <c r="D11" i="9" s="1"/>
  <c r="B13" i="9"/>
  <c r="D13" i="9" s="1"/>
  <c r="B15" i="9"/>
  <c r="D15" i="9" s="1"/>
  <c r="B17" i="9"/>
  <c r="D17" i="9" s="1"/>
  <c r="B19" i="9"/>
  <c r="B21" i="9"/>
  <c r="B23" i="9"/>
  <c r="B25" i="9"/>
  <c r="D25" i="9" s="1"/>
  <c r="B5" i="9"/>
  <c r="B7" i="9"/>
  <c r="D7" i="9" s="1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B5" i="3"/>
  <c r="B4" i="3"/>
  <c r="B3" i="3"/>
  <c r="B2" i="3"/>
  <c r="D18" i="9" l="1"/>
  <c r="D6" i="9"/>
  <c r="D21" i="9"/>
  <c r="D23" i="9"/>
  <c r="D19" i="9"/>
  <c r="D32" i="10"/>
  <c r="D24" i="10"/>
  <c r="D18" i="10"/>
  <c r="D8" i="10"/>
  <c r="B44" i="10" s="1"/>
  <c r="D10" i="9"/>
  <c r="D5" i="9"/>
  <c r="D28" i="10"/>
  <c r="D20" i="10"/>
  <c r="D14" i="10"/>
  <c r="D6" i="10"/>
  <c r="B42" i="10" s="1"/>
  <c r="D12" i="10"/>
  <c r="B48" i="10" s="1"/>
  <c r="D30" i="10"/>
  <c r="D22" i="10"/>
  <c r="B28" i="9"/>
  <c r="D21" i="10"/>
  <c r="D13" i="10"/>
  <c r="B49" i="10" s="1"/>
  <c r="D5" i="10"/>
  <c r="B41" i="10" s="1"/>
  <c r="B28" i="3"/>
  <c r="D29" i="10"/>
  <c r="E34" i="10"/>
  <c r="E15" i="10"/>
  <c r="E10" i="10"/>
  <c r="B60" i="10" s="1"/>
  <c r="E26" i="10"/>
  <c r="D3" i="9"/>
  <c r="D31" i="10"/>
  <c r="D23" i="10"/>
  <c r="D16" i="10"/>
  <c r="D7" i="10"/>
  <c r="B43" i="10" s="1"/>
  <c r="D27" i="10"/>
  <c r="D19" i="10"/>
  <c r="D33" i="10"/>
  <c r="D25" i="10"/>
  <c r="D17" i="10"/>
  <c r="D9" i="10"/>
  <c r="B45" i="10" s="1"/>
  <c r="D11" i="10"/>
  <c r="B47" i="10" s="1"/>
  <c r="B35" i="10"/>
  <c r="C35" i="10"/>
  <c r="D34" i="10"/>
  <c r="D26" i="10"/>
  <c r="D15" i="10"/>
  <c r="D10" i="10"/>
  <c r="B46" i="10" s="1"/>
  <c r="E33" i="10"/>
  <c r="E25" i="10"/>
  <c r="E17" i="10"/>
  <c r="E9" i="10"/>
  <c r="B59" i="10" s="1"/>
  <c r="E32" i="10"/>
  <c r="E24" i="10"/>
  <c r="E18" i="10"/>
  <c r="E8" i="10"/>
  <c r="B58" i="10" s="1"/>
  <c r="E31" i="10"/>
  <c r="E23" i="10"/>
  <c r="E16" i="10"/>
  <c r="E7" i="10"/>
  <c r="B57" i="10" s="1"/>
  <c r="E30" i="10"/>
  <c r="E22" i="10"/>
  <c r="E14" i="10"/>
  <c r="E6" i="10"/>
  <c r="B56" i="10" s="1"/>
  <c r="E29" i="10"/>
  <c r="E21" i="10"/>
  <c r="E13" i="10"/>
  <c r="B63" i="10" s="1"/>
  <c r="E5" i="10"/>
  <c r="B55" i="10" s="1"/>
  <c r="E28" i="10"/>
  <c r="E20" i="10"/>
  <c r="E12" i="10"/>
  <c r="B62" i="10" s="1"/>
  <c r="E4" i="10"/>
  <c r="B54" i="10" s="1"/>
  <c r="C40" i="10"/>
  <c r="D4" i="10"/>
  <c r="E27" i="10"/>
  <c r="E19" i="10"/>
  <c r="E11" i="10"/>
  <c r="B61" i="10" s="1"/>
  <c r="D20" i="9"/>
  <c r="E35" i="10" l="1"/>
  <c r="B40" i="10"/>
  <c r="D35" i="10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176EE55B-0B70-6842-A599-F97D6D755877}" keepAlive="1" name="Query - flock_run_log" description="Connection to the 'flock_run_log' query in the workbook." type="5" refreshedVersion="8" background="1" saveData="1">
    <dbPr connection="Provider=Microsoft.Mashup.OleDb.1;Data Source=$Workbook$;Location=flock_run_log;Extended Properties=&quot;&quot;" command="SELECT * FROM [flock_run_log]"/>
  </connection>
  <connection id="2" xr16:uid="{2E8D2E4D-D535-2E4A-9ECC-95C462C512E0}" keepAlive="1" name="Query - search_audit" description="Connection to the 'search_audit' query in the workbook." type="5" refreshedVersion="8" background="1" saveData="1">
    <dbPr connection="Provider=Microsoft.Mashup.OleDb.1;Data Source=$Workbook$;Location=search_audit;Extended Properties=&quot;&quot;" command="SELECT * FROM [search_audit]"/>
  </connection>
</connections>
</file>

<file path=xl/sharedStrings.xml><?xml version="1.0" encoding="utf-8"?>
<sst xmlns="http://schemas.openxmlformats.org/spreadsheetml/2006/main" count="4136" uniqueCount="1403">
  <si>
    <t>Search ID</t>
  </si>
  <si>
    <t>User ID</t>
  </si>
  <si>
    <t>Search Date (UTC/Zulu)</t>
  </si>
  <si>
    <t>Search Date (Pacific)</t>
  </si>
  <si>
    <t>Date (Pacific)</t>
  </si>
  <si>
    <t>Day of Week</t>
  </si>
  <si>
    <t>Hour (Pacific)</t>
  </si>
  <si>
    <t>Network Count</t>
  </si>
  <si>
    <t>Reason</t>
  </si>
  <si>
    <t>0d467e68-708e-4b39-9eb7-83b2b7af3cc2</t>
  </si>
  <si>
    <t>***</t>
  </si>
  <si>
    <t>Monday</t>
  </si>
  <si>
    <t>0699f1f0-50ac-441e-9b29-765e6469d80b</t>
  </si>
  <si>
    <t>35a6d6d0-05db-4caf-a9d1-8b7361638820</t>
  </si>
  <si>
    <t>a1d98010-e5a7-41ac-b1ff-1b90e1c94e8e</t>
  </si>
  <si>
    <t>STOLEN VEHICLE</t>
  </si>
  <si>
    <t>03af7616-75bc-4326-af92-ee81f6f30e27</t>
  </si>
  <si>
    <t>stolen veh</t>
  </si>
  <si>
    <t>bb9a05ea-02fc-44e2-860a-c2dbf7cfe7e1</t>
  </si>
  <si>
    <t>7930b74f-fa09-4caf-90a7-3e7a7289db8f</t>
  </si>
  <si>
    <t>05a06816-5fbd-45af-955a-631123af6549</t>
  </si>
  <si>
    <t>2a064e37-e2df-49cd-bf3a-d761776fdf4c</t>
  </si>
  <si>
    <t>906d2967-5151-478b-a662-08ba5bcbc55b</t>
  </si>
  <si>
    <t>576ba533-ddd3-46bb-a3dc-3e241ce4c0bf</t>
  </si>
  <si>
    <t>c329d679-e226-469d-bccd-1e61d57c9ba0</t>
  </si>
  <si>
    <t>88021183-a04b-4b7e-b244-97a189553aa9</t>
  </si>
  <si>
    <t>4b941c6b-2454-4484-8061-b2c37e5d66f4</t>
  </si>
  <si>
    <t>4be01773-0c22-4d3d-8e1b-4d5cc79a627c</t>
  </si>
  <si>
    <t>Tuesday</t>
  </si>
  <si>
    <t>eae7fd71-08ff-445d-b7fb-72595f11a8c5</t>
  </si>
  <si>
    <t>761a53ad-9a16-4582-a1bb-353ea60fc6ac</t>
  </si>
  <si>
    <t>Drug Investigation</t>
  </si>
  <si>
    <t>01bf7107-44ef-46c0-a4fa-17c279e84ce8</t>
  </si>
  <si>
    <t>aa4b518d-aa1c-4481-9063-820e49274506</t>
  </si>
  <si>
    <t>suspect ID</t>
  </si>
  <si>
    <t>9836aabb-99c5-4186-a1a8-006936194e3f</t>
  </si>
  <si>
    <t>318cf320-dfa9-4192-969c-7eea817a39d6</t>
  </si>
  <si>
    <t>94a74dfd-e059-4c27-a82b-22598a9bfcea</t>
  </si>
  <si>
    <t>9f0d5b1f-6308-4b46-9539-a055b19ccdc2</t>
  </si>
  <si>
    <t>c344a0b3-eeca-4518-84ee-898bfbcadd1c</t>
  </si>
  <si>
    <t>0d8b9b38-029f-46ea-95bf-55283c95db10</t>
  </si>
  <si>
    <t>4148d926-e16e-40dd-8c64-996f20362cb4</t>
  </si>
  <si>
    <t>shooting suspect / stolen vehicle</t>
  </si>
  <si>
    <t>14a5ad81-f3ac-460a-af50-223c821a431d</t>
  </si>
  <si>
    <t>b39315e8-17c3-43c5-9ba2-a73837adee27</t>
  </si>
  <si>
    <t>stolen vehicle</t>
  </si>
  <si>
    <t>84677b4b-7682-459d-a544-5790ed6c19bf</t>
  </si>
  <si>
    <t>47cc24e3-ff84-4f58-b96f-1e29090c3166</t>
  </si>
  <si>
    <t>80871e1d-4f8f-4ed6-b745-5e657e43595a</t>
  </si>
  <si>
    <t>d8a81c75-0754-496f-a1f6-12862436e50e</t>
  </si>
  <si>
    <t>Drug investigations</t>
  </si>
  <si>
    <t>507eb95a-e75f-4405-89e8-da1a19180f01</t>
  </si>
  <si>
    <t>6929dcaa-b275-4821-8811-b983030ea7bf</t>
  </si>
  <si>
    <t>f20920d7-266d-459c-881b-f970824c6a34</t>
  </si>
  <si>
    <t>67be2a87-f768-4f73-8519-1619cb6560f5</t>
  </si>
  <si>
    <t>d36d3e19-bc08-48e9-9e7a-5290d1ba3277</t>
  </si>
  <si>
    <t>17c01a91-a72f-43be-9a95-0d5969a6e94f</t>
  </si>
  <si>
    <t>dde6f2e4-b9ad-4ca6-a658-ab41f1933268</t>
  </si>
  <si>
    <t>0f199f1d-ece8-4804-a809-8164d94b6f15</t>
  </si>
  <si>
    <t>1eefdabd-cc0f-4079-91f1-76c4f32934f6</t>
  </si>
  <si>
    <t>suspect vehicle</t>
  </si>
  <si>
    <t>70cbdd96-7752-4bf3-a06d-926d28f25988</t>
  </si>
  <si>
    <t>e0522fe4-eb97-44e3-aea7-d6522b0938dc</t>
  </si>
  <si>
    <t>Wednesday</t>
  </si>
  <si>
    <t>1939a98a-6d6a-49b3-b420-4878e2b6436b</t>
  </si>
  <si>
    <t>dc9fb551-4244-4289-9c66-903adafdb985</t>
  </si>
  <si>
    <t>7fdc2afc-b80e-48ad-b481-ff8db9275dfb</t>
  </si>
  <si>
    <t>ccb58226-692e-406d-afd8-74ff38ef6c4b</t>
  </si>
  <si>
    <t>Suspect in 288</t>
  </si>
  <si>
    <t>2379cd99-34d4-4728-be5c-32fd11e59c5d</t>
  </si>
  <si>
    <t>wanted</t>
  </si>
  <si>
    <t>3edfa2c2-35e6-4ac0-b998-057a12bec129</t>
  </si>
  <si>
    <t>4ffb6bc8-5be9-4611-9c02-ac0b90f7afe0</t>
  </si>
  <si>
    <t>627218db-85d6-4e76-80e3-5811175cf7fe</t>
  </si>
  <si>
    <t>363500f6-57d3-4c1b-a02a-d79dacc56186</t>
  </si>
  <si>
    <t>7f868bab-38b2-48bf-acd1-212dee39b35b</t>
  </si>
  <si>
    <t>96490c3a-c171-4cea-9609-e042788c9919</t>
  </si>
  <si>
    <t>8597b8a6-283e-4b18-be87-a64d1ca98cca</t>
  </si>
  <si>
    <t>3945aeb2-144a-42c0-9962-e0ef0b33ceb3</t>
  </si>
  <si>
    <t>locate</t>
  </si>
  <si>
    <t>bb924c8b-718d-4fc4-9396-084c5228247c</t>
  </si>
  <si>
    <t>288PC</t>
  </si>
  <si>
    <t>3e4d9052-1d63-4969-b5ac-9a37bd6d3a38</t>
  </si>
  <si>
    <t>288 SUSP</t>
  </si>
  <si>
    <t>ba5c4c70-03fe-47ce-a135-69fedf63accb</t>
  </si>
  <si>
    <t>9b1eaf93-3c5c-4f26-b995-d862d42c84a5</t>
  </si>
  <si>
    <t>Suspect location</t>
  </si>
  <si>
    <t>4e218b63-c477-4d1b-9a9e-39a5b788261d</t>
  </si>
  <si>
    <t>f048e862-a0f9-4d33-a31f-596edfbffa9a</t>
  </si>
  <si>
    <t>Suspect</t>
  </si>
  <si>
    <t>5cf67fab-730b-4c30-99cc-6d26d486b0e6</t>
  </si>
  <si>
    <t>c762565d-a6b5-46ce-acb2-47204f23da6d</t>
  </si>
  <si>
    <t>4f2961ac-35f4-4ed5-95ce-af034197df5f</t>
  </si>
  <si>
    <t>8b4e354d-0b7a-4917-a858-30e83266468c</t>
  </si>
  <si>
    <t>6531f058-0c71-4775-b1b9-47c4cd7f45eb</t>
  </si>
  <si>
    <t>Thursday</t>
  </si>
  <si>
    <t>8694d87f-fa91-427d-870e-610441a18269</t>
  </si>
  <si>
    <t>59d67eae-8941-4c68-b6ec-8f91e77d57ba</t>
  </si>
  <si>
    <t>edc9841d-989a-4bf6-add4-df2513654811</t>
  </si>
  <si>
    <t>9d1a3fad-93e7-4103-b22a-baede33ad3b7</t>
  </si>
  <si>
    <t>288 pc</t>
  </si>
  <si>
    <t>cb5051ff-a8c9-4c20-90fa-ac69abf6b5cd</t>
  </si>
  <si>
    <t>8e277e82-4f40-4404-afb7-cfb2cfe1a2c5</t>
  </si>
  <si>
    <t>98de8c1d-36ea-411f-bb96-d1063e7217be</t>
  </si>
  <si>
    <t>246 pc</t>
  </si>
  <si>
    <t>12fdc69b-f07a-49c1-9519-4fa18f5efb5a</t>
  </si>
  <si>
    <t>2d71d040-6a53-4514-9941-d99c95752073</t>
  </si>
  <si>
    <t>994c96fd-31ec-4fd4-b0e2-1f27f35fc022</t>
  </si>
  <si>
    <t>Search warrant</t>
  </si>
  <si>
    <t>a2232f9e-2878-4149-9dfc-2bd429201c35</t>
  </si>
  <si>
    <t>b3cd08cd-7b8a-49c5-b4ad-9a8d41d31e18</t>
  </si>
  <si>
    <t>f26fbdda-72be-47c8-9a0a-39ec2e4ee08e</t>
  </si>
  <si>
    <t>SUSPEC ID</t>
  </si>
  <si>
    <t>cadb06f1-57a5-42f3-b8f6-b9f15ed5b98c</t>
  </si>
  <si>
    <t>854a827e-62dd-49a0-9d22-14ab71d28b38</t>
  </si>
  <si>
    <t>Friday</t>
  </si>
  <si>
    <t>ef2abbaa-ee16-4004-9527-59b9bf048eb4</t>
  </si>
  <si>
    <t>7f6ed7cd-3489-40f4-a308-3efdc8890507</t>
  </si>
  <si>
    <t>ad4694eb-1b7d-4f97-8acb-5a222b511e3f</t>
  </si>
  <si>
    <t>d6d19a17-f65f-4993-b588-4ca15d1236d3</t>
  </si>
  <si>
    <t>Saturday</t>
  </si>
  <si>
    <t>21 suspect</t>
  </si>
  <si>
    <t>aaa97eb4-bc95-4185-9f18-c18d963de985</t>
  </si>
  <si>
    <t>d5dafa1f-90e1-4e76-87e2-95b7ea6e1ba3</t>
  </si>
  <si>
    <t>b00d04e4-d82b-48ec-9e59-4645a220a0e3</t>
  </si>
  <si>
    <t>Sunday</t>
  </si>
  <si>
    <t>24642408-4cc6-4706-ae4f-30bac1d821f0</t>
  </si>
  <si>
    <t>44f3e7fd-0e6b-4101-a422-4400a723c050</t>
  </si>
  <si>
    <t>warrant</t>
  </si>
  <si>
    <t>8a453448-e99c-4875-acf1-f6c679ae9943</t>
  </si>
  <si>
    <t>4f0081ce-1603-4d9f-bfb2-5e673d21f465</t>
  </si>
  <si>
    <t>8c60b3fa-a77a-498e-8f45-8e23f530dc68</t>
  </si>
  <si>
    <t>78f19fd3-6859-4876-8306-c9141fd46348</t>
  </si>
  <si>
    <t>c829fcce-c7c6-4978-87cf-44dd7b34c66b</t>
  </si>
  <si>
    <t>bfe23b44-7b51-47f9-9673-2c8ac73d4fb5</t>
  </si>
  <si>
    <t>suspect veh</t>
  </si>
  <si>
    <t>c23daa34-5073-455e-8e3d-50341d9b827e</t>
  </si>
  <si>
    <t>suspect veh.</t>
  </si>
  <si>
    <t>f6c7e7bb-3c2b-4445-af02-e151ffe20812</t>
  </si>
  <si>
    <t>1a2d1002-93cd-4faa-b525-7a2ba2c29b40</t>
  </si>
  <si>
    <t>Drug</t>
  </si>
  <si>
    <t>b6a667e5-d27c-49bf-a99a-b174cfb9ed2a</t>
  </si>
  <si>
    <t>386bd7c3-61df-46ec-b764-958cf9066d38</t>
  </si>
  <si>
    <t>d64760d2-fd90-41eb-aa02-a019a556b6a6</t>
  </si>
  <si>
    <t>c557c265-57f1-432a-b103-94025ff93d63</t>
  </si>
  <si>
    <t>0a219137-167c-4516-8e6e-e241e7c9fd3a</t>
  </si>
  <si>
    <t>a8515fb3-38db-44b8-bfd1-74ce50099f53</t>
  </si>
  <si>
    <t>R7-25-0027</t>
  </si>
  <si>
    <t>6b7d0e0b-69a8-43de-8a70-017966d04f84</t>
  </si>
  <si>
    <t>c4755b4f-d7ab-4a46-a2ed-3c53cd8050b9</t>
  </si>
  <si>
    <t>Suspect vehicle</t>
  </si>
  <si>
    <t>c70410b9-5c30-4581-9e65-77cd9dd8a196</t>
  </si>
  <si>
    <t>Theft suspect</t>
  </si>
  <si>
    <t>499b10f0-6f13-4d8f-9f3a-6b6fd83324f1</t>
  </si>
  <si>
    <t>97d6c1f0-4e07-4b3d-9a81-78699fe77c77</t>
  </si>
  <si>
    <t>e69333f2-ebfd-427d-bb38-9892e4fb64fd</t>
  </si>
  <si>
    <t>cdd3b4b1-ada9-4aed-bd58-99f5d5fb67e0</t>
  </si>
  <si>
    <t>094e07b6-d424-4327-b6ca-b80161c49763</t>
  </si>
  <si>
    <t>112acfa7-68ef-45df-8305-f1abc5ede09f</t>
  </si>
  <si>
    <t>a5ce613d-b551-4ddc-920f-83e5ebcea1a0</t>
  </si>
  <si>
    <t>2b224d76-8d59-4856-8b89-2f9984fc5a8a</t>
  </si>
  <si>
    <t>51815b3f-b931-4938-adc2-49abd05e0284</t>
  </si>
  <si>
    <t>abd30c8c-10af-4309-85a5-f2a5744fd433</t>
  </si>
  <si>
    <t>91c6bd98-7d52-43f3-a9be-55d6fa98e9ee</t>
  </si>
  <si>
    <t>a26414a3-3121-4408-a022-e4773a6b32e2</t>
  </si>
  <si>
    <t>Pattern of travel</t>
  </si>
  <si>
    <t>ac770a58-52ac-4a17-9dc6-945a692f128c</t>
  </si>
  <si>
    <t>fd8e3b18-f0d7-40f0-be29-d77aa98674a7</t>
  </si>
  <si>
    <t>Out of compliance 290</t>
  </si>
  <si>
    <t>67575880-00d3-4119-969d-e9731a811c39</t>
  </si>
  <si>
    <t>1403f32d-a162-4814-b9b8-9c0abddf9f64</t>
  </si>
  <si>
    <t>0d1a32d4-1f23-4d2a-9ab1-2249563164f8</t>
  </si>
  <si>
    <t>419a64a5-5dce-44d3-a59e-50ed8514e21c</t>
  </si>
  <si>
    <t>131df710-486c-4123-b1ca-f3e1d1fb8073</t>
  </si>
  <si>
    <t>c74a9c4a-68c4-4ad5-956a-b57013cc8249</t>
  </si>
  <si>
    <t>Suspevt</t>
  </si>
  <si>
    <t>07ad3ade-619b-4e48-8b16-3bcb38855d6e</t>
  </si>
  <si>
    <t>21dd9d49-aac6-4f65-8470-245da302bad1</t>
  </si>
  <si>
    <t>903e01d1-ff8c-4fad-bfe3-737206f63d6f</t>
  </si>
  <si>
    <t>bb33955a-d239-4c1c-8c9e-cf63c67c65ee</t>
  </si>
  <si>
    <t>1d3fb24b-5f29-4a8d-a038-033d2507142a</t>
  </si>
  <si>
    <t>2df13de8-9671-463f-acd9-4dddda45ee8b</t>
  </si>
  <si>
    <t>8aee0f23-945e-4609-b8b5-190ed006983b</t>
  </si>
  <si>
    <t>489220a1-14cb-4cbc-bda3-883fc325ed93</t>
  </si>
  <si>
    <t>1af5fea3-91e1-4e69-82a8-93697a7f2e10</t>
  </si>
  <si>
    <t>e872e01a-9f4b-4977-93af-42e13ef052a0</t>
  </si>
  <si>
    <t>ab41ed28-aafb-4f1f-981b-aee3b15e8f3b</t>
  </si>
  <si>
    <t>39834ab8-7fb4-42b0-9d36-f34f0241db99</t>
  </si>
  <si>
    <t>VEH USED IN 211PC</t>
  </si>
  <si>
    <t>3c6b5e8f-7f60-4aa8-a3d2-a96deecd8e6e</t>
  </si>
  <si>
    <t>211 SUSPECT</t>
  </si>
  <si>
    <t>79c4294a-7bdc-471e-9b87-8095ad81e831</t>
  </si>
  <si>
    <t>18d948c2-d408-4e27-ab6b-7a5e3f87d8ed</t>
  </si>
  <si>
    <t>5734b094-518c-4910-b6fc-1aef5cfd9814</t>
  </si>
  <si>
    <t>adb99cfe-ee8e-4176-800a-684e9d17b9ce</t>
  </si>
  <si>
    <t>ce39a61d-f377-4cee-b8a2-49270d890a20</t>
  </si>
  <si>
    <t>3cfd14a0-9680-480b-9189-f46a68bd972e</t>
  </si>
  <si>
    <t>fc5d74f0-5673-4b5e-80c4-0457bb787e8c</t>
  </si>
  <si>
    <t>40f784dc-7892-482e-8f0a-20beb5ce1b4b</t>
  </si>
  <si>
    <t>9dad5442-afe1-42ef-a061-f64c5f2532ec</t>
  </si>
  <si>
    <t>085d3ed4-a51c-418f-87fe-e6633d030e0a</t>
  </si>
  <si>
    <t>fa632c09-1561-4a85-ba2d-3fbba72e9344</t>
  </si>
  <si>
    <t>e8991415-a288-4c75-80d4-23d8cb81bf2a</t>
  </si>
  <si>
    <t>ade6fd5e-1009-4670-936a-2ff30b32235a</t>
  </si>
  <si>
    <t>bfca62da-5d8d-4c29-844c-816c8474a0c4</t>
  </si>
  <si>
    <t>aabc8c58-bf59-4e67-9aa9-6ee68f498363</t>
  </si>
  <si>
    <t>7ab8e292-7dee-4502-9530-ea26f309b4f7</t>
  </si>
  <si>
    <t>2bac7329-8df1-4cd5-a519-3653263402b4</t>
  </si>
  <si>
    <t>9640a45a-aaf3-41ef-8dcc-eb3bfc3455a9</t>
  </si>
  <si>
    <t>d73d6c08-ff85-48db-bb35-cdc5cf7cd92d</t>
  </si>
  <si>
    <t>c5b3c241-4f69-4beb-9909-5c8a363a545d</t>
  </si>
  <si>
    <t>ab199ad1-b867-4be2-88df-b7493c698003</t>
  </si>
  <si>
    <t>16b8625e-7272-4b6d-8986-a8c246ca1227</t>
  </si>
  <si>
    <t>820e257e-1353-4675-8733-5ea5aee1ac43</t>
  </si>
  <si>
    <t>67056f0d-f811-4ff9-905d-78406e828e35</t>
  </si>
  <si>
    <t>e677c12b-bf42-41e0-a0a9-a55a225948f5</t>
  </si>
  <si>
    <t>f13ddd9e-ab1e-4b8c-937e-15a68c935682</t>
  </si>
  <si>
    <t>b1206246-c480-4784-98e1-c11b5a129908</t>
  </si>
  <si>
    <t>ecd564a3-95ca-4f3d-a707-0bf40118d463</t>
  </si>
  <si>
    <t>75cf9845-5bf2-42a7-a6c8-f510c6bab139</t>
  </si>
  <si>
    <t>ba81ff2f-d4c8-46b6-b795-5bf3d5224774</t>
  </si>
  <si>
    <t>8890f86e-405d-4ab8-a677-79c82a7e19d6</t>
  </si>
  <si>
    <t>aa103c02-de0b-4be9-a124-d5bfbf9d65fd</t>
  </si>
  <si>
    <t>d59e0868-6754-496a-b3c9-d5e30fecc1b5</t>
  </si>
  <si>
    <t>4d05238d-542b-43e8-8ef9-d63a053ccd59</t>
  </si>
  <si>
    <t>0e9c37f4-d1ad-427e-a9e0-d2783d5b331d</t>
  </si>
  <si>
    <t>50caa630-76eb-458d-9108-58db41ca0784</t>
  </si>
  <si>
    <t>2e0b0677-c546-415c-b357-8081475cbf2b</t>
  </si>
  <si>
    <t>38f0075a-ad79-4ba6-9692-3b4f2becc04c</t>
  </si>
  <si>
    <t>e69d07b7-892c-4b93-8750-a698f0d8e282</t>
  </si>
  <si>
    <t>08956c28-06c6-4d65-ae70-96cbf291c2ea</t>
  </si>
  <si>
    <t>e3b98b29-7611-4565-9628-e714000b9142</t>
  </si>
  <si>
    <t>b6898c98-eaf1-451b-b55a-91e34cc60330</t>
  </si>
  <si>
    <t>cc092532-dd9f-4948-9ccd-4d401340520d</t>
  </si>
  <si>
    <t>be6534a5-ad91-46a9-8c19-c6df1e3e42a5</t>
  </si>
  <si>
    <t>7047ddcc-b57a-42cd-a49b-826965078d43</t>
  </si>
  <si>
    <t>f2c6d936-e0d0-417c-bdc7-49dcbb11dbbe</t>
  </si>
  <si>
    <t>0b8551a4-64a3-4497-bb25-91013215cb4b</t>
  </si>
  <si>
    <t>932b09c3-194c-4f9f-800e-ffb50b259b44</t>
  </si>
  <si>
    <t>a6b8a580-08dc-4bbb-a079-8438e412e86c</t>
  </si>
  <si>
    <t>aff66478-70c7-49d1-9c17-05c435e71028</t>
  </si>
  <si>
    <t>488pc</t>
  </si>
  <si>
    <t>c9248bf8-088a-4df0-bd60-8aadb000c30d</t>
  </si>
  <si>
    <t>6faed457-7135-4d7d-b71d-9a7983b38efc</t>
  </si>
  <si>
    <t>538239ca-beab-48a4-93e9-7b8f5f387ff9</t>
  </si>
  <si>
    <t>afb7ee48-9417-4c1e-ba29-75211df9d9e3</t>
  </si>
  <si>
    <t>3701a21e-059d-4cdc-9df7-2431c2e1333d</t>
  </si>
  <si>
    <t>sus loc</t>
  </si>
  <si>
    <t>5a096aa5-8d64-4354-b56f-ae518347f078</t>
  </si>
  <si>
    <t>04404521-e9d4-40d6-a43a-c1e17bed191a</t>
  </si>
  <si>
    <t>8a63ba27-f04a-4b9f-9e35-f4e49f39ecfe</t>
  </si>
  <si>
    <t>dc416fa5-5e4a-4a1a-9316-086b50edf265</t>
  </si>
  <si>
    <t>id passenger and vehicle associated</t>
  </si>
  <si>
    <t>cd19d661-f303-43bf-9caa-4125116cad22</t>
  </si>
  <si>
    <t>5a4b3ea9-8c43-472a-ae55-60097a02ba29</t>
  </si>
  <si>
    <t>28e805e0-9b7f-4973-93fb-6e74aa32c214</t>
  </si>
  <si>
    <t>bf65ca27-8702-4fd6-a448-5f86fc95dbc6</t>
  </si>
  <si>
    <t>suspect veh 459pc</t>
  </si>
  <si>
    <t>cada465d-42be-45a7-a140-8b53fe10d176</t>
  </si>
  <si>
    <t>2bccc751-2df7-44aa-9667-b40e167be7ea</t>
  </si>
  <si>
    <t>459 veh</t>
  </si>
  <si>
    <t>cf58ee23-d401-4986-ac59-2c9d43eb24aa</t>
  </si>
  <si>
    <t>d8b9fe53-84a1-4777-9fd7-b7640890f157</t>
  </si>
  <si>
    <t>90599499-a31c-4b6d-98ad-eb4e5f403514</t>
  </si>
  <si>
    <t>94a5edb2-10cf-46ad-bc77-0f091e1ccfa7</t>
  </si>
  <si>
    <t>ec1b2af9-e8d7-45c5-a4af-6794d212548e</t>
  </si>
  <si>
    <t>66b99978-69a6-485b-8a72-4b0f9e3aadc7</t>
  </si>
  <si>
    <t>ROBBERY</t>
  </si>
  <si>
    <t>74b624ba-bee1-44ef-9ad7-ccbaa187f141</t>
  </si>
  <si>
    <t>48660af1-b0f1-45f7-bff2-4017d31c3ac2</t>
  </si>
  <si>
    <t>ad844345-7442-4a4d-981d-b378aecdf16c</t>
  </si>
  <si>
    <t>3564b494-f6b7-4be5-a573-03c503bcbfdc</t>
  </si>
  <si>
    <t>68808b54-d1d0-4d7c-9071-e6c34b958d68</t>
  </si>
  <si>
    <t>82048200-ed27-401c-b034-41e94eceb551</t>
  </si>
  <si>
    <t>6f8e30f2-b7c6-49ac-843d-730361892ad9</t>
  </si>
  <si>
    <t>Drug investigation</t>
  </si>
  <si>
    <t>513186e2-64ad-4df4-a974-51e00f78bd27</t>
  </si>
  <si>
    <t>ebcc558a-ca88-410d-afcc-e50c087076d7</t>
  </si>
  <si>
    <t>c30ea86f-4ee3-4d51-bb92-ed66f052600f</t>
  </si>
  <si>
    <t>c3e598c1-8f8c-4f40-a1aa-efc53bf47568</t>
  </si>
  <si>
    <t>Parole</t>
  </si>
  <si>
    <t>4bce73e6-f502-42b7-ba5b-85b8b4c910d9</t>
  </si>
  <si>
    <t>db15bbe2-e6dd-462f-a490-82d4f92beeef</t>
  </si>
  <si>
    <t>cc0fef7d-dc19-46fc-a8f4-f9c77c0580f6</t>
  </si>
  <si>
    <t>1818a9df-e50a-4efe-b2e4-0401e844df27</t>
  </si>
  <si>
    <t>3ac211fe-2ca7-46ed-af0c-2d7adc20bccd</t>
  </si>
  <si>
    <t>d4032357-2797-4043-a4c4-78d70ade24c9</t>
  </si>
  <si>
    <t>39ce872b-2025-470f-a8f1-f774a67f0bd3</t>
  </si>
  <si>
    <t>e8f7d8b7-5cab-434d-baae-202d3884e7bd</t>
  </si>
  <si>
    <t>422 pc</t>
  </si>
  <si>
    <t>27c26f0e-9343-4a9d-9eda-42393ab7107e</t>
  </si>
  <si>
    <t>90aad054-a340-429f-8d76-891e2d34f247</t>
  </si>
  <si>
    <t>6b81b4bd-1715-4a36-95ac-9d586a957cc6</t>
  </si>
  <si>
    <t>9e230dcd-5630-4d89-8f8e-c214f88e32db</t>
  </si>
  <si>
    <t>193165e9-bfc4-457e-8413-dfebfae7135f</t>
  </si>
  <si>
    <t>6a9bf4a8-3690-49c5-8bfd-b2a0ff3ad660</t>
  </si>
  <si>
    <t>42110787-93ef-48dc-9559-d6dba0848660</t>
  </si>
  <si>
    <t>theft suspect</t>
  </si>
  <si>
    <t>38614d9e-5918-4147-9313-62dec29e6592</t>
  </si>
  <si>
    <t>33d4630b-fa5d-4908-8ec0-ce1844994f36</t>
  </si>
  <si>
    <t>855e6159-a9f0-4697-9e79-d7c2048dc7b7</t>
  </si>
  <si>
    <t>BOLO</t>
  </si>
  <si>
    <t>1d00b180-bedb-4ed6-b308-619e0effcfe7</t>
  </si>
  <si>
    <t>55f81abc-89fb-490e-931d-95c7f45f4ed2</t>
  </si>
  <si>
    <t>c7ce8e42-d0eb-4462-a894-32410386b691</t>
  </si>
  <si>
    <t>sus id</t>
  </si>
  <si>
    <t>15a331ca-2e8c-43ab-a7a3-14159d18df82</t>
  </si>
  <si>
    <t>5a79eb02-b921-41a9-bdaf-12b219b41e3a</t>
  </si>
  <si>
    <t>3e7db4cc-10c1-4672-8dd1-6c0f5eedddac</t>
  </si>
  <si>
    <t>b31cd7d5-4dec-4f38-89fb-3c8ff68e2440</t>
  </si>
  <si>
    <t>766b4ab7-9dd8-442e-a395-5a39f58f0322</t>
  </si>
  <si>
    <t>724b8850-f9e1-46db-a6d0-b4b18a0638d3</t>
  </si>
  <si>
    <t>cc4bd5d7-002f-4d2d-92e7-0627f3886a92</t>
  </si>
  <si>
    <t>988ea01a-3a0e-4c14-b96a-47b0204e6b69</t>
  </si>
  <si>
    <t>de164699-4421-4d7b-86ac-6dfefe5efbe7</t>
  </si>
  <si>
    <t>029f29e3-2cd8-4dd6-b039-a4c7cdf36e5c</t>
  </si>
  <si>
    <t>10c54244-84c9-43c0-9639-e65eca4be648</t>
  </si>
  <si>
    <t>c6364f96-f341-4b46-b0d9-8ebbad7bf491</t>
  </si>
  <si>
    <t>480105a9-c324-477f-bafa-8acecc0ec9cc</t>
  </si>
  <si>
    <t>32775e77-58d6-4d48-a2d6-308aac1abe41</t>
  </si>
  <si>
    <t>8ea9aabb-6bdc-4007-ad72-1bca6322e819</t>
  </si>
  <si>
    <t>ced4ef0a-7ca3-4935-9dd0-7562f1a10882</t>
  </si>
  <si>
    <t>13acf123-b426-4a2c-b732-9c6d94c79ed8</t>
  </si>
  <si>
    <t>susp veh</t>
  </si>
  <si>
    <t>3e11a1e1-e939-4bc6-84d1-cbdbba19fed7</t>
  </si>
  <si>
    <t>THREATS OF SELF HARM</t>
  </si>
  <si>
    <t>1098bda8-64eb-4f74-bf1a-aae1b137389d</t>
  </si>
  <si>
    <t>8dc90e60-dfd2-4bbf-be23-da36bd90d832</t>
  </si>
  <si>
    <t>27792696-9227-406d-96fd-508c8f17cc68</t>
  </si>
  <si>
    <t>1562ad86-6225-40b0-89bd-fe20fe852238</t>
  </si>
  <si>
    <t>d77893bc-8123-4976-a54e-a515753300ef</t>
  </si>
  <si>
    <t>e01cde5a-be47-40bf-bed6-11830826b598</t>
  </si>
  <si>
    <t>152754d3-2d41-4d38-9b69-d248b73c5f2b</t>
  </si>
  <si>
    <t>4cb2cb53-2d91-4dfc-8bf8-56242ae0c749</t>
  </si>
  <si>
    <t>70e726bc-bf70-4809-bac8-a5bc7d543865</t>
  </si>
  <si>
    <t>e12bcb74-722d-4bc0-a809-78788e9f00fb</t>
  </si>
  <si>
    <t>search for suspect leads</t>
  </si>
  <si>
    <t>1921ef51-4d6e-452b-89e7-f4dcfac384db</t>
  </si>
  <si>
    <t>1ff1187a-e75d-4018-9cc5-1868e52417fb</t>
  </si>
  <si>
    <t>30565961-e8a8-448d-a764-0957a60a99a6</t>
  </si>
  <si>
    <t>01f6ceb5-1473-4f9a-a9ab-c6967a9c486a</t>
  </si>
  <si>
    <t>9320e0fd-bd84-4a3d-81f3-a9e93293f50d</t>
  </si>
  <si>
    <t>a73f0649-9d75-4d11-ab97-2c8a8041b5b4</t>
  </si>
  <si>
    <t>1637d5db-4053-416d-a11d-5c36d05b42f4</t>
  </si>
  <si>
    <t>b6cc4b59-fdec-40ff-912e-18d678ea9dda</t>
  </si>
  <si>
    <t>7f48e873-caab-4b19-987d-59cb51a9a58a</t>
  </si>
  <si>
    <t>0b2d404e-bbcd-4955-8850-4d7b280dfcfc</t>
  </si>
  <si>
    <t>5f2fc84e-ba45-4eec-bfff-ad8ab76a0fe1</t>
  </si>
  <si>
    <t>44b50672-9e41-4248-8ad9-e0f0b9880344</t>
  </si>
  <si>
    <t>136a66f6-8330-4e88-a0f4-edc5dd48bdfd</t>
  </si>
  <si>
    <t>7a94ccb4-82c8-492d-8572-f267750c0e0c</t>
  </si>
  <si>
    <t>8c6e3ca6-43e5-45c4-b854-0e0d2b935520</t>
  </si>
  <si>
    <t>34e73dad-1aed-4516-a502-2d6658c42a76</t>
  </si>
  <si>
    <t>c4f2ac43-8085-4bf7-9096-0831e27a5398</t>
  </si>
  <si>
    <t>34de3eaa-04bb-40d3-a982-8585e1ec8ec3</t>
  </si>
  <si>
    <t>d920927d-8131-4d78-ad12-6af4a1cf832d</t>
  </si>
  <si>
    <t>4a60e6f4-9c20-45b4-a2cb-5c16d7c0653c</t>
  </si>
  <si>
    <t>6b2c5631-1e6e-46cd-8023-6b59fb2044e5</t>
  </si>
  <si>
    <t>4d9d8e16-2df7-4c6d-9580-930d1550a14a</t>
  </si>
  <si>
    <t>482aadad-2c4c-4b78-9afd-8bc796859f7e</t>
  </si>
  <si>
    <t>sus</t>
  </si>
  <si>
    <t>7f0db03e-256f-40c8-8cdb-de896640fcd6</t>
  </si>
  <si>
    <t>3d163f9b-1c51-439e-b989-801893ed1e93</t>
  </si>
  <si>
    <t>b4562326-7db8-4c3a-9787-061ef373f27a</t>
  </si>
  <si>
    <t>8fa3685e-a409-4aed-9c20-9b82452859a9</t>
  </si>
  <si>
    <t>f822128d-0851-40dc-a454-5306cb482877</t>
  </si>
  <si>
    <t>fd673ea7-d1dc-4d73-bdb6-6ddb9d5f8dde</t>
  </si>
  <si>
    <t>wanted person</t>
  </si>
  <si>
    <t>9eff7026-fe25-4e01-8e90-f4ccf66f4e25</t>
  </si>
  <si>
    <t>ba49a8af-0b1d-4d62-a4dc-598a11778073</t>
  </si>
  <si>
    <t>544cf772-0aad-4ef6-9ce9-015df8832ff4</t>
  </si>
  <si>
    <t>9971b825-1911-47ec-a87f-e93dc7285b4e</t>
  </si>
  <si>
    <t>003a80b9-5241-4cb8-b407-91700d958bfb</t>
  </si>
  <si>
    <t>cba86fea-8607-4160-8935-f66b35c27621</t>
  </si>
  <si>
    <t>37303d83-dd79-471c-98e3-4da89d798c09</t>
  </si>
  <si>
    <t>ac9a5864-9cbe-4b51-9c3e-dce6161496f1</t>
  </si>
  <si>
    <t>f20004a5-6644-4c44-8ef5-b98776cda89d</t>
  </si>
  <si>
    <t>360f178a-4598-42a2-97ff-1f7b8395474b</t>
  </si>
  <si>
    <t>e6a8181e-fd01-4857-991f-ece67a66ca65</t>
  </si>
  <si>
    <t>c75fb4cc-86b0-42c9-a495-f3f7b19c2b64</t>
  </si>
  <si>
    <t>867381b2-7d60-4a5f-a1de-83588ec9fed3</t>
  </si>
  <si>
    <t>5d95cbe5-08ea-41a7-a40d-3ef1d2386bca</t>
  </si>
  <si>
    <t>c63ddd1e-0b7e-42d9-a93f-60014f50674b</t>
  </si>
  <si>
    <t>wanted  person</t>
  </si>
  <si>
    <t>db0d7bb7-1082-4c0f-bd82-8ed3cf8853d8</t>
  </si>
  <si>
    <t>SUSPECT ID</t>
  </si>
  <si>
    <t>f987da44-4265-4f14-87fd-a6c42752d01e</t>
  </si>
  <si>
    <t>0facf9c7-e57a-4506-8747-784f3791422e</t>
  </si>
  <si>
    <t>5c50898e-295d-43bd-bf72-785086255bd9</t>
  </si>
  <si>
    <t>65db4938-6294-4132-8d32-793255713d6b</t>
  </si>
  <si>
    <t>2206696e-25d7-43d0-896e-9eb79e211c0b</t>
  </si>
  <si>
    <t>Suspect ID</t>
  </si>
  <si>
    <t>3b2c2303-f12e-49e8-87a1-911c9712d823</t>
  </si>
  <si>
    <t>7983f2f1-d30d-4b55-bd84-4c6764ec8b59</t>
  </si>
  <si>
    <t>e488d20a-d905-4007-b388-c47570833ae7</t>
  </si>
  <si>
    <t>c1964046-3833-4e7c-b397-92fc0eb33bb8</t>
  </si>
  <si>
    <t>7932f814-8887-4665-9129-f1075116a654</t>
  </si>
  <si>
    <t>166 pc</t>
  </si>
  <si>
    <t>52a75a50-c635-4b30-a2af-ae6beb701cc6</t>
  </si>
  <si>
    <t>19a405c2-4db8-40f8-88b6-af412d4f5b75</t>
  </si>
  <si>
    <t>1d0a05cc-36fa-4c99-8f84-b2ef32e97d49</t>
  </si>
  <si>
    <t>Warr</t>
  </si>
  <si>
    <t>511197ff-f983-4270-a4ba-5684c42ec3ec</t>
  </si>
  <si>
    <t>46874d34-a883-41c4-9e17-5296b44d4c63</t>
  </si>
  <si>
    <t>12df24ea-c50e-4ddd-8e94-374a6dc18cb0</t>
  </si>
  <si>
    <t>3938c007-414a-4f5e-91b9-f17f904d4518</t>
  </si>
  <si>
    <t>c3b67a24-0d6c-4df0-9a61-060b1bf28086</t>
  </si>
  <si>
    <t>51025cdc-1dc8-40a1-be7b-84ae6cb93f19</t>
  </si>
  <si>
    <t>7bf00b8c-ed3d-4ee2-ade2-421489ce95f6</t>
  </si>
  <si>
    <t>wanted subject</t>
  </si>
  <si>
    <t>430b50df-bddc-483a-b17f-b114eb14b7aa</t>
  </si>
  <si>
    <t>12334cb5-55ee-4ed2-b686-76bfba5b7f08</t>
  </si>
  <si>
    <t>c4fce92e-1f21-4271-b17d-9ad34572bf62</t>
  </si>
  <si>
    <t>11c2580b-987c-445c-be62-1ef13c0b32fc</t>
  </si>
  <si>
    <t>03534600-aaee-4a79-a5bb-1596afe92c7e</t>
  </si>
  <si>
    <t>2a5a4a70-9ce3-4d4d-9f92-a34ce29be749</t>
  </si>
  <si>
    <t>f0ede450-a881-42b1-b28e-882cb9f12371</t>
  </si>
  <si>
    <t>94305b82-776e-4e0b-a71a-46a8ce7fd49e</t>
  </si>
  <si>
    <t>4c5a606a-5d9f-4f2c-9ea3-0e25af36ac43</t>
  </si>
  <si>
    <t>c5ded555-88ef-4871-93a1-ea8e6c690c1f</t>
  </si>
  <si>
    <t>415f1a36-501c-419a-838d-307cd88da5ec</t>
  </si>
  <si>
    <t>28ccf785-8418-41a7-973c-31128d8e7c54</t>
  </si>
  <si>
    <t>e4a3d78a-fe85-407b-8472-2a5e736b2ef0</t>
  </si>
  <si>
    <t>939bcfdd-2aee-4057-b107-b1d85c1f6c89</t>
  </si>
  <si>
    <t>3703abdb-7437-4c93-b7b7-0fa659d51c03</t>
  </si>
  <si>
    <t>63213d18-57c3-46ee-92e9-91d3f6517237</t>
  </si>
  <si>
    <t>2f43964b-41ba-41e8-ac30-fad8fa4a4f92</t>
  </si>
  <si>
    <t>62d376d8-4e84-47ca-83f8-881cc5d3b8d8</t>
  </si>
  <si>
    <t>adaf9d26-996b-4501-a0b6-9a3843c3128e</t>
  </si>
  <si>
    <t>drug investigation</t>
  </si>
  <si>
    <t>abe73f9e-84b2-4e32-b9d5-7d283ef1919c</t>
  </si>
  <si>
    <t>b6bb0f95-4f9a-44ae-a408-ecf6cd8bd654</t>
  </si>
  <si>
    <t>4f67e078-1da4-4722-89c3-a462b36d377b</t>
  </si>
  <si>
    <t>dd812106-98ba-40a2-b8b1-aa7207a8c365</t>
  </si>
  <si>
    <t>d43ce19d-7770-44c9-ae3d-3bc58eb53c4d</t>
  </si>
  <si>
    <t>3a2572b9-bf3b-42d7-b9e0-e73434a9c89f</t>
  </si>
  <si>
    <t>bbbc8ea2-6606-4020-9eda-2565cfbd98b1</t>
  </si>
  <si>
    <t>14a91ab2-c225-4e6c-b4f1-38cbd5aba211</t>
  </si>
  <si>
    <t>ac67407c-72f5-4c01-92ad-6cbc1d8a6f22</t>
  </si>
  <si>
    <t>57bc8237-d7b5-4fb8-94ab-385540092b6a</t>
  </si>
  <si>
    <t>f50055f6-5d81-4af5-9fe3-30519edbae74</t>
  </si>
  <si>
    <t>d0e5f62f-bd88-43bb-a449-710d8f6bd01a</t>
  </si>
  <si>
    <t>55ea3eb2-17a1-42b1-8fff-94f6f287cab7</t>
  </si>
  <si>
    <t>97b907d3-31b8-40fc-ab12-da397df5a2f7</t>
  </si>
  <si>
    <t>75dc3ce8-0e80-4eb6-8ec0-5b4f4094ae44</t>
  </si>
  <si>
    <t>6ef9ed3f-f6db-4c1c-8499-2d1aa5a1e95e</t>
  </si>
  <si>
    <t>54c444d8-d01c-4ee2-9899-b6d9bb75dafb</t>
  </si>
  <si>
    <t>526067a4-ba1b-4a7d-9151-bda75d70ea16</t>
  </si>
  <si>
    <t>57ad5e0e-02b9-445c-85fb-72fc0d249d14</t>
  </si>
  <si>
    <t>b4fbfab7-aa96-4fcb-80c2-49a67e0262b8</t>
  </si>
  <si>
    <t>c5750016-ea62-4265-adfe-8e8877d05eba</t>
  </si>
  <si>
    <t>0859c25a-c676-4c25-b3e6-b4a27a0b07a0</t>
  </si>
  <si>
    <t>Suspect Id</t>
  </si>
  <si>
    <t>1444205f-eb3a-4375-a04c-01d1cd72a98d</t>
  </si>
  <si>
    <t>e5d72f98-ae47-4608-987c-204a6974ca74</t>
  </si>
  <si>
    <t>315c7494-df00-47af-9ad0-875b9a1bb833</t>
  </si>
  <si>
    <t>e7069794-1198-4f81-ad36-00a6a5ea318a</t>
  </si>
  <si>
    <t>e3b5ee82-73ac-4142-bb6d-8e255fed26ac</t>
  </si>
  <si>
    <t>347e46af-1375-48ec-89d5-a7ead8ea2a18</t>
  </si>
  <si>
    <t>d234b195-e0ee-4be8-9ac7-250b763ec178</t>
  </si>
  <si>
    <t>1078fb76-2e7d-47bd-984c-5a06dac65f4f</t>
  </si>
  <si>
    <t>e7ce41d5-770e-454e-b177-8b2f0fb004ad</t>
  </si>
  <si>
    <t>85c8c481-4c69-49f2-b3aa-0c5688f5c841</t>
  </si>
  <si>
    <t>6324e3e3-57ed-4d70-b24e-44ca141e0ef9</t>
  </si>
  <si>
    <t>48215c63-7e93-44dd-9035-602ec652837c</t>
  </si>
  <si>
    <t>d4247fa8-050f-4d08-a22a-6137badb0888</t>
  </si>
  <si>
    <t>bc576333-25ed-46a8-89f5-6c934241117e</t>
  </si>
  <si>
    <t>Suspect Location</t>
  </si>
  <si>
    <t>4e4ea514-536a-470b-8241-c8ad1bb3ed1d</t>
  </si>
  <si>
    <t>Ramey Warrant</t>
  </si>
  <si>
    <t>617ad87e-b105-4389-b328-ecc350c51165</t>
  </si>
  <si>
    <t>b60ba415-35dd-4171-944d-4d81bd83bd7a</t>
  </si>
  <si>
    <t>ea56eee8-47c6-4075-a5da-c4034c09b34e</t>
  </si>
  <si>
    <t>58ae440f-cd8b-4125-8d23-4fb41453209a</t>
  </si>
  <si>
    <t>15e1af90-a20c-4d1c-99fe-a6082897dc7b</t>
  </si>
  <si>
    <t>49af84df-1ab3-440b-a562-dfbae8d114f6</t>
  </si>
  <si>
    <t>a4b4399c-cc40-49d6-894b-1faa2f9da8f4</t>
  </si>
  <si>
    <t>Want</t>
  </si>
  <si>
    <t>d6447d2c-a2d6-4784-888d-7e206a5c8075</t>
  </si>
  <si>
    <t>b5800111-47f2-4d7b-9317-804a194b9325</t>
  </si>
  <si>
    <t>b4b48dec-2752-4966-a7d6-ebcda39ed903</t>
  </si>
  <si>
    <t>b34cd478-0298-43b4-bc58-674f32a73202</t>
  </si>
  <si>
    <t>f3a34cd5-0b11-46ed-a739-0adeb51d13c5</t>
  </si>
  <si>
    <t>18357777-71dc-490f-ba4e-6850cff20539</t>
  </si>
  <si>
    <t>532ebef0-4390-4a3a-a0c8-060edecc6bb8</t>
  </si>
  <si>
    <t>7602bb6c-3f23-43a5-a159-56ddd273b6a2</t>
  </si>
  <si>
    <t>f4a38f9d-4cff-4896-9a4a-9572ef970a4b</t>
  </si>
  <si>
    <t>9d068b18-17a0-4dbb-a67d-549b82324574</t>
  </si>
  <si>
    <t>b8e2bfae-08dd-4e97-a021-b88974aabf69</t>
  </si>
  <si>
    <t>38bbfe86-670e-43d5-abb3-182c5ac0b534</t>
  </si>
  <si>
    <t>8d1bb23f-c746-4538-bbd7-601791cf35c5</t>
  </si>
  <si>
    <t>f78f37fa-d522-4912-83a1-cd82920727a7</t>
  </si>
  <si>
    <t>914f29fe-562d-41e9-a452-1ff67b5ba51f</t>
  </si>
  <si>
    <t>09e83b10-9f4f-41e1-b2e6-42a286ede2fd</t>
  </si>
  <si>
    <t>02ab72d3-e5ee-464e-b0d3-d45920429bb0</t>
  </si>
  <si>
    <t>eaea8b9f-f4db-454f-be00-287808d49daa</t>
  </si>
  <si>
    <t>e67fc6f1-2b80-4f74-a4ce-c70e1a9415be</t>
  </si>
  <si>
    <t>f6a0127c-af4f-4a46-b011-e6adab48d0b2</t>
  </si>
  <si>
    <t>1671ed54-283e-4814-ad90-d8eefb39b8c9</t>
  </si>
  <si>
    <t>dd24751a-56c0-4583-a811-289eca95e723</t>
  </si>
  <si>
    <t>100ba8b2-3986-48b3-9c06-b2c057c02f39</t>
  </si>
  <si>
    <t>38318297-a10e-4f5f-b249-0251d818777e</t>
  </si>
  <si>
    <t>d21fb204-3578-4ad4-ae6c-03cfb9c86b99</t>
  </si>
  <si>
    <t>1ff654c2-ba6b-4262-8711-fb3c1588c3ca</t>
  </si>
  <si>
    <t>BOMB THREAT</t>
  </si>
  <si>
    <t>91bcd0b2-7193-411b-b73a-26900ad8e00b</t>
  </si>
  <si>
    <t>fff64b2c-3da9-4b52-a897-5435a5503b79</t>
  </si>
  <si>
    <t>POSSIBLE SUSPECT</t>
  </si>
  <si>
    <t>3371e68e-af28-4e13-9b96-4d3ca1a106fd</t>
  </si>
  <si>
    <t>b82ed1fe-d1bb-4fa6-8d6a-e6749224eb6a</t>
  </si>
  <si>
    <t>0c167ded-1dd0-4550-bea7-da0d9ab260d9</t>
  </si>
  <si>
    <t>1f65188a-bbf6-4f04-9a0c-59f9fd259c47</t>
  </si>
  <si>
    <t>288bbc5a-77f9-4da4-b317-0653116cf344</t>
  </si>
  <si>
    <t>a90ce5c9-cd29-496f-8e40-fa84dbc494c3</t>
  </si>
  <si>
    <t>9813ff00-0ee1-4ade-b4f7-cd3c5ed17844</t>
  </si>
  <si>
    <t>4d7fd1b4-8810-4a28-8e31-99c7f58827a3</t>
  </si>
  <si>
    <t>26af75bf-d843-4e0c-8006-362746a55d95</t>
  </si>
  <si>
    <t>veh left behind/check if RO aware for san jose pd</t>
  </si>
  <si>
    <t>29c8eb28-1822-4c02-82bf-2e9f1c7ff477</t>
  </si>
  <si>
    <t>129f6af1-ba5a-47b3-81f9-5dd9819170b8</t>
  </si>
  <si>
    <t>675ac5c6-c7ee-4294-908a-d67af61c9e01</t>
  </si>
  <si>
    <t>37d609d5-bf39-4644-a40e-1f610454285a</t>
  </si>
  <si>
    <t>susp</t>
  </si>
  <si>
    <t>b169ecc3-fcf3-4351-a425-ec004c7aa78b</t>
  </si>
  <si>
    <t>8882f499-1d61-4704-ba9e-75a288a9d80e</t>
  </si>
  <si>
    <t>d37b2958-1315-4d50-a41b-439ddc4c8086</t>
  </si>
  <si>
    <t>Drug Inves</t>
  </si>
  <si>
    <t>20e02e0a-0f56-4f91-a279-1ae21026d04b</t>
  </si>
  <si>
    <t>806979c7-0fdd-4612-ba37-1a95fee8fe67</t>
  </si>
  <si>
    <t>09598fae-2e7d-4969-afe0-0e63ad0df07a</t>
  </si>
  <si>
    <t>b5a94edb-6d5f-4eb4-8b52-018642520655</t>
  </si>
  <si>
    <t>46f99116-51ec-47b6-aad6-cb2b4adea2ac</t>
  </si>
  <si>
    <t>0cfe8357-c6bc-486d-bf5c-33c5e97268b2</t>
  </si>
  <si>
    <t>c8592711-173d-458b-a383-6a5aadfbc3dd</t>
  </si>
  <si>
    <t>a748931d-4102-44fa-99a5-94daff18f71f</t>
  </si>
  <si>
    <t>910041c7-80a8-419f-9e4c-c280a4c4046b</t>
  </si>
  <si>
    <t>Drug Inv</t>
  </si>
  <si>
    <t>489ac29d-5127-4e85-8c9a-c4e4b03c4e20</t>
  </si>
  <si>
    <t>84d05156-a757-496f-a969-e0aafd3bff1b</t>
  </si>
  <si>
    <t>c309cf4b-5bf6-4edf-8ba2-48307d12f0d3</t>
  </si>
  <si>
    <t>c67632a4-ecf5-414b-84f7-633c9ccedcf2</t>
  </si>
  <si>
    <t>195ab0a4-2dd8-4737-ad04-d5b7720859e0</t>
  </si>
  <si>
    <t>65f17e6f-74d3-472f-8e32-03b585c883fc</t>
  </si>
  <si>
    <t>0ead478a-9196-4495-99b4-6d5d7bb5f2b8</t>
  </si>
  <si>
    <t>3ed0a3b7-fc2f-4b41-94a9-7ccf7b228c74</t>
  </si>
  <si>
    <t>e4dfce3d-5c3d-4c19-8c4e-4a5515be7941</t>
  </si>
  <si>
    <t>0c9a206d-f42f-4d6d-a200-260808e4a5fc</t>
  </si>
  <si>
    <t>752ad235-a898-4f25-ab02-11c0a8e61513</t>
  </si>
  <si>
    <t>e9a11c51-ef9f-48e5-a0c0-f2d56a08adc0</t>
  </si>
  <si>
    <t>7f84e5a2-b9c8-438d-84fb-3eae31885002</t>
  </si>
  <si>
    <t>ad3c21c6-1e23-4fa1-a066-a6b07d5bcbe5</t>
  </si>
  <si>
    <t>marijuana suspect</t>
  </si>
  <si>
    <t>5f6c701d-4b08-4da2-9ddc-b4c1c0949fc6</t>
  </si>
  <si>
    <t>marijuana suspec</t>
  </si>
  <si>
    <t>e3a412a3-2de0-47c1-85ef-05eb8ee3fd79</t>
  </si>
  <si>
    <t>5625deb4-8ba3-4c77-b2e5-98f164342507</t>
  </si>
  <si>
    <t>ac3a8211-1189-401f-a936-ee7622da3542</t>
  </si>
  <si>
    <t>6bd08f1b-4a3d-4bc6-bd46-e98c956182a0</t>
  </si>
  <si>
    <t>139a7ba1-285b-4d14-8ea5-825dc7bcd57f</t>
  </si>
  <si>
    <t>cf1027c2-0664-4b9b-8d9f-2ecfaebf131a</t>
  </si>
  <si>
    <t>e1126aea-b07c-48c3-a008-393efdf8cbec</t>
  </si>
  <si>
    <t>Drug intel</t>
  </si>
  <si>
    <t>ec6a948d-1e25-4ec4-8541-7feb68c83947</t>
  </si>
  <si>
    <t>688f6eeb-69ff-44a2-9c4e-17d70863f777</t>
  </si>
  <si>
    <t>b0e99442-ffd6-4a1e-8b51-36b5f2a0b766</t>
  </si>
  <si>
    <t>b30ab02d-b2b9-4877-8860-eea86a816eb6</t>
  </si>
  <si>
    <t>Drug Intel</t>
  </si>
  <si>
    <t>bea1acb9-fa23-448c-b5fd-2dc00ba5ce2a</t>
  </si>
  <si>
    <t>d45c05be-e361-4ada-9eb9-2efe6f6e210c</t>
  </si>
  <si>
    <t>d6c1dab8-4900-46f3-8421-c6c5f48c4ded</t>
  </si>
  <si>
    <t>7dba5405-e312-4fc1-954e-dc7d9a850453</t>
  </si>
  <si>
    <t>d721752b-76ac-48c2-8bed-77a0e98907fc</t>
  </si>
  <si>
    <t>d18ad51a-cd56-4459-801d-49b78426f9a4</t>
  </si>
  <si>
    <t>100b55af-2728-49aa-9688-c968b73fd850</t>
  </si>
  <si>
    <t>a5950a4d-5137-40b2-a5c4-78e640c00923</t>
  </si>
  <si>
    <t>d2fa2e1e-c57b-4985-81c9-90ed49119dc1</t>
  </si>
  <si>
    <t>80538a20-a5a9-4d86-9b90-0e17102a6d56</t>
  </si>
  <si>
    <t>af1a672c-fb2e-4c63-8ff8-9c913be87f73</t>
  </si>
  <si>
    <t>422PC 245PC 29800PC RAMEY WARRANT RED BLUFF PD</t>
  </si>
  <si>
    <t>fa86949b-216a-4f47-9e89-b0f9dc2ba40b</t>
  </si>
  <si>
    <t>3d6b36a7-ce6a-4bec-b5ae-c9503fab482e</t>
  </si>
  <si>
    <t>1b277dd4-c3a6-4533-9db8-9104ac2e7f51</t>
  </si>
  <si>
    <t>ycso suspect</t>
  </si>
  <si>
    <t>9a926815-1167-4219-8abd-0e460012f56f</t>
  </si>
  <si>
    <t>Geand theft</t>
  </si>
  <si>
    <t>9e3d01c1-69e4-4bbd-993a-18617ca35f90</t>
  </si>
  <si>
    <t>53a5d01c-d2ae-4cb6-b879-02e3b3d4a8c1</t>
  </si>
  <si>
    <t>ef6a133d-d9c5-4f7b-aaf4-c543cd415da3</t>
  </si>
  <si>
    <t>55d56ceb-253e-4106-9619-cac05afdaa93</t>
  </si>
  <si>
    <t>2d1aae92-23af-4fa5-a25a-6f46ee014809</t>
  </si>
  <si>
    <t>Grand theft</t>
  </si>
  <si>
    <t>cff0f289-9d34-4fa0-8b28-18309da50dba</t>
  </si>
  <si>
    <t>f4aaac78-e989-4c23-9499-74a696c215ab</t>
  </si>
  <si>
    <t>5e02aee3-d052-40a6-a609-11a83efc6cbf</t>
  </si>
  <si>
    <t>3dd33280-bb3b-469d-b5da-090f70dec74f</t>
  </si>
  <si>
    <t>f31e153f-d2b3-4545-b936-10120bc3aca0</t>
  </si>
  <si>
    <t>1478c312-9dfc-4b04-a4db-1aa31cccdd76</t>
  </si>
  <si>
    <t>eb349dd2-97cf-4947-ac22-97b24bf733ba</t>
  </si>
  <si>
    <t>bac6b20a-d037-4cad-bfe4-147cac32b48f</t>
  </si>
  <si>
    <t>8ffaab22-20de-4ca5-8482-a2ff446e2f50</t>
  </si>
  <si>
    <t>ed273829-40cf-4a87-9649-b5c03fb6358a</t>
  </si>
  <si>
    <t>542739ab-f253-4403-8f51-98533bc630cd</t>
  </si>
  <si>
    <t>8416a60d-bffd-45ac-b578-eb2b8009a85b</t>
  </si>
  <si>
    <t>public masurbater</t>
  </si>
  <si>
    <t>09c9c5e7-06e5-4331-ac7c-b3ec326e3b1b</t>
  </si>
  <si>
    <t>314 suspect</t>
  </si>
  <si>
    <t>ddde2919-c699-485e-80b1-2048798b12fe</t>
  </si>
  <si>
    <t>bd7eadc8-b0bf-4dbd-a081-6b09e14a0052</t>
  </si>
  <si>
    <t>7d114df4-dc16-40e4-a46f-bb12560ad9b6</t>
  </si>
  <si>
    <t>169119fa-4eee-433b-b863-6d55168c8217</t>
  </si>
  <si>
    <t>00c1a770-4cc4-459f-90b8-7a950eb18402</t>
  </si>
  <si>
    <t>541a6f0b-39bc-408f-b21a-6c37ef55c1d8</t>
  </si>
  <si>
    <t>1e0c5cc4-3b70-425f-a65b-6e49ccab05b4</t>
  </si>
  <si>
    <t>243d suspect</t>
  </si>
  <si>
    <t>81991c96-00cf-4e8d-8467-cc0fb8763442</t>
  </si>
  <si>
    <t>5e81ef47-f2b7-40ee-8c63-a31dd71add6c</t>
  </si>
  <si>
    <t>5be8d67e-3b56-40d1-94e1-f23d29a30830</t>
  </si>
  <si>
    <t>2078b152-6691-4b8c-9480-a3ea017e83db</t>
  </si>
  <si>
    <t>41d1373e-6180-4a44-ac61-5a952ae72a74</t>
  </si>
  <si>
    <t>e0e18aa5-6ef0-4135-9740-0ba96a1a00a6</t>
  </si>
  <si>
    <t>487 pc suspect</t>
  </si>
  <si>
    <t>b1ce9a09-5723-4a16-a19b-baddd306f4ca</t>
  </si>
  <si>
    <t>537495b5-7236-4a7d-8e71-f4ba9d9c972c</t>
  </si>
  <si>
    <t>69b1b210-e386-4e83-a82d-e22d2fa93ed7</t>
  </si>
  <si>
    <t>d0961ad5-0f8a-4a38-9cbf-f29796e8210e</t>
  </si>
  <si>
    <t>suspect id</t>
  </si>
  <si>
    <t>4591eb75-7b70-4084-9fc3-07d6b591ff12</t>
  </si>
  <si>
    <t>7a3f054a-6711-4b84-b21e-15f3edbadd1e</t>
  </si>
  <si>
    <t>498796e4-d2e7-46fc-a238-ad14426f781d</t>
  </si>
  <si>
    <t>2439d428-4734-4141-8af6-228f09cc30e1</t>
  </si>
  <si>
    <t>81edddd8-d518-411a-9560-d27fa4172a62</t>
  </si>
  <si>
    <t>90162604-a3b0-4b8b-9ee5-aa3246171e42</t>
  </si>
  <si>
    <t>115e99f1-8f99-45b1-9ec2-b1844acfe86d</t>
  </si>
  <si>
    <t>d7fb8fdb-4785-4037-b73b-7737cc6f1f99</t>
  </si>
  <si>
    <t>cccc3e9d-33f3-4972-b18e-346364f94243</t>
  </si>
  <si>
    <t>e7de2b3c-0242-49c3-830a-ca459786cb6c</t>
  </si>
  <si>
    <t>a73aed18-d1b9-4409-a82e-3c62345bbfa5</t>
  </si>
  <si>
    <t>ca5fce14-01d4-4db0-a16e-51d6d211676b</t>
  </si>
  <si>
    <t>64c850b4-ec05-4110-af7e-18c4581367f1</t>
  </si>
  <si>
    <t>0d7949fc-79a5-4ad8-a2c7-40ee8ec39d1a</t>
  </si>
  <si>
    <t>2c5fe828-5e22-4f01-b6f0-073a385b3ddb</t>
  </si>
  <si>
    <t>04656ab1-f046-45f7-9337-69012700079c</t>
  </si>
  <si>
    <t>d6f4739c-ad4d-470d-87ec-3787607f5153</t>
  </si>
  <si>
    <t>4b5d127e-7c7c-43e0-a6bf-f149f28ccd9f</t>
  </si>
  <si>
    <t>7b99c73b-e240-4041-9c98-021f40329b8d</t>
  </si>
  <si>
    <t>b26e432f-7163-486f-b105-fb25d4c8dbf9</t>
  </si>
  <si>
    <t>10930a7c-46bc-473b-8c39-00a5d3f7fd34</t>
  </si>
  <si>
    <t>6e185982-ea71-4d04-afdd-94c29fbe1887</t>
  </si>
  <si>
    <t>869d57b5-56a6-4327-8819-e9211ade1cf1</t>
  </si>
  <si>
    <t>89a6545e-0c14-4663-892e-966f894b951b</t>
  </si>
  <si>
    <t>cdcbb103-abb5-42ab-b63f-9d969cbb0b6f</t>
  </si>
  <si>
    <t>211 vehicle</t>
  </si>
  <si>
    <t>d308ffcf-716f-4803-bc52-1815047f5e64</t>
  </si>
  <si>
    <t>7e8c75eb-7996-4eda-9782-4168b2da1b57</t>
  </si>
  <si>
    <t>6d6ddf72-13d1-44b6-9ef7-9e61011fcc66</t>
  </si>
  <si>
    <t>83d95d4a-c493-4c2e-816e-2d4d1c3b57a4</t>
  </si>
  <si>
    <t>10b42beb-9edc-4932-ab13-7420698deadc</t>
  </si>
  <si>
    <t>cff95554-2d2b-4816-b198-ac9ccdb1a144</t>
  </si>
  <si>
    <t>68a2b211-4742-4709-bcd3-5c4365542b46</t>
  </si>
  <si>
    <t>7489a670-3d73-4ccf-8811-304475898257</t>
  </si>
  <si>
    <t>0e47a6c2-803f-4ff5-9351-896b2eacf087</t>
  </si>
  <si>
    <t>7b493a06-36ac-4ea4-9481-1c82b74c0579</t>
  </si>
  <si>
    <t>5d87168f-584c-4d24-8952-0a98d7cd5cd5</t>
  </si>
  <si>
    <t>7475740d-c08a-429c-a4e3-5d47607ab625</t>
  </si>
  <si>
    <t>d8bbeda6-854a-4642-9d23-cd78ec1acfe5</t>
  </si>
  <si>
    <t>d23b7ef5-4c0e-4ef5-8a78-32d7297aa42d</t>
  </si>
  <si>
    <t>23838295-70e9-45c8-ad21-95bdbb078e08</t>
  </si>
  <si>
    <t>da830dc5-7049-4c67-937c-046f15d848a3</t>
  </si>
  <si>
    <t>79e1535e-55c2-48f3-827b-138bf7c612cc</t>
  </si>
  <si>
    <t>860e2fdf-afbc-4b6b-b785-4c0cc053d053</t>
  </si>
  <si>
    <t>dbabfc17-5d67-4222-aabc-fb7bd186f4e5</t>
  </si>
  <si>
    <t>b638406b-b095-49e5-a75a-a7bbbb4b5498</t>
  </si>
  <si>
    <t>411c2756-685e-4ba2-8ddb-8b381922e39e</t>
  </si>
  <si>
    <t>b2c22624-e116-49e9-9ebd-6a2adcbe575a</t>
  </si>
  <si>
    <t>13430899-61ad-4c1a-a5b0-5ff1f6ee0721</t>
  </si>
  <si>
    <t>60f3bf5d-a457-4f24-aea4-bdf87bcce1f3</t>
  </si>
  <si>
    <t>bfe2d4ac-26f2-444f-95cb-423fab1c637e</t>
  </si>
  <si>
    <t>146a5dee-76b4-4a61-a30b-c15e060c4ea6</t>
  </si>
  <si>
    <t>f863ae3f-f0cc-4d98-b024-f1d88a1ac772</t>
  </si>
  <si>
    <t>98630c4a-959a-4655-8d60-123cb8d25b2e</t>
  </si>
  <si>
    <t>17d1bb30-8d31-4578-9519-45e45ed6d6fd</t>
  </si>
  <si>
    <t>id susp vhicle dv</t>
  </si>
  <si>
    <t>15ec2e9f-3441-443a-bc2f-061deae3de06</t>
  </si>
  <si>
    <t>417PC</t>
  </si>
  <si>
    <t>9464b2db-6e06-403b-a992-e2b632d8247b</t>
  </si>
  <si>
    <t>729be706-4e7d-4f70-aac3-9fa3743b4247</t>
  </si>
  <si>
    <t>67c30353-d7dc-4948-95cc-ff3e77279eb0</t>
  </si>
  <si>
    <t>92e6688b-d50a-4595-bdbf-5341a981e5f2</t>
  </si>
  <si>
    <t>Total Searches</t>
  </si>
  <si>
    <t>f5e7dfe6-2ecc-4e35-9165-b3f6fa9cbffc</t>
  </si>
  <si>
    <t>e4b77f3a-0584-42d6-9e9c-a0b18317dec6</t>
  </si>
  <si>
    <t>e7af7075-4661-4457-acac-ca203672c504</t>
  </si>
  <si>
    <t>345934a4-1a8d-45b0-b8f8-5f8d40652097</t>
  </si>
  <si>
    <t>6c74e8b5-6e53-41cb-8623-c49f151d1c70</t>
  </si>
  <si>
    <t>db3aff22-4f62-4e4a-9dd0-5b7321587957</t>
  </si>
  <si>
    <t>beaae1b5-375f-4ff8-8379-2fe955141e00</t>
  </si>
  <si>
    <t>56bc436a-e97c-4590-b30d-312a690a8477</t>
  </si>
  <si>
    <t>207 sus</t>
  </si>
  <si>
    <t>9fa08c4b-a605-47ac-ba5c-9d4a62138351</t>
  </si>
  <si>
    <t>a7433e43-556d-4223-9376-abfbe92df905</t>
  </si>
  <si>
    <t>39922d4e-9d49-4184-b874-b8b0de1faa37</t>
  </si>
  <si>
    <t>48d356ff-c74b-43de-9194-53fba3db290b</t>
  </si>
  <si>
    <t>c8bff3cb-23ae-411d-88ea-9478fb89cf96</t>
  </si>
  <si>
    <t>512e59e4-2d18-42c8-9198-2cb82a260d07</t>
  </si>
  <si>
    <t>11100dd1-7a0c-4bb4-a888-9ecc9c767500</t>
  </si>
  <si>
    <t>susp. veh</t>
  </si>
  <si>
    <t>08b4c41e-f91f-4f53-8485-e38e9048f5d2</t>
  </si>
  <si>
    <t>drug inv</t>
  </si>
  <si>
    <t>5a23b06c-30bb-4bad-b487-1a2cb530f68d</t>
  </si>
  <si>
    <t>suspect</t>
  </si>
  <si>
    <t>d8580a5a-b75a-41bb-af91-8f7a393ec685</t>
  </si>
  <si>
    <t>7b84d681-f2e0-40b4-988a-164a6a7df1d7</t>
  </si>
  <si>
    <t>bbc2aeaa-13dd-4e94-826a-0063ff5c0011</t>
  </si>
  <si>
    <t>ebcaeda4-6182-46d1-b3d8-fb3d242af694</t>
  </si>
  <si>
    <t>9c977d6d-780d-4cdc-b8dc-8c46d8dcd1b2</t>
  </si>
  <si>
    <t>6515089f-fa15-4d91-aa6d-c1c69f2a4fcc</t>
  </si>
  <si>
    <t>Ul93101</t>
  </si>
  <si>
    <t>d9918633-dbcb-4d9b-867d-139f93328fdc</t>
  </si>
  <si>
    <t>0c260f1e-c007-42ad-80a0-c9cd7b6a3214</t>
  </si>
  <si>
    <t>6609bae6-422c-44fb-a2ef-ad6695b0d45d</t>
  </si>
  <si>
    <t>1ddd4ac2-a864-4236-8026-7481e7990ef9</t>
  </si>
  <si>
    <t>10b27aab-b491-4505-ae52-195c8abb7351</t>
  </si>
  <si>
    <t>c81f4b19-39cf-48c9-9469-c15b947b1672</t>
  </si>
  <si>
    <t>f48b1d62-c451-4a93-97f0-064b43b1ad89</t>
  </si>
  <si>
    <t>2897eae4-2abc-4d84-a944-d31774a1d0da</t>
  </si>
  <si>
    <t>bc62c5e6-d65e-45d3-b30e-e5b89428c26e</t>
  </si>
  <si>
    <t>f4fcfb1f-85a1-432b-866e-ddfa41e4a0d0</t>
  </si>
  <si>
    <t>fd2b9d57-091a-4892-b387-adbb19241bc3</t>
  </si>
  <si>
    <t>459.5pc</t>
  </si>
  <si>
    <t>d85c297e-d2dd-49a0-82f5-7f8457ad99c7</t>
  </si>
  <si>
    <t>88428d8c-5d56-4f7f-b2be-c4e04c71cbdb</t>
  </si>
  <si>
    <t>73c8680a-8222-440a-a937-58c376ad25ae</t>
  </si>
  <si>
    <t>2b8174fb-5d85-4fae-aaa7-e3d3efe32357</t>
  </si>
  <si>
    <t>462ce606-b56f-4d69-8f40-55c9d60ade6c</t>
  </si>
  <si>
    <t>877496fe-0225-47d9-8ad0-c5148855c5f0</t>
  </si>
  <si>
    <t>ec0bbc07-4c36-4db1-813c-67e261229e0f</t>
  </si>
  <si>
    <t>46fd1f59-046d-448c-a70b-e646c8379a4f</t>
  </si>
  <si>
    <t>ca7a24a0-edca-4c75-ba0c-82c31bfeaf84</t>
  </si>
  <si>
    <t>ee5e4849-cf95-4e1c-b8d9-c9a8d0851891</t>
  </si>
  <si>
    <t>9dc7dd4c-bd9d-4c2c-9a20-18f56d605db0</t>
  </si>
  <si>
    <t>41e20acc-8445-42de-afe8-291f8d6fa9d1</t>
  </si>
  <si>
    <t>55c44ad2-e7c0-41df-9c0c-efb663a4ff6d</t>
  </si>
  <si>
    <t>2dccaadf-eb47-4a06-af0a-d28f3e061440</t>
  </si>
  <si>
    <t>6decb772-a09f-4ef5-b7d7-a9e33fd412ea</t>
  </si>
  <si>
    <t>SURVEILLANCE</t>
  </si>
  <si>
    <t>a4aad8c1-c80f-4c85-8766-3ec240183825</t>
  </si>
  <si>
    <t>e164497a-a501-41e9-a1d0-3ef84a740a6c</t>
  </si>
  <si>
    <t>75a9c115-66e2-4592-ac5d-adb19b32d9bd</t>
  </si>
  <si>
    <t>4bbee711-0917-49e7-a4a3-e0121dde141d</t>
  </si>
  <si>
    <t>734ffb33-caf9-476f-9953-7e3c53f4eab9</t>
  </si>
  <si>
    <t>6b42c252-cb1d-45fd-8f7f-4d74e8f3776d</t>
  </si>
  <si>
    <t>Row Labels</t>
  </si>
  <si>
    <t>Grand Total</t>
  </si>
  <si>
    <t>5ab72550-81de-49ba-b4df-894317b787c3</t>
  </si>
  <si>
    <t>e2a1916b-68f7-4d06-94fd-339ed4d095e6</t>
  </si>
  <si>
    <t>8c6b6af1-19ae-4262-9927-440f346a2674</t>
  </si>
  <si>
    <t>50da20ec-c023-4ac3-ba53-743eb1d68c32</t>
  </si>
  <si>
    <t>ac76fd04-a482-403f-89e4-228ebbfb6e4f</t>
  </si>
  <si>
    <t>af226a57-f6dd-4bf2-90c7-8bb8d0ac63a0</t>
  </si>
  <si>
    <t>395cd1df-6462-4f98-9ffe-3502d5644f5f</t>
  </si>
  <si>
    <t>d7c42c01-1c9e-4d8b-b413-253c853eea8b</t>
  </si>
  <si>
    <t>03678c54-9351-473d-b051-d7b5f82c85a6</t>
  </si>
  <si>
    <t>f1dedf7c-2422-4e3c-9010-6b26939754fd</t>
  </si>
  <si>
    <t>d4facc7c-0eec-40ab-ae76-dba5ef6ca14d</t>
  </si>
  <si>
    <t>dca85e1d-71b2-413d-afe9-142abd6c1275</t>
  </si>
  <si>
    <t>a1fab892-020f-4d5f-a0e5-c851655a788f</t>
  </si>
  <si>
    <t>4ce7b4c7-b58a-4133-a4b0-6a713d99de94</t>
  </si>
  <si>
    <t>4965fe2d-461b-4876-a128-ce07804348be</t>
  </si>
  <si>
    <t>Ycso suspect</t>
  </si>
  <si>
    <t>4daef9aa-2443-4ff1-8c1d-50bafd67f722</t>
  </si>
  <si>
    <t>af09d788-71f9-4cef-8799-89cca3e9df43</t>
  </si>
  <si>
    <t>e4b30b94-e223-43c4-8400-0a6448630fa8</t>
  </si>
  <si>
    <t>c1c45dff-bc9d-4a62-b55f-cccf1f2333fc</t>
  </si>
  <si>
    <t>7ba9c49a-bddd-4cf0-b42e-f8c4ede3b19d</t>
  </si>
  <si>
    <t>819354d7-da75-4d61-b9b9-736b6efc351c</t>
  </si>
  <si>
    <t>9b8fce38-2963-4dfd-abd9-8f3a0ebe0c87</t>
  </si>
  <si>
    <t>e573db76-6bed-48fa-9017-f54a1074b303</t>
  </si>
  <si>
    <t>8a400e93-a584-49ee-b4b8-55a3f247c37f</t>
  </si>
  <si>
    <t>7829c03f-d555-4fb5-82ba-23cbfcfdd34d</t>
  </si>
  <si>
    <t>f071543b-85fd-4d90-b889-1ac50e32f520</t>
  </si>
  <si>
    <t>3af18ccc-6a22-422b-89d0-d858bfdf4859</t>
  </si>
  <si>
    <t>8c8edd18-2a8b-4649-9c0e-ed43fdcb26d4</t>
  </si>
  <si>
    <t>6e7b3a33-4eee-4144-8e63-d4d5dacc0e0b</t>
  </si>
  <si>
    <t>77c050c7-1ae4-49cb-8eb6-5039a0b0c15e</t>
  </si>
  <si>
    <t>32ac4328-2cc4-40ba-90ce-8e8d118d0dbd</t>
  </si>
  <si>
    <t>cc65cb3e-6ca6-47fb-8172-3735e5999a6c</t>
  </si>
  <si>
    <t>48593cca-5217-4d1d-92b7-8747e8d5a1f1</t>
  </si>
  <si>
    <t>83efbec8-fdfb-43f4-aa72-d5ac746f65d1</t>
  </si>
  <si>
    <t>1d22354e-a050-45b6-97fb-a87f7ed74b75</t>
  </si>
  <si>
    <t>27eac5b6-a188-4e10-bcb9-d8415a2b622c</t>
  </si>
  <si>
    <t>83adff89-6630-4cfa-984a-7c9af53f372d</t>
  </si>
  <si>
    <t>2a625dac-9000-4ce2-8df2-64fa74ac2247</t>
  </si>
  <si>
    <t>c938f393-052c-4ffb-9e75-b738102bf096</t>
  </si>
  <si>
    <t>b1702192-d6e5-46f2-b5fe-e32857c39f99</t>
  </si>
  <si>
    <t>1e59d0a4-a705-4ccf-97af-31a3d2b2cf0f</t>
  </si>
  <si>
    <t>1e19f21f-bb14-46f7-87ff-595aac57d5dc</t>
  </si>
  <si>
    <t>cb9f1d88-6148-4e0c-8a76-85d282093d82</t>
  </si>
  <si>
    <t>21acd6bf-84b2-430d-aa8a-93d11e9a2d63</t>
  </si>
  <si>
    <t>3ae4b659-54ea-4914-b220-55c1ad64a66f</t>
  </si>
  <si>
    <t>3aef734d-5a97-4fa3-ada9-e781398100ee</t>
  </si>
  <si>
    <t>481a660d-a2de-4173-8e29-79e48c0d4f6b</t>
  </si>
  <si>
    <t>75d3e2c2-8425-4ee0-854e-fff5ebfe6287</t>
  </si>
  <si>
    <t>20e842eb-af2c-43d5-a145-4e4f4023a1fc</t>
  </si>
  <si>
    <t>f1333cc7-96bb-4f69-97fc-bed717ed0c98</t>
  </si>
  <si>
    <t>10-36</t>
  </si>
  <si>
    <t>30345e5f-0bb9-4b6b-a18f-3e930eaf8b8f</t>
  </si>
  <si>
    <t>d45c352d-0768-432f-b3be-6d5f7ad5ae1d</t>
  </si>
  <si>
    <t>c2fe70fe-f83d-4d7c-ba15-47fead2113a0</t>
  </si>
  <si>
    <t>72c64700-06e6-4fda-aae0-20763eb01f86</t>
  </si>
  <si>
    <t>0aadea57-9e4d-4a80-83a4-ec66af4269d3</t>
  </si>
  <si>
    <t>12398881-411f-4e9e-aa76-e04e47f4dac0</t>
  </si>
  <si>
    <t>1350bd9f-d3f1-4389-8087-6b3ade83b309</t>
  </si>
  <si>
    <t>5eb8695f-3358-42ea-ba02-b8ef6855396f</t>
  </si>
  <si>
    <t>3172e582-0dba-40b6-b0e4-1ac1814323f6</t>
  </si>
  <si>
    <t>382ed00c-f462-41db-a036-b90522c7aece</t>
  </si>
  <si>
    <t>590de0f8-a14a-44e6-a458-afee6cabc129</t>
  </si>
  <si>
    <t>c30e2d2d-a5b9-46dd-946d-4f47313faa28</t>
  </si>
  <si>
    <t>05013151-4771-476f-8a9f-e34b0f51536e</t>
  </si>
  <si>
    <t>5ddae220-78eb-46e2-91d8-97c5d43d3b9e</t>
  </si>
  <si>
    <t>67948a81-06ae-47e7-991d-8802036ae0d2</t>
  </si>
  <si>
    <t>8a25989b-6ec2-4a6a-82e5-01243ac848fb</t>
  </si>
  <si>
    <t>43c91a5f-3da8-40af-bc27-b5f6970cde44</t>
  </si>
  <si>
    <t>a250b1ad-0b46-443c-99d3-2198abff48bf</t>
  </si>
  <si>
    <t>41400740-2d22-4a73-bd90-8b49f1896d8d</t>
  </si>
  <si>
    <t>1adfd2ca-2da4-485c-967b-af4c7a747c5f</t>
  </si>
  <si>
    <t>4afa6927-db97-4482-99c4-2030de7c6617</t>
  </si>
  <si>
    <t>ca81956d-e02f-4f59-80e3-bb99a943a3dc</t>
  </si>
  <si>
    <t>bd36ced5-b8f6-4112-b620-d2c171d74ee1</t>
  </si>
  <si>
    <t>435882b9-9fc2-4a8f-a754-c65f594f7b8f</t>
  </si>
  <si>
    <t>(blank)</t>
  </si>
  <si>
    <t>d797d414-fd74-4a9e-a5f3-2d8d9077aadb</t>
  </si>
  <si>
    <t>4a7ec7d6-10a6-40ee-90bb-0a3e86fce4c5</t>
  </si>
  <si>
    <t>b3f02c00-2b6b-4290-83b3-5f036220240c</t>
  </si>
  <si>
    <t>57c9d9c0-a44d-4233-8aa7-f9d50ba81a61</t>
  </si>
  <si>
    <t>87ab8b9b-35eb-4cb3-887b-1d724e329402</t>
  </si>
  <si>
    <t>5ff94a1f-8d67-45d1-bb76-86677d8fc4d4</t>
  </si>
  <si>
    <t>9a4ced56-6a86-445e-ac48-5ae1d6a810b5</t>
  </si>
  <si>
    <t>e9a25772-a729-4063-a9e4-da071e636f9d</t>
  </si>
  <si>
    <t>a5860cae-9326-4b6a-aacc-eee724ea1871</t>
  </si>
  <si>
    <t>c5a4c308-6f82-4cbf-8d15-4c8f421adf4d</t>
  </si>
  <si>
    <t>a6b410a7-7d42-462f-937d-84c4cc598f9d</t>
  </si>
  <si>
    <t>ff25ff40-9e7a-4abb-837d-dfbac11e428b</t>
  </si>
  <si>
    <t>1de20b69-16a3-48aa-9eee-7ced78fcea55</t>
  </si>
  <si>
    <t>54833635-bfc3-4103-a585-4f7403ffd57c</t>
  </si>
  <si>
    <t>2bf85b9b-6f10-40e4-ae21-0dd8990cb6ab</t>
  </si>
  <si>
    <t>c9cfd292-e470-43fc-834c-020cc7a2d494</t>
  </si>
  <si>
    <t>fd046877-d573-491c-86e2-900bc57fff4d</t>
  </si>
  <si>
    <t>78303c7e-63c0-47f0-8c7e-da2e58f78992</t>
  </si>
  <si>
    <t>89242197-b5a8-4f81-a5b1-2f41c4687ac4</t>
  </si>
  <si>
    <t>1d3a53de-d40e-4082-bd42-1a5b2d23cbee</t>
  </si>
  <si>
    <t>22764ab8-6ec9-4b50-8c37-33abe7a06bcf</t>
  </si>
  <si>
    <t>03e7edcc-2c92-4ca5-b9ee-f0c0da6758a9</t>
  </si>
  <si>
    <t>9b86e2d4-104a-4d44-877b-9a1be5c2f67d</t>
  </si>
  <si>
    <t>DV SUSPECT VEHICLE</t>
  </si>
  <si>
    <t>3b13c660-8532-4dac-b8ab-c9c604bd148f</t>
  </si>
  <si>
    <t>197b3b9c-4f4c-48e9-9788-1507299cb1ab</t>
  </si>
  <si>
    <t>ca7ba16e-983f-45d8-ba72-1f20b68f80f3</t>
  </si>
  <si>
    <t>f847511b-8ade-4d65-9527-954fe65bf4e3</t>
  </si>
  <si>
    <t>5777369f-666c-4843-baf4-32278c353d53</t>
  </si>
  <si>
    <t>207</t>
  </si>
  <si>
    <t>8066d6ec-ad31-4374-974e-6b0dabe0b7af</t>
  </si>
  <si>
    <t>6a99c254-d0d4-4786-8b62-f76c1aae0892</t>
  </si>
  <si>
    <t>7c1d021c-84dd-49ed-9270-43a7aedaca5f</t>
  </si>
  <si>
    <t>f7b38140-221b-418e-a8b2-474e0d1b0d44</t>
  </si>
  <si>
    <t>827e5691-107a-44f5-868f-63c24a1f38fb</t>
  </si>
  <si>
    <t>faf6c190-1871-44fc-b735-573af41e55ed</t>
  </si>
  <si>
    <t>12d79a02-1e01-4dce-9ad4-3ff7befcc0b1</t>
  </si>
  <si>
    <t>c93860f1-94ab-4459-a8fc-aa3acddf673d</t>
  </si>
  <si>
    <t>6cae09f7-38bf-40fc-a60c-935e82917d2c</t>
  </si>
  <si>
    <t>d485c884-0cb6-418c-8e14-380594781989</t>
  </si>
  <si>
    <t>cc4005cd-0b4f-465b-a450-3d73176e2b6b</t>
  </si>
  <si>
    <t>5140e4c9-438a-4fba-a9a4-90678ca0e072</t>
  </si>
  <si>
    <t>6edf040f-9405-4d05-b927-298c1d527d9a</t>
  </si>
  <si>
    <t>05dca163-b741-4646-ace1-ebf1856ab9f8</t>
  </si>
  <si>
    <t>1036</t>
  </si>
  <si>
    <t>665fab9c-5ca0-4726-8671-a1d5e18c1bfa</t>
  </si>
  <si>
    <t>9ae13cbb-4b3d-430f-9a50-3344e8c323bc</t>
  </si>
  <si>
    <t>c68c2a90-f25a-4ba6-99de-c1b087712748</t>
  </si>
  <si>
    <t>suspet</t>
  </si>
  <si>
    <t>6a6a599b-5e45-48c2-b6a7-fa7519e81e78</t>
  </si>
  <si>
    <t>2800.2 cvc</t>
  </si>
  <si>
    <t>d4dfeef3-698c-417b-8689-edc666c3ced1</t>
  </si>
  <si>
    <t>694a846d-5387-4652-b6bd-2c42c4c142e8</t>
  </si>
  <si>
    <t>f16cd9ec-51e8-49d1-8444-70fa50cebc64</t>
  </si>
  <si>
    <t>688ab5bb-2f29-4707-9925-32a97e768da8</t>
  </si>
  <si>
    <t>7b1c3e24-072c-4584-8abe-b4e05d769013</t>
  </si>
  <si>
    <t>fd7f8583-05e3-40ab-afeb-48b9d807a440</t>
  </si>
  <si>
    <t>fb98d5b9-dfc8-476f-806d-467158ef2900</t>
  </si>
  <si>
    <t>6dde6395-0478-49f7-a8cf-8ddbbf186ba3</t>
  </si>
  <si>
    <t>2acc018f-839e-420a-9288-109e380c9813</t>
  </si>
  <si>
    <t>8758775a-a5af-4776-b109-7e0d6ebf5a71</t>
  </si>
  <si>
    <t>99713546-549d-4e13-95bc-2e7ffdbb96b6</t>
  </si>
  <si>
    <t>90a4daaf-2a29-4c73-a0da-39a1d5b756fc</t>
  </si>
  <si>
    <t>065cac6f-3be4-40b2-afd5-c746da0d0d0b</t>
  </si>
  <si>
    <t>130965f1-2439-4b91-bfd6-7bdc02b2632c</t>
  </si>
  <si>
    <t>d6be33a2-86c4-468e-88f9-f869260cd918</t>
  </si>
  <si>
    <t>040e67b9-5f4d-4111-9227-f8e7a147669e</t>
  </si>
  <si>
    <t>519b67d2-37d6-4e5a-82e0-b3c6b8b1e7ba</t>
  </si>
  <si>
    <t>50f8b721-792e-4ea1-acf2-a3deedec7f3b</t>
  </si>
  <si>
    <t>f76fb114-21d6-4677-9e08-738641f92282</t>
  </si>
  <si>
    <t>0d10be30-d894-4742-b1f0-33bf7dd5a28e</t>
  </si>
  <si>
    <t>b3767be6-0c45-421a-9ed0-3d8208507d3d</t>
  </si>
  <si>
    <t>657e9fdc-1a9c-4bab-9706-0962deeca968</t>
  </si>
  <si>
    <t>7ff9ddcd-ec52-4599-bd5d-a8690c5ff1e5</t>
  </si>
  <si>
    <t>470e0487-e6b6-43be-8e2b-d93b571056bb</t>
  </si>
  <si>
    <t>4e1d8fd6-d5db-42b4-984a-42f6647dac80</t>
  </si>
  <si>
    <t>aaff61fc-d419-42f2-abe4-55e145890376</t>
  </si>
  <si>
    <t>Felony Warrants</t>
  </si>
  <si>
    <t>408960f6-da2a-4b32-8d53-354144253909</t>
  </si>
  <si>
    <t>436e2d66-0d6c-4ed1-a05d-b77b2f234d1c</t>
  </si>
  <si>
    <t>felony warrant</t>
  </si>
  <si>
    <t>28535af2-d966-4302-91c7-46859f24ebda</t>
  </si>
  <si>
    <t>1b202907-ac63-4940-ad67-6b38426cbc6a</t>
  </si>
  <si>
    <t>c9282ed5-9307-4458-a6a9-cdc1fffeab35</t>
  </si>
  <si>
    <t>f2003eda-a9ab-4c95-962a-32eec0022728</t>
  </si>
  <si>
    <t>9414a570-bbad-4ba6-8c6c-e1fde34ca1c3</t>
  </si>
  <si>
    <t>6afff189-52de-4ccb-9d8d-c92f5800594f</t>
  </si>
  <si>
    <t>9df07f4e-0e25-4be0-a2ee-a64fab7ecfe7</t>
  </si>
  <si>
    <t>f8e10c96-9d1e-44db-87ab-b04144ca17fc</t>
  </si>
  <si>
    <t>3de95bfb-8aae-455f-9e6f-b8f0720ce390</t>
  </si>
  <si>
    <t>MP</t>
  </si>
  <si>
    <t>eef00923-f9df-4782-b3e5-2a067025c9fd</t>
  </si>
  <si>
    <t>39756261-c681-4c45-8bae-6d6f5595ce6c</t>
  </si>
  <si>
    <t>3b67470e-0ce8-42be-abfb-29e7dfab1abf</t>
  </si>
  <si>
    <t>41159026-6466-4973-883d-02831311d848</t>
  </si>
  <si>
    <t>e848902b-c597-4d4d-88e9-45bc4cd2514f</t>
  </si>
  <si>
    <t>bca4b010-ad51-48d8-a77a-92c2a8226162</t>
  </si>
  <si>
    <t>eb70b341-5172-4401-9e35-ba2ae288574a</t>
  </si>
  <si>
    <t>3fc441ba-4019-4bd7-ad6b-a815f8e72fda</t>
  </si>
  <si>
    <t>fa465910-a3a7-4ead-99ed-6e645c09e4e7</t>
  </si>
  <si>
    <t>45922ec2-6e7e-470f-88e3-1903093e9f30</t>
  </si>
  <si>
    <t>80e99091-7ac4-4d5a-8683-88cdfef4befd</t>
  </si>
  <si>
    <t>6028a47c-b666-42dd-a0e3-916a6452e340</t>
  </si>
  <si>
    <t>6b278563-34b9-4098-bcfd-7853f67c4b6c</t>
  </si>
  <si>
    <t>9d15719b-3bb3-4ff5-bc25-0dcce254d276</t>
  </si>
  <si>
    <t>11c21855-fa61-4fb4-9692-0157e23954ac</t>
  </si>
  <si>
    <t>98e2f8c4-fa9d-4b2b-b922-bde42b7ece12</t>
  </si>
  <si>
    <t>ff3d3d34-5733-4f3f-a70a-8e57b600456e</t>
  </si>
  <si>
    <t>8b429200-d828-4551-85ce-224029003969</t>
  </si>
  <si>
    <t>shooting suspect</t>
  </si>
  <si>
    <t>e24e1872-2c2d-4607-8f64-8c2f8b3192a7</t>
  </si>
  <si>
    <t>61129fee-718b-4690-9979-85b2be3d2ff4</t>
  </si>
  <si>
    <t>c1d4794d-8ca6-4a3d-b6b3-92e10891ad89</t>
  </si>
  <si>
    <t>bd8cbdbc-925c-4dd0-9f6f-0147c9986180</t>
  </si>
  <si>
    <t>b4f6d980-3beb-4ebb-bbb4-6260f0970432</t>
  </si>
  <si>
    <t>55854c92-053d-4660-9a11-a012479ac9e3</t>
  </si>
  <si>
    <t>6aaae361-6ca1-4f3e-b624-a7289bbbaca5</t>
  </si>
  <si>
    <t>60f56d51-a15c-4510-bf92-3084eea20afa</t>
  </si>
  <si>
    <t>26f610a0-77fc-4d88-af84-b088c216b9f3</t>
  </si>
  <si>
    <t>ef4092ab-00b7-4f79-963b-2cae094e0282</t>
  </si>
  <si>
    <t>abd7b26f-6746-4afe-bc4b-3e19208c71b6</t>
  </si>
  <si>
    <t>4879eda5-cf17-44c0-bebf-dce275103b40</t>
  </si>
  <si>
    <t>7ddcfa81-24a2-4fd6-8c59-8aa4588619f0</t>
  </si>
  <si>
    <t>5afbae6c-d13f-4810-b281-e1557bdafb56</t>
  </si>
  <si>
    <t>8528a466-9dbf-497f-ab89-ba81b0533599</t>
  </si>
  <si>
    <t>f372eb40-e0c0-43b1-b23f-42c4d824f1ee</t>
  </si>
  <si>
    <t>23e96299-fd13-4c92-875c-76a9c68719d9</t>
  </si>
  <si>
    <t>01ee9864-0fc4-413b-bc7e-47d1f74dc304</t>
  </si>
  <si>
    <t>8dc6d6a5-7d0e-46a2-8b68-4801a706c60b</t>
  </si>
  <si>
    <t>79c3be52-ef2c-446d-918a-2034c746671b</t>
  </si>
  <si>
    <t>49e44ff0-015f-4e61-938b-addab926f63c</t>
  </si>
  <si>
    <t>9996b1dd-8578-4607-a788-23f97880fc3f</t>
  </si>
  <si>
    <t>dfdb8365-6dc9-4b2c-98e3-50d00e2fdbf2</t>
  </si>
  <si>
    <t>f4873242-8458-46f1-a182-646f08678682</t>
  </si>
  <si>
    <t>4f25e247-b2a1-40d9-80e6-8a7c13f60fda</t>
  </si>
  <si>
    <t>6700ac10-5a1e-4fee-909e-9588e320d437</t>
  </si>
  <si>
    <t>4ea702dc-9e57-401b-be04-5885ea6a1a48</t>
  </si>
  <si>
    <t>105f9f19-c859-47b3-9f55-b70b8c732757</t>
  </si>
  <si>
    <t>DRUGS</t>
  </si>
  <si>
    <t>36135338-54d3-49fd-8cb4-e807ce4e2a49</t>
  </si>
  <si>
    <t>69ca516c-8128-43a7-8fde-5786c1851818</t>
  </si>
  <si>
    <t>afe72a55-0311-498b-9f3c-c999c10a55a0</t>
  </si>
  <si>
    <t>2d468a29-ebd4-4b4c-a0b8-cadf7a23c3ee</t>
  </si>
  <si>
    <t>Suspect Identification</t>
  </si>
  <si>
    <t>522b3751-62e4-48d1-acde-0b5db9bd7955</t>
  </si>
  <si>
    <t>609748f3-e4c0-484c-8d2e-da12b46958fc</t>
  </si>
  <si>
    <t>45d0d127-4efa-40f0-b9ee-285525929937</t>
  </si>
  <si>
    <t>Count of Search ID</t>
  </si>
  <si>
    <t>b9aaaec1-5e38-4039-ac38-bdcfb8900199</t>
  </si>
  <si>
    <t>ef770512-0b2a-4c1c-b2c1-d971356438c1</t>
  </si>
  <si>
    <t>91ff2315-d3f9-4cc9-b5fc-ba526ed9898f</t>
  </si>
  <si>
    <t>4f259245-c8f8-42a2-aa48-de7b4f73adc2</t>
  </si>
  <si>
    <t>1800576b-88d6-4cda-95fb-29373f3f856d</t>
  </si>
  <si>
    <t>59650129-dc64-43c2-b91b-e84881cd0de1</t>
  </si>
  <si>
    <t>3aca1d0a-0f70-45c4-9c21-d110133c4b48</t>
  </si>
  <si>
    <t>0ba37b16-ad65-4cda-9ee6-848d6d796768</t>
  </si>
  <si>
    <t>88260064-5d0c-4b0c-ab71-e9ede66358c3</t>
  </si>
  <si>
    <t>fe9e1ca5-48c4-486e-9e94-ba621b780065</t>
  </si>
  <si>
    <t>10f70bee-8c8c-4932-a752-f98c0b7aa0c9</t>
  </si>
  <si>
    <t>76ba8e4d-1e38-48e6-a4c9-49ca467b40f1</t>
  </si>
  <si>
    <t>10851</t>
  </si>
  <si>
    <t>52a495ee-9f4f-4337-a07a-481d9618a61b</t>
  </si>
  <si>
    <t>a7f85a25-beb9-438e-ab32-4960f5109120</t>
  </si>
  <si>
    <t>1cf9640b-df06-4a38-8a6a-ff882e277e16</t>
  </si>
  <si>
    <t>c34c8b94-ef71-486c-a0dc-86cb7fd7df98</t>
  </si>
  <si>
    <t>b0c875af-a9a3-4cb9-93cc-9a4cd114de74</t>
  </si>
  <si>
    <t>ada722bb-c157-4afa-a39f-8d7dc2a2ff3e</t>
  </si>
  <si>
    <t>06d606bb-1fd9-4c2e-a93c-cc822c41c00a</t>
  </si>
  <si>
    <t>fdcc88a3-8c22-4a77-b1bc-00037d8ebc83</t>
  </si>
  <si>
    <t>d6b9e700-c469-40b0-9651-4a5470735361</t>
  </si>
  <si>
    <t>susid</t>
  </si>
  <si>
    <t>0041ccf4-a551-403d-bd8a-fbcfd49c6f20</t>
  </si>
  <si>
    <t>e7b86ade-a5d3-445c-8a1e-913ff3df25cd</t>
  </si>
  <si>
    <t>55e6a200-3b01-439a-b856-e8f313c32bc5</t>
  </si>
  <si>
    <t>e7abd14e-9925-43a1-94e6-e69c6a34b684</t>
  </si>
  <si>
    <t>3e8eec8d-fb8d-4fde-93b6-c15cbbceeb9a</t>
  </si>
  <si>
    <t>3afadbc0-8685-490a-b2ad-1cf58ca0394d</t>
  </si>
  <si>
    <t>4d37073f-b9f6-4c05-bce0-f6c35ec190c2</t>
  </si>
  <si>
    <t>0fe87096-5cd2-416b-aa16-fa63fd54b5d0</t>
  </si>
  <si>
    <t>8a251736-f2ac-4a0b-a747-7d7d9bb5a244</t>
  </si>
  <si>
    <t>2bc56387-a81d-4dfc-b8d4-cdde12f45279</t>
  </si>
  <si>
    <t>a25fbd56-a151-4177-8592-72a7d4522424</t>
  </si>
  <si>
    <t>GRAND TOTAL</t>
  </si>
  <si>
    <t>Has Reason</t>
  </si>
  <si>
    <t>Blank Reason</t>
  </si>
  <si>
    <t>% Blank</t>
  </si>
  <si>
    <t>12 AM</t>
  </si>
  <si>
    <t>1 AM</t>
  </si>
  <si>
    <t>2 AM</t>
  </si>
  <si>
    <t>3 AM</t>
  </si>
  <si>
    <t>4 AM</t>
  </si>
  <si>
    <t>5 AM</t>
  </si>
  <si>
    <t>6 AM</t>
  </si>
  <si>
    <t>7 AM</t>
  </si>
  <si>
    <t>8 AM</t>
  </si>
  <si>
    <t>9 AM</t>
  </si>
  <si>
    <t>10 AM</t>
  </si>
  <si>
    <t>11 AM</t>
  </si>
  <si>
    <t>12 PM</t>
  </si>
  <si>
    <t>1 PM</t>
  </si>
  <si>
    <t>2 PM</t>
  </si>
  <si>
    <t>3 PM</t>
  </si>
  <si>
    <t>4 PM</t>
  </si>
  <si>
    <t>5 PM</t>
  </si>
  <si>
    <t>6 PM</t>
  </si>
  <si>
    <t>7 PM</t>
  </si>
  <si>
    <t>8 PM</t>
  </si>
  <si>
    <t>9 PM</t>
  </si>
  <si>
    <t>10 PM</t>
  </si>
  <si>
    <t>11 PM</t>
  </si>
  <si>
    <t>Network Count Analysis</t>
  </si>
  <si>
    <t>Top Reason (Non-Blank)</t>
  </si>
  <si>
    <t>Top Reason Count</t>
  </si>
  <si>
    <t>TOTAL</t>
  </si>
  <si>
    <t>10851 / Suspect</t>
  </si>
  <si>
    <t>(all blank)</t>
  </si>
  <si>
    <t>288PC / drug investigation</t>
  </si>
  <si>
    <t>Chart Data: Top 10 Network Counts by Volume</t>
  </si>
  <si>
    <t>Net: 2</t>
  </si>
  <si>
    <t>Net: 3</t>
  </si>
  <si>
    <t>Net: 36</t>
  </si>
  <si>
    <t>Net: 15</t>
  </si>
  <si>
    <t>Net: 531</t>
  </si>
  <si>
    <t>Net: 1</t>
  </si>
  <si>
    <t>Net: 433</t>
  </si>
  <si>
    <t>Net: 532</t>
  </si>
  <si>
    <t>Net: 432</t>
  </si>
  <si>
    <t>Net: 35</t>
  </si>
  <si>
    <t>% Blank Rate by Network Count</t>
  </si>
  <si>
    <t>10759f22-b977-45cc-a0da-598f36339d09</t>
  </si>
  <si>
    <t>56e4e8c0-0e17-41fc-aa87-97200936374c</t>
  </si>
  <si>
    <t>c019f66a-20b0-43aa-ae80-ed938941a42f</t>
  </si>
  <si>
    <t>3f045ac3-4ae6-4e7a-8060-544142bb54bf</t>
  </si>
  <si>
    <t>88c7bf34-b378-4739-883e-338786664837</t>
  </si>
  <si>
    <t>b9ca7e92-d942-48f8-84a7-c5975bbcb5d6</t>
  </si>
  <si>
    <t>8503541c-0213-45af-b316-e3906f363f82</t>
  </si>
  <si>
    <t>bf69f6f9-fbad-425f-935b-e7f45199aac7</t>
  </si>
  <si>
    <t>eb0e1787-8229-45b9-a892-0ee3b013db1a</t>
  </si>
  <si>
    <t>7aed2b0e-a2e8-49da-b659-8fcc7f64eaf4</t>
  </si>
  <si>
    <t>056883c7-2538-4aff-b6c8-d7e7265f28d0</t>
  </si>
  <si>
    <t>97af90aa-c660-4461-8381-c1692c15eb27</t>
  </si>
  <si>
    <t>42 suspect</t>
  </si>
  <si>
    <t>81e8ea02-afe0-41d8-a278-1de500920b97</t>
  </si>
  <si>
    <t>422</t>
  </si>
  <si>
    <t>bdb65fea-7f00-4f50-b3ca-2b928d1dc5ab</t>
  </si>
  <si>
    <t>c22571bc-977e-4319-97ae-6f64864da182</t>
  </si>
  <si>
    <t>c789f4fb-2f24-4471-8324-06e353a15bf4</t>
  </si>
  <si>
    <t>65c4de8d-40f8-486f-87ef-b90259f2a0b7</t>
  </si>
  <si>
    <t>2cd1aa8b-81f5-4e3e-9d14-a67d5983cc9a</t>
  </si>
  <si>
    <t>1e251470-96db-46a5-91a7-05410c4758e5</t>
  </si>
  <si>
    <t>5099080b-e66b-43d2-918e-4b40042c5a43</t>
  </si>
  <si>
    <t>6a4c81d3-3c21-4faa-a1f0-48eae31aaa1a</t>
  </si>
  <si>
    <t>000af815-c32d-4c99-82bc-b2955c48fd4b</t>
  </si>
  <si>
    <t>a0c7afa7-26a4-4594-8c8c-30f5770d97c4</t>
  </si>
  <si>
    <t>90d3de9c-e3ec-4c10-8ace-9f58d032d836</t>
  </si>
  <si>
    <t>042298ae-2491-4113-ac53-fa74a37bc27a</t>
  </si>
  <si>
    <t>shootin</t>
  </si>
  <si>
    <t>f71dd24a-b3e4-4063-85bf-af08bd52fb51</t>
  </si>
  <si>
    <t>187 sus</t>
  </si>
  <si>
    <t>9970da06-7554-4534-bb90-5a02b1245922</t>
  </si>
  <si>
    <t>d0be881d-45cd-4f93-b06f-a439b19fbb98</t>
  </si>
  <si>
    <t>bc443d75-33d4-4070-9e08-e99d8de1f2bf</t>
  </si>
  <si>
    <t>790969f5-e978-4cd8-b8ff-39321d8dc9c5</t>
  </si>
  <si>
    <t>2b693d2f-0b9c-4853-8556-577d0db35dfd</t>
  </si>
  <si>
    <t>d1e88245-640b-47cd-a248-7a860d26aabb</t>
  </si>
  <si>
    <t>cc9eb405-b131-4a09-98b3-f969034a9ab6</t>
  </si>
  <si>
    <t>97a5969f-ca30-4920-b680-691b5ababe1c</t>
  </si>
  <si>
    <t>187SUS</t>
  </si>
  <si>
    <t>6df24866-a052-4455-88bf-469dec512a75</t>
  </si>
  <si>
    <t>187 SS</t>
  </si>
  <si>
    <t>f222941d-127d-477f-bb95-b121a659b7db</t>
  </si>
  <si>
    <t>187</t>
  </si>
  <si>
    <t>b4178846-2c1f-4bc8-88a2-29c6c99e9519</t>
  </si>
  <si>
    <t>01ace357-67a6-4663-ac16-b745adf75a6d</t>
  </si>
  <si>
    <t>8f4f4dd2-202c-4fb9-8de3-9772da09d753</t>
  </si>
  <si>
    <t>76afd7b7-8ded-4a48-a622-3dee419adfb0</t>
  </si>
  <si>
    <t>3fbd243a-93d4-4ef9-b651-aa6b76f5903f</t>
  </si>
  <si>
    <t>6b5de0c0-deab-4a2f-88d9-69f1846de49d</t>
  </si>
  <si>
    <t>31ed8a25-6735-4835-81e9-f4e46a5d7997</t>
  </si>
  <si>
    <t>5dfdaa75-7fef-4410-b36c-a67ff7c85500</t>
  </si>
  <si>
    <t>623fe91e-3889-4333-8fb5-2c973b36655f</t>
  </si>
  <si>
    <t>4df857c1-1959-4342-ab50-31522ad96191</t>
  </si>
  <si>
    <t>CRIMINAL INVEST 187PC</t>
  </si>
  <si>
    <t>11407223-d771-47d4-9c3c-5e651f2654a7</t>
  </si>
  <si>
    <t>e8cf3ce5-a788-44aa-84c9-6436f2f37d67</t>
  </si>
  <si>
    <t>187 PC</t>
  </si>
  <si>
    <t>c0d3fca6-212f-433a-a1c6-5df62422cb2e</t>
  </si>
  <si>
    <t>cfb29f95-266a-4d86-b22b-8824cc6effa9</t>
  </si>
  <si>
    <t>049f06d0-d5ab-41a8-aabe-8429d93afdab</t>
  </si>
  <si>
    <t>eaa5888a-a483-4ac6-8ae2-01008d59f0a5</t>
  </si>
  <si>
    <t>974f92cf-1a6a-43d1-9b1c-725c2b0be1aa</t>
  </si>
  <si>
    <t>4941956f-63cc-4b96-988d-d5a997204aef</t>
  </si>
  <si>
    <t>c42fa4c3-75ed-4839-b32e-ae133ee20421</t>
  </si>
  <si>
    <t>dae8eeb9-641e-482d-a0c8-4ddbe9462aaa</t>
  </si>
  <si>
    <t>cca7a32f-a0ad-471c-8e3d-3868809d431f</t>
  </si>
  <si>
    <t>45670408-4d5e-4ce2-884a-5fc57898d247</t>
  </si>
  <si>
    <t>ec468544-cb75-42ef-8655-73c6262a7b8f</t>
  </si>
  <si>
    <t>acae0378-16e8-4564-87ee-6bbdc97d5b42</t>
  </si>
  <si>
    <t>0e773968-b004-4cdf-9eb6-02cc98ed8967</t>
  </si>
  <si>
    <t>959915c1-20bb-474e-85d4-dab560999632</t>
  </si>
  <si>
    <t>187 suspect</t>
  </si>
  <si>
    <t>629bd6ac-9592-4e3f-99f6-05cdbd05b245</t>
  </si>
  <si>
    <t>f86cd463-9d4c-4989-b1ee-7a37c745b1c9</t>
  </si>
  <si>
    <t>101e31c6-0201-44e2-9f32-8bfb1df8ea9a</t>
  </si>
  <si>
    <t>0e7dd857-03ed-46a8-bb22-46345406ae04</t>
  </si>
  <si>
    <t>7b939a83-8721-4d0e-9988-97ade9b5b516</t>
  </si>
  <si>
    <t>47c43eb6-6f58-42a3-8bb8-7abb05b9730b</t>
  </si>
  <si>
    <t>446d3cc5-a9be-43f3-ac91-d36593097d9e</t>
  </si>
  <si>
    <t>b177cd46-86d6-4181-9175-57fc62c84db9</t>
  </si>
  <si>
    <t>theft</t>
  </si>
  <si>
    <t>ee09690b-d927-46b3-9d63-03739e16911f</t>
  </si>
  <si>
    <t>7b3bc18c-fe1e-4883-b751-3e1efed5faf1</t>
  </si>
  <si>
    <t>c2ce04e8-6e59-4efc-8793-cc0dd0c43e09</t>
  </si>
  <si>
    <t>be7bdaaf-13ae-4197-bb86-538bd49968a0</t>
  </si>
  <si>
    <t>6c7843a1-07a0-43f4-b9dc-ce8bab7db8c2</t>
  </si>
  <si>
    <t>7da5d57a-e2b9-4da3-bcda-defea3b10626</t>
  </si>
  <si>
    <t>3f32ba5a-a013-4cd1-bf83-eb1a049c3940</t>
  </si>
  <si>
    <t>59308774-b2dd-4fe6-8564-ddb377f9dab8</t>
  </si>
  <si>
    <t>d7d84a58-b121-4b78-83b1-77cfaea98632</t>
  </si>
  <si>
    <t>35e43837-e422-4090-8f3c-e18f80918fae</t>
  </si>
  <si>
    <t>6e2e2436-7ecc-446d-af31-d02ccedcf4be</t>
  </si>
  <si>
    <t>dv</t>
  </si>
  <si>
    <t>0396aa9f-a349-49d0-a449-291447cbe024</t>
  </si>
  <si>
    <t>30fda260-c593-4a37-b326-bca4f6637545</t>
  </si>
  <si>
    <t>bd9020db-861a-45b8-bc2b-48f8e9062c10</t>
  </si>
  <si>
    <t>6536f4dc-7be9-46bc-aac3-336a1dd92a11</t>
  </si>
  <si>
    <t>01baef5b-d1b9-4a01-af54-24003eb0ed5f</t>
  </si>
  <si>
    <t>2b9e0df3-000c-4b4f-9f5d-57e8d01b648e</t>
  </si>
  <si>
    <t>b2b6a04e-7c65-4b86-b91b-6dcefa2d98fd</t>
  </si>
  <si>
    <t>a6468f2c-d570-44b4-ae96-c5daa5d8e041</t>
  </si>
  <si>
    <t>9cc8ba08-e3bf-4a61-9d24-ad0c64eaab77</t>
  </si>
  <si>
    <t>9be097ae-3bd6-4ebb-a23d-47a22e9f99c3</t>
  </si>
  <si>
    <t>9ebe0f3e-26c3-4d0a-8c74-d0542f0c9d1a</t>
  </si>
  <si>
    <t>9bd5dc2c-0f76-4c97-8821-fec078aae004</t>
  </si>
  <si>
    <t>733664b8-e67a-4506-b29a-51670b15e11c</t>
  </si>
  <si>
    <t>d1035c96-d78e-42f9-8351-4cc93d0e8abe</t>
  </si>
  <si>
    <t>ca677a49-4288-443e-b7b0-b382d7b2c22a</t>
  </si>
  <si>
    <t>1716bbc5-4bd2-4886-bff7-04e3f06f1ef9</t>
  </si>
  <si>
    <t>c3323135-068e-48cf-91a3-df2addcd7a0c</t>
  </si>
  <si>
    <t>e4de9937-800e-4b4c-81df-2760a9c50188</t>
  </si>
  <si>
    <t>80cbf115-1489-4289-988d-ff21d0f273d3</t>
  </si>
  <si>
    <t>7795f858-7f5d-4f43-a7d8-e3f0b711d611</t>
  </si>
  <si>
    <t>2efcde64-75e8-4038-990e-33d19917ad5e</t>
  </si>
  <si>
    <t>e1ecaee7-c13e-403e-96ca-414eb8fe4fb2</t>
  </si>
  <si>
    <t>b9e10df6-3d69-4156-aa30-31cee576d7ef</t>
  </si>
  <si>
    <t>Drug Investigations</t>
  </si>
  <si>
    <t>9f9458d0-e56b-4870-807a-38d8810d878a</t>
  </si>
  <si>
    <t>1dcd11fd-ac45-47ca-85a7-18bab7bf64ba</t>
  </si>
  <si>
    <t>e7514d08-4285-4502-9a37-8ae95e856e78</t>
  </si>
  <si>
    <t>5e658e79-2224-49cb-884b-1e289d78c882</t>
  </si>
  <si>
    <t>105</t>
  </si>
  <si>
    <t>Run Date/Time</t>
  </si>
  <si>
    <t>Rows Before</t>
  </si>
  <si>
    <t>Rows After</t>
  </si>
  <si>
    <t>New Rows</t>
  </si>
  <si>
    <t>New Rows Date Min</t>
  </si>
  <si>
    <t>New Rows Date Max</t>
  </si>
  <si>
    <t>Blank Reason #</t>
  </si>
  <si>
    <t>Blank Reason %</t>
  </si>
  <si>
    <t>Backdated Entries</t>
  </si>
  <si>
    <t>Backdated Detail</t>
  </si>
  <si>
    <t>2026-03-09 03:33  [Drug Investigation]</t>
  </si>
  <si>
    <t>2026-03-10 23:52  [487 pc suspect]</t>
  </si>
  <si>
    <t>2026-03-14 02:51  [wanted person]</t>
  </si>
  <si>
    <t>2026-03-19 17:30  [no reason logged]</t>
  </si>
  <si>
    <t/>
  </si>
  <si>
    <t>2026-02-25 15:53  [no reason logged]</t>
  </si>
  <si>
    <t>2026-03-04 17:40  [Drug Intel]</t>
  </si>
  <si>
    <t>2026-03-19 04:49  [no reason logged]</t>
  </si>
  <si>
    <t>2026-02-23 21:11  [Warr]</t>
  </si>
  <si>
    <t>2026-02-24 18:50  [no reason logged]</t>
  </si>
  <si>
    <t>2026-03-10 16:10  [suspect vehicle]</t>
  </si>
  <si>
    <t>2026-03-14 02:53  [no reason logged]</t>
  </si>
  <si>
    <t>2026-03-14 21:29  [no reason logged]</t>
  </si>
  <si>
    <t>2026-03-21 04:56  [no reason logged]</t>
  </si>
  <si>
    <t>2026-02-23 20:16  [Warr]</t>
  </si>
  <si>
    <t>2026-02-23 20:18  [Suspect]</t>
  </si>
  <si>
    <t>2026-02-23 20:35  [no reason logged]</t>
  </si>
  <si>
    <t>2026-03-03 03:23  [Drug investigation]</t>
  </si>
  <si>
    <t>2026-03-06 17:13  [suspect ID]</t>
  </si>
  <si>
    <t>2026-03-06 20:55  [suspect ID]</t>
  </si>
  <si>
    <t>2026-03-09 16:24  [207 sus]</t>
  </si>
  <si>
    <t>2026-03-09 16:25  [207]</t>
  </si>
  <si>
    <t>2026-03-14 21:39  [no reason logged]</t>
  </si>
  <si>
    <t>2026-03-18 15:54  [no reason logged]</t>
  </si>
  <si>
    <t>2026-03-21 03:07  [no reason logged]</t>
  </si>
  <si>
    <t>2026-03-21 03:20  [no reason logged]</t>
  </si>
  <si>
    <t>2026-02-23 23:57  [Suspect]</t>
  </si>
  <si>
    <t>2026-02-25 15:43  [no reason logged]</t>
  </si>
  <si>
    <t>2026-03-10 22:58  [no reason logged]</t>
  </si>
  <si>
    <t>2026-02-23 23:13  [no reason logged]</t>
  </si>
  <si>
    <t>2026-02-23 23:16  [no reason logged]</t>
  </si>
  <si>
    <t>2026-02-23 23:24  [10-36]</t>
  </si>
  <si>
    <t>2026-02-23 23:31  [no reason logged]</t>
  </si>
  <si>
    <t>2026-03-06 17:33  [suspect ID]</t>
  </si>
  <si>
    <t>2026-03-06 21:17  [suspect ID]</t>
  </si>
  <si>
    <t>2026-03-14 02:47  [wanted person]</t>
  </si>
  <si>
    <t>2026-03-17 21:49  [no reason logged]</t>
  </si>
  <si>
    <t>2026-03-18 19:30  [no reason logged]</t>
  </si>
  <si>
    <t>2026-03-19 05:40  [no reason logged]</t>
  </si>
  <si>
    <t>2026-03-14 21:21  [no reason logged]</t>
  </si>
  <si>
    <t>2026-02-21 03:30  [wanted person]</t>
  </si>
  <si>
    <t>2026-02-23 20:58  [Suspect]</t>
  </si>
  <si>
    <t>2026-02-23 20:59  [Warr]</t>
  </si>
  <si>
    <t>2026-02-24 19:48  [no reason logged]</t>
  </si>
  <si>
    <t>2026-03-03 21:42  [no reason logged]</t>
  </si>
  <si>
    <t>2026-03-17 15:11  [no reason logged]</t>
  </si>
  <si>
    <t>2026-02-19 09:50  [THREATS OF SELF HARM]</t>
  </si>
  <si>
    <t>2026-02-23 19:21  [Suspect]</t>
  </si>
  <si>
    <t>2026-02-23 19:22  [Warr]</t>
  </si>
  <si>
    <t>2026-02-25 15:58  [no reason logged]</t>
  </si>
  <si>
    <t>2026-03-03 19:53  [no reason logged]</t>
  </si>
  <si>
    <t>2026-03-05 22:03  [suspect ID]</t>
  </si>
  <si>
    <t>2026-03-10 17:51  [suspect vehicle]</t>
  </si>
  <si>
    <t>2026-03-12 05:33  [no reason logged]</t>
  </si>
  <si>
    <t>2026-03-12 19:46  [no reason logged]</t>
  </si>
  <si>
    <t>2026-03-14 03:09  [BOLO]</t>
  </si>
  <si>
    <t>2026-03-14 22:25  [no reason logged]</t>
  </si>
  <si>
    <t>2026-02-19 21:25  [no reason logged]</t>
  </si>
  <si>
    <t>2026-02-19 21:32  [no reason logged]</t>
  </si>
  <si>
    <t>2026-02-19 21:36  [no reason logged]</t>
  </si>
  <si>
    <t>2026-03-10 20:56  [no reason logged]</t>
  </si>
  <si>
    <t>2026-03-11 18:46  [Ycso suspect]</t>
  </si>
  <si>
    <t>2026-02-16</t>
  </si>
  <si>
    <t>2026-02-23</t>
  </si>
  <si>
    <t>2026-03-06</t>
  </si>
  <si>
    <t>2026-03-09</t>
  </si>
  <si>
    <t>2026-03-10</t>
  </si>
  <si>
    <t>2026-03-02</t>
  </si>
  <si>
    <t>2026-03-04</t>
  </si>
  <si>
    <t>2026-03-05</t>
  </si>
  <si>
    <t>263c5cc4-eb68-47aa-a991-f8195ea5ab88</t>
  </si>
  <si>
    <t>b44d85df-fa0b-4fe7-b7b9-8cb7f5821c55</t>
  </si>
  <si>
    <t>d4f08b8d-b067-4555-a8db-cefd673383cf</t>
  </si>
  <si>
    <t>82bd2958-77d8-4428-a8d4-fc2b7344926d</t>
  </si>
  <si>
    <t>f0af8cd0-a3cb-4df1-9535-30653ba6806d</t>
  </si>
  <si>
    <t>75ca9b71-98ae-4c8d-af39-2ad7140cd2d6</t>
  </si>
  <si>
    <t>bab9d086-204d-47ae-bad6-4812a2a2a3b7</t>
  </si>
  <si>
    <t>3733fabe-8c96-446e-b4db-aa3a9715cf50</t>
  </si>
  <si>
    <t>3884f823-5526-4e80-a6e4-7de5074bc9d2</t>
  </si>
  <si>
    <t>7db6f7bd-44db-4283-bdef-a481ecabd1cc</t>
  </si>
  <si>
    <t>560c74fb-7ae1-4b3c-b6ad-07214a6d4d97</t>
  </si>
  <si>
    <t>027f84b5-3914-4636-b579-5f6b83777fc7</t>
  </si>
  <si>
    <t>e30947ea-e75c-4d84-9f3d-95ccbdc7ae5e</t>
  </si>
  <si>
    <t>47a89f63-5d9a-4490-b0e4-a2ab8fa41f5e</t>
  </si>
  <si>
    <t>2598b917-95c3-4705-9e2e-7d70a44445df</t>
  </si>
  <si>
    <t>73722c23-2750-46f4-9b46-4f79b9118550</t>
  </si>
  <si>
    <t>547e0f94-b9af-42ce-8b06-00c99cdf2ff5</t>
  </si>
  <si>
    <t>2c94c220-f32f-425a-9326-5cdc008e681f</t>
  </si>
  <si>
    <t>4b52bc4a-920a-43ce-9c98-438714e92dde</t>
  </si>
  <si>
    <t>SUSPECT VEHICLE</t>
  </si>
  <si>
    <t>9ffd729e-1d9d-4c14-8238-7c187b9e9cce</t>
  </si>
  <si>
    <t>a5d8bcee-7382-4841-a8b7-075778d8e40d</t>
  </si>
  <si>
    <t>d29c2751-af5c-4ba5-8021-2b9e30104f2e</t>
  </si>
  <si>
    <t>e51dd753-4ee9-42c7-929f-9605863a3f99</t>
  </si>
  <si>
    <t>42a4df16-d0c9-4a51-aeb9-ad6f59d14b63</t>
  </si>
  <si>
    <t>007a9d62-0a3b-4fbb-ac88-687cbb0c163f</t>
  </si>
  <si>
    <t>ea7ca7e5-a594-41d9-a172-14470eafe8fc</t>
  </si>
  <si>
    <t>867ec029-372a-425c-8c03-9097d4a4a94b</t>
  </si>
  <si>
    <t>50c9df05-053a-4d4b-923a-0327ad177168</t>
  </si>
  <si>
    <t>981393ee-dba7-4a53-aa63-9eef0c0c8a7e</t>
  </si>
  <si>
    <t>482acac6-c871-4aec-9e38-22853271bee2</t>
  </si>
  <si>
    <t>bd1ee308-8805-4e35-b0eb-be314edc882f</t>
  </si>
  <si>
    <t>5a9565d6-5b85-4b6e-9106-9769e06974da</t>
  </si>
  <si>
    <t>victim's vehicle</t>
  </si>
  <si>
    <t>4bcccd18-4181-41c0-a09b-954af6e27916</t>
  </si>
  <si>
    <t>2a0a9354-ea42-4327-bfd7-207992943e9a</t>
  </si>
  <si>
    <t>7516e1d1-9ea4-49f4-af5f-86c3d3c65efc</t>
  </si>
  <si>
    <t>4c06acaa-598d-447d-ade3-0b95345ec000</t>
  </si>
  <si>
    <t>4c217ec1-fd5f-45e8-8fb7-b07f125394af</t>
  </si>
  <si>
    <t>67765334-5019-4d9b-a711-b7483c4df5ca</t>
  </si>
  <si>
    <t>a64c55d1-431e-463e-9332-77c383c6890b</t>
  </si>
  <si>
    <t>ATL suspect vehicle</t>
  </si>
  <si>
    <t>998e29ce-4498-4c14-8a54-e7afcd1dca48</t>
  </si>
  <si>
    <t>9b4a4f39-f2c4-4efe-97ce-b2deb319842c</t>
  </si>
  <si>
    <t>7d18d95a-08af-4e96-a8d0-d98140b25bb5</t>
  </si>
  <si>
    <t>a43ac52a-ebf1-4977-a661-0df0154db89f</t>
  </si>
  <si>
    <t>687e542f-09b7-4b56-8d85-9eaea7fdc50e</t>
  </si>
  <si>
    <t>8660c8e4-b132-4bae-b390-f89ab18edb46</t>
  </si>
  <si>
    <t>f8266f63-a658-4958-a947-e85ea96bf462</t>
  </si>
  <si>
    <t>cb57f586-1197-48f8-90ee-96be9264b034</t>
  </si>
  <si>
    <t>bd5887fd-c67c-4a4b-9b0b-25dc45eae257</t>
  </si>
  <si>
    <t>2c109665-a6e7-4215-8b82-5f1ddb9c1334</t>
  </si>
  <si>
    <t>bb15af15-2e33-45cb-a70c-1a71883e9976</t>
  </si>
  <si>
    <t>4a56ee55-d540-41b4-8994-f1438e3e44a6</t>
  </si>
  <si>
    <t>a9e7d67b-da04-4785-9523-566b27d2b641</t>
  </si>
  <si>
    <t>5ecaf8fd-7537-40d9-ac0f-c20c6dbecf78</t>
  </si>
  <si>
    <t>20e33dc6-18a5-4b3c-bfcd-01f1c6ac14f4</t>
  </si>
  <si>
    <t>73424d8c-b8d3-4a5d-a1de-dc88514c356d</t>
  </si>
  <si>
    <t>f95b0c73-29e2-4d57-b353-b3dea72d8e99</t>
  </si>
  <si>
    <t>a7c9b459-8000-425c-9a7d-096dca3ed31b</t>
  </si>
  <si>
    <t>96d0fff8-676c-4869-ac63-997f39d53c3a</t>
  </si>
  <si>
    <t>ffefa729-3d01-4678-bf94-5c14a637a27c</t>
  </si>
  <si>
    <t>e996136c-a8fd-4804-8cd1-d3839d064105</t>
  </si>
  <si>
    <t>20e6799a-1eed-4177-b02b-bf01b40b806f</t>
  </si>
  <si>
    <t>ef565e3b-fe7f-435d-8fb0-8b8c15e0b737</t>
  </si>
  <si>
    <t>ca681421-4b69-4e5e-b8fd-aaea96eb7db6</t>
  </si>
  <si>
    <t>2f5bd676-704a-421f-9a12-2fda56062ce7</t>
  </si>
  <si>
    <t>f0acad80-68c2-45d5-84a7-9717a4b4c01e</t>
  </si>
  <si>
    <t>1b59f256-2ed5-48d3-b2e8-44ae09dba0a4</t>
  </si>
  <si>
    <t>7639302c-471b-4ff7-a098-ad43a541026c</t>
  </si>
  <si>
    <t>79f98f18-e4cc-4e53-9a84-cc556340e959</t>
  </si>
  <si>
    <t>061e404a-edfb-487c-b87e-d75e3b394d00</t>
  </si>
  <si>
    <t>cbf52f4b-3536-4348-a53a-154536e1d0d6</t>
  </si>
  <si>
    <t>10851 VC</t>
  </si>
  <si>
    <t>15658532-ebe8-459e-9067-aface7c78a93</t>
  </si>
  <si>
    <t>d6431c87-4ecb-4b35-9c00-4192dda29cf4</t>
  </si>
  <si>
    <t>8ac60a3b-69da-413d-ac1b-33f63825d2c1</t>
  </si>
  <si>
    <t>281806af-56e1-4ce1-8573-b0d46b53a1e4</t>
  </si>
  <si>
    <t>2a4cc7ce-f1b8-49b4-87d3-d6fdfe679cdb</t>
  </si>
  <si>
    <t>5f0773f1-41c2-499a-b769-509c62afd0ec</t>
  </si>
  <si>
    <t>aa0299c8-470c-4b5e-8e43-c96500016f34</t>
  </si>
  <si>
    <t>a6cb5975-8fb7-4128-8a95-32416651ddd2</t>
  </si>
  <si>
    <t>cc2cd297-d3d9-434d-87e7-e5c6130ae4d4</t>
  </si>
  <si>
    <t>1d6f97b6-860f-4d1a-a471-8e22101e22f5</t>
  </si>
  <si>
    <t>352b4833-6864-451a-877f-57a3852bb4fb</t>
  </si>
  <si>
    <t>32d055bc-d1a6-40dc-a7ae-76b5c0e6c72d</t>
  </si>
  <si>
    <t>ade4bdc9-bbbd-4fcf-abf5-96caaaf1d2bb</t>
  </si>
  <si>
    <t>7d10f139-0295-425b-9341-046d68b7a94d</t>
  </si>
  <si>
    <t>2efb216a-f544-421d-832d-59ba740996cf</t>
  </si>
  <si>
    <t>d9aea648-89a9-4f1b-b9f0-1502b5761405</t>
  </si>
  <si>
    <t>fd248853-7186-4f94-87cf-388ce0761d19</t>
  </si>
  <si>
    <t>c95af929-4934-49f1-864e-4bd0919c29af</t>
  </si>
  <si>
    <t>4a461c8b-0030-4d78-9d29-974c08bcba02</t>
  </si>
  <si>
    <t>1853ce82-37b5-4885-99d2-b8dbb1fa34fa</t>
  </si>
  <si>
    <t>f2990e3c-9b89-43aa-93b5-6bf00fad5389</t>
  </si>
  <si>
    <t>11918a6f-33e8-491b-b8f8-aea556e3a69a</t>
  </si>
  <si>
    <t>072ae465-b6a9-4628-9ca0-21159c67d9b5</t>
  </si>
  <si>
    <t>dadd9e38-835a-445d-8615-aa80320ff8e7</t>
  </si>
  <si>
    <t>efbcbe18-9c15-4174-8659-3482b7071bf2</t>
  </si>
  <si>
    <t>77248ce3-9469-4f81-aea5-0b8317c095aa</t>
  </si>
  <si>
    <t>2026-03-06 17:31  [suspect ID]</t>
  </si>
  <si>
    <t>2026-03-19 17:23  [no reason logged]</t>
  </si>
  <si>
    <t>f93a0bf2-a8ad-4421-9e89-0ffac965d166</t>
  </si>
  <si>
    <t>4eb15cb7-5e0e-4917-9781-b585c0a47abb</t>
  </si>
  <si>
    <t>29f3d7f1-4bb3-41bc-9590-92f57b71d7d7</t>
  </si>
  <si>
    <t>2a5522c9-034f-4dc9-bea1-f9e9eff7b1db</t>
  </si>
  <si>
    <t>0525649d-74a2-428e-a0e7-d41dcf5fac21</t>
  </si>
  <si>
    <t>32d301a1-9c84-4376-9b36-01f8d2c6cc3b</t>
  </si>
  <si>
    <t>5f19f6f1-e37d-4ec5-9f27-1f175e8c4ccb</t>
  </si>
  <si>
    <t>c99e4a17-8e5d-4c31-b6ea-7e1d0b4db3f0</t>
  </si>
  <si>
    <t>0a5d63e8-aa1d-4bea-a4c8-cebf9e70deef</t>
  </si>
  <si>
    <t>ba8c5386-b7d7-4996-bef1-5c59289497af</t>
  </si>
  <si>
    <t>83470cc7-95bf-41e5-9ed6-e17f9255a396</t>
  </si>
  <si>
    <t>97db6142-e868-4b5a-ad4f-eb0c9d791508</t>
  </si>
  <si>
    <t>951140d7-bdff-4ed7-9eae-70d8312e66a2</t>
  </si>
  <si>
    <t>3c3b8212-932d-4ad1-8f75-e03b3f50c424</t>
  </si>
  <si>
    <t>e818eb4b-e3a2-49b0-abae-655c1abb9916</t>
  </si>
  <si>
    <t>c0de2522-3f8a-4f49-90f4-7f22950bdbc9</t>
  </si>
  <si>
    <t>459.5 pc</t>
  </si>
  <si>
    <t>f233361e-4832-4b3f-88af-3960b6e18eb8</t>
  </si>
  <si>
    <t>c9c128ea-c1e7-4845-95d1-7f887a4aa824</t>
  </si>
  <si>
    <t>4375cf26-bf63-432a-9c8c-5729de3e6856</t>
  </si>
  <si>
    <t>61508bf7-4272-4b5f-9cd6-15eb825fc250</t>
  </si>
  <si>
    <t>87af3de0-3c2e-461c-98c3-f40f3534c2da</t>
  </si>
  <si>
    <t>273apc, 273.5pc</t>
  </si>
  <si>
    <t>b14be318-8433-4261-86bb-e290d63ac5e7</t>
  </si>
  <si>
    <t>4582d4ff-5cc1-4087-9057-b9e601161962</t>
  </si>
  <si>
    <t>f9369126-191e-4b31-9793-bb51557494ca</t>
  </si>
  <si>
    <t>ffa03e3c-7590-44cb-b578-e8dc18181801</t>
  </si>
  <si>
    <t>36706c13-6f77-4783-a2a6-ed13eb7f7e0c</t>
  </si>
  <si>
    <t>THEFT</t>
  </si>
  <si>
    <t>d985452a-9a64-4766-8e8f-c6cc06dd9b38</t>
  </si>
  <si>
    <t>2de731e4-3df1-40ea-b9d9-978f2f59a641</t>
  </si>
  <si>
    <t>wreckless</t>
  </si>
  <si>
    <t>2ebdecc1-c539-47a6-9da9-aee9e8d2b427</t>
  </si>
  <si>
    <t>RECKLESS POSS DUI</t>
  </si>
  <si>
    <t>2026-03-06 20:27  [suspect ID]</t>
  </si>
  <si>
    <t>2026-03-04 20:44  [no reason logged]</t>
  </si>
  <si>
    <t>2026-03-17 15:28  [no reason logged]</t>
  </si>
  <si>
    <t>2026-03-18 18:36  [no reason logged]</t>
  </si>
  <si>
    <t>2026-03-25 22:20  [suspect]</t>
  </si>
  <si>
    <t>2026-03-17 15:32  [no reason logged]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</si>
</sst>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7" x14ac:knownFonts="1">
    <font>
      <sz val="11"/>
      <color theme="1"/>
      <name val="Calibri"/>
      <family val="2"/>
      <scheme val="minor"/>
    </font>
    <font>
      <b/>
      <sz val="10"/>
      <color rgb="FFFFFFFF"/>
      <name val="Arial"/>
      <family val="2"/>
    </font>
    <font>
      <sz val="11"/>
      <color rgb="FF00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rgb="FF0000FF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4472C4"/>
        <bgColor indexed="64"/>
      </patternFill>
    </fill>
  </fills>
  <borders count="2">
    <border>
      <left/>
      <right/>
      <top/>
      <bottom/>
      <diagonal/>
    </border>
    <border>
      <left/>
      <right/>
      <top style="medium">
        <color auto="1"/>
      </top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22" fontId="0" fillId="0" borderId="0" xfId="0" applyNumberFormat="1"/>
    <xf numFmtId="1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2" fillId="0" borderId="0" xfId="0" applyFont="1"/>
    <xf numFmtId="0" fontId="0" fillId="0" borderId="0" xfId="0" applyAlignment="1">
      <alignment horizontal="right"/>
    </xf>
    <xf numFmtId="0" fontId="3" fillId="0" borderId="0" xfId="0" applyFont="1"/>
    <xf numFmtId="0" fontId="4" fillId="3" borderId="0" xfId="0" applyFont="1" applyFill="1"/>
    <xf numFmtId="164" fontId="0" fillId="0" borderId="0" xfId="0" applyNumberFormat="1"/>
    <xf numFmtId="49" fontId="0" fillId="0" borderId="0" xfId="0" applyNumberFormat="1"/>
    <xf numFmtId="0" fontId="5" fillId="0" borderId="0" xfId="0" applyFont="1"/>
    <xf numFmtId="0" fontId="3" fillId="0" borderId="1" xfId="0" applyFont="1" applyBorder="1"/>
    <xf numFmtId="164" fontId="3" fillId="0" borderId="1" xfId="0" applyNumberFormat="1" applyFont="1" applyBorder="1"/>
    <xf numFmtId="0" fontId="6" fillId="0" borderId="0" xfId="0" applyFont="1"/>
    <xf numFmtId="0" fontId="0" fillId="0" borderId="0" xfId="0" applyNumberFormat="1"/>
  </cellXfs>
  <cellStyles count="1">
    <cellStyle name="Normal" xfId="0" builtinId="0"/>
  </cellStyles>
  <dxfs count="9">
    <dxf>
      <numFmt numFmtId="19" formatCode="m/d/yy"/>
    </dxf>
    <dxf>
      <numFmt numFmtId="19" formatCode="m/d/yy"/>
    </dxf>
    <dxf>
      <numFmt numFmtId="27" formatCode="m/d/yy\ h:mm"/>
    </dxf>
    <dxf>
      <numFmt numFmtId="19" formatCode="m/d/yy"/>
    </dxf>
    <dxf>
      <numFmt numFmtId="27" formatCode="m/d/yy\ h:mm"/>
    </dxf>
    <dxf>
      <alignment horizontal="right" vertical="bottom" textRotation="0" wrapText="0" indent="0" justifyLastLine="0" shrinkToFit="0" readingOrder="0"/>
    </dxf>
    <dxf>
      <numFmt numFmtId="27" formatCode="m/d/yy\ h:mm"/>
    </dxf>
    <dxf>
      <numFmt numFmtId="0" formatCode="General"/>
    </dxf>
    <dxf>
      <numFmt numFmtId="0" formatCode="General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1/relationships/timelineCache" Target="timelineCaches/timelineCache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Searches by Hour: Blank vs. Has Reason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'Late Night Analysis'!$B$1</c:f>
              <c:strCache>
                <c:ptCount val="1"/>
                <c:pt idx="0">
                  <c:v>Has Reason</c:v>
                </c:pt>
              </c:strCache>
            </c:strRef>
          </c:tx>
          <c:spPr>
            <a:solidFill>
              <a:srgbClr val="4472C4"/>
            </a:solidFill>
            <a:ln>
              <a:noFill/>
            </a:ln>
            <a:effectLst/>
          </c:spPr>
          <c:invertIfNegative val="0"/>
          <c:cat>
            <c:strRef>
              <c:f>'Late Night Analysis'!$A$2:$A$25</c:f>
              <c:strCache>
                <c:ptCount val="24"/>
                <c:pt idx="0">
                  <c:v>1 AM</c:v>
                </c:pt>
                <c:pt idx="1">
                  <c:v>1 PM</c:v>
                </c:pt>
                <c:pt idx="2">
                  <c:v>10 AM</c:v>
                </c:pt>
                <c:pt idx="3">
                  <c:v>10 PM</c:v>
                </c:pt>
                <c:pt idx="4">
                  <c:v>11 AM</c:v>
                </c:pt>
                <c:pt idx="5">
                  <c:v>11 PM</c:v>
                </c:pt>
                <c:pt idx="6">
                  <c:v>12 AM</c:v>
                </c:pt>
                <c:pt idx="7">
                  <c:v>12 PM</c:v>
                </c:pt>
                <c:pt idx="8">
                  <c:v>2 AM</c:v>
                </c:pt>
                <c:pt idx="9">
                  <c:v>2 PM</c:v>
                </c:pt>
                <c:pt idx="10">
                  <c:v>3 AM</c:v>
                </c:pt>
                <c:pt idx="11">
                  <c:v>3 PM</c:v>
                </c:pt>
                <c:pt idx="12">
                  <c:v>4 AM</c:v>
                </c:pt>
                <c:pt idx="13">
                  <c:v>4 PM</c:v>
                </c:pt>
                <c:pt idx="14">
                  <c:v>5 AM</c:v>
                </c:pt>
                <c:pt idx="15">
                  <c:v>5 PM</c:v>
                </c:pt>
                <c:pt idx="16">
                  <c:v>6 AM</c:v>
                </c:pt>
                <c:pt idx="17">
                  <c:v>6 PM</c:v>
                </c:pt>
                <c:pt idx="18">
                  <c:v>7 AM</c:v>
                </c:pt>
                <c:pt idx="19">
                  <c:v>7 PM</c:v>
                </c:pt>
                <c:pt idx="20">
                  <c:v>8 AM</c:v>
                </c:pt>
                <c:pt idx="21">
                  <c:v>8 PM</c:v>
                </c:pt>
                <c:pt idx="22">
                  <c:v>9 AM</c:v>
                </c:pt>
                <c:pt idx="23">
                  <c:v>9 PM</c:v>
                </c:pt>
              </c:strCache>
            </c:strRef>
          </c:cat>
          <c:val>
            <c:numRef>
              <c:f>'Late Night Analysis'!$B$2:$B$25</c:f>
              <c:numCache>
                <c:formatCode>General</c:formatCode>
                <c:ptCount val="24"/>
                <c:pt idx="0">
                  <c:v>33</c:v>
                </c:pt>
                <c:pt idx="1">
                  <c:v>19</c:v>
                </c:pt>
                <c:pt idx="2">
                  <c:v>30</c:v>
                </c:pt>
                <c:pt idx="3">
                  <c:v>4</c:v>
                </c:pt>
                <c:pt idx="4">
                  <c:v>20</c:v>
                </c:pt>
                <c:pt idx="5">
                  <c:v>5</c:v>
                </c:pt>
                <c:pt idx="6">
                  <c:v>18</c:v>
                </c:pt>
                <c:pt idx="7">
                  <c:v>21</c:v>
                </c:pt>
                <c:pt idx="8">
                  <c:v>37</c:v>
                </c:pt>
                <c:pt idx="9">
                  <c:v>16</c:v>
                </c:pt>
                <c:pt idx="10">
                  <c:v>42</c:v>
                </c:pt>
                <c:pt idx="11">
                  <c:v>20</c:v>
                </c:pt>
                <c:pt idx="12">
                  <c:v>37</c:v>
                </c:pt>
                <c:pt idx="13">
                  <c:v>9</c:v>
                </c:pt>
                <c:pt idx="14">
                  <c:v>32</c:v>
                </c:pt>
                <c:pt idx="15">
                  <c:v>10</c:v>
                </c:pt>
                <c:pt idx="16">
                  <c:v>30</c:v>
                </c:pt>
                <c:pt idx="17">
                  <c:v>9</c:v>
                </c:pt>
                <c:pt idx="18">
                  <c:v>38</c:v>
                </c:pt>
                <c:pt idx="19">
                  <c:v>7</c:v>
                </c:pt>
                <c:pt idx="20">
                  <c:v>36</c:v>
                </c:pt>
                <c:pt idx="21">
                  <c:v>3</c:v>
                </c:pt>
                <c:pt idx="22">
                  <c:v>27</c:v>
                </c:pt>
                <c:pt idx="23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29E-364B-AA08-426E36C4B435}"/>
            </c:ext>
          </c:extLst>
        </c:ser>
        <c:ser>
          <c:idx val="1"/>
          <c:order val="1"/>
          <c:tx>
            <c:strRef>
              <c:f>'Late Night Analysis'!$C$1</c:f>
              <c:strCache>
                <c:ptCount val="1"/>
                <c:pt idx="0">
                  <c:v>Blank Reason</c:v>
                </c:pt>
              </c:strCache>
            </c:strRef>
          </c:tx>
          <c:spPr>
            <a:solidFill>
              <a:srgbClr val="ED7D31"/>
            </a:solidFill>
            <a:ln>
              <a:noFill/>
            </a:ln>
            <a:effectLst/>
          </c:spPr>
          <c:invertIfNegative val="0"/>
          <c:cat>
            <c:strRef>
              <c:f>'Late Night Analysis'!$A$2:$A$25</c:f>
              <c:strCache>
                <c:ptCount val="24"/>
                <c:pt idx="0">
                  <c:v>1 AM</c:v>
                </c:pt>
                <c:pt idx="1">
                  <c:v>1 PM</c:v>
                </c:pt>
                <c:pt idx="2">
                  <c:v>10 AM</c:v>
                </c:pt>
                <c:pt idx="3">
                  <c:v>10 PM</c:v>
                </c:pt>
                <c:pt idx="4">
                  <c:v>11 AM</c:v>
                </c:pt>
                <c:pt idx="5">
                  <c:v>11 PM</c:v>
                </c:pt>
                <c:pt idx="6">
                  <c:v>12 AM</c:v>
                </c:pt>
                <c:pt idx="7">
                  <c:v>12 PM</c:v>
                </c:pt>
                <c:pt idx="8">
                  <c:v>2 AM</c:v>
                </c:pt>
                <c:pt idx="9">
                  <c:v>2 PM</c:v>
                </c:pt>
                <c:pt idx="10">
                  <c:v>3 AM</c:v>
                </c:pt>
                <c:pt idx="11">
                  <c:v>3 PM</c:v>
                </c:pt>
                <c:pt idx="12">
                  <c:v>4 AM</c:v>
                </c:pt>
                <c:pt idx="13">
                  <c:v>4 PM</c:v>
                </c:pt>
                <c:pt idx="14">
                  <c:v>5 AM</c:v>
                </c:pt>
                <c:pt idx="15">
                  <c:v>5 PM</c:v>
                </c:pt>
                <c:pt idx="16">
                  <c:v>6 AM</c:v>
                </c:pt>
                <c:pt idx="17">
                  <c:v>6 PM</c:v>
                </c:pt>
                <c:pt idx="18">
                  <c:v>7 AM</c:v>
                </c:pt>
                <c:pt idx="19">
                  <c:v>7 PM</c:v>
                </c:pt>
                <c:pt idx="20">
                  <c:v>8 AM</c:v>
                </c:pt>
                <c:pt idx="21">
                  <c:v>8 PM</c:v>
                </c:pt>
                <c:pt idx="22">
                  <c:v>9 AM</c:v>
                </c:pt>
                <c:pt idx="23">
                  <c:v>9 PM</c:v>
                </c:pt>
              </c:strCache>
            </c:strRef>
          </c:cat>
          <c:val>
            <c:numRef>
              <c:f>'Late Night Analysis'!$C$2:$C$25</c:f>
              <c:numCache>
                <c:formatCode>General</c:formatCode>
                <c:ptCount val="24"/>
                <c:pt idx="0">
                  <c:v>40</c:v>
                </c:pt>
                <c:pt idx="1">
                  <c:v>17</c:v>
                </c:pt>
                <c:pt idx="2">
                  <c:v>36</c:v>
                </c:pt>
                <c:pt idx="3">
                  <c:v>6</c:v>
                </c:pt>
                <c:pt idx="4">
                  <c:v>14</c:v>
                </c:pt>
                <c:pt idx="5">
                  <c:v>20</c:v>
                </c:pt>
                <c:pt idx="6">
                  <c:v>30</c:v>
                </c:pt>
                <c:pt idx="7">
                  <c:v>25</c:v>
                </c:pt>
                <c:pt idx="8">
                  <c:v>42</c:v>
                </c:pt>
                <c:pt idx="9">
                  <c:v>20</c:v>
                </c:pt>
                <c:pt idx="10">
                  <c:v>52</c:v>
                </c:pt>
                <c:pt idx="11">
                  <c:v>21</c:v>
                </c:pt>
                <c:pt idx="12">
                  <c:v>45</c:v>
                </c:pt>
                <c:pt idx="13">
                  <c:v>14</c:v>
                </c:pt>
                <c:pt idx="14">
                  <c:v>46</c:v>
                </c:pt>
                <c:pt idx="15">
                  <c:v>9</c:v>
                </c:pt>
                <c:pt idx="16">
                  <c:v>40</c:v>
                </c:pt>
                <c:pt idx="17">
                  <c:v>6</c:v>
                </c:pt>
                <c:pt idx="18">
                  <c:v>40</c:v>
                </c:pt>
                <c:pt idx="19">
                  <c:v>8</c:v>
                </c:pt>
                <c:pt idx="20">
                  <c:v>36</c:v>
                </c:pt>
                <c:pt idx="21">
                  <c:v>8</c:v>
                </c:pt>
                <c:pt idx="22">
                  <c:v>30</c:v>
                </c:pt>
                <c:pt idx="23">
                  <c:v>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29E-364B-AA08-426E36C4B4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75283647"/>
        <c:axId val="150600159"/>
      </c:barChart>
      <c:catAx>
        <c:axId val="275283647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Hour (Pacific Time)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0600159"/>
        <c:crosses val="autoZero"/>
        <c:auto val="1"/>
        <c:lblAlgn val="ctr"/>
        <c:lblOffset val="100"/>
        <c:noMultiLvlLbl val="0"/>
      </c:catAx>
      <c:valAx>
        <c:axId val="1506001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Number of Searches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752836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[search_audit_pacific.xlsx]Reason Graph!PivotTable1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</c:pivotFmt>
      <c:pivotFmt>
        <c:idx val="16"/>
        <c:spPr>
          <a:solidFill>
            <a:schemeClr val="accent1"/>
          </a:solidFill>
          <a:ln>
            <a:noFill/>
          </a:ln>
          <a:effectLst/>
        </c:spPr>
      </c:pivotFmt>
      <c:pivotFmt>
        <c:idx val="17"/>
        <c:spPr>
          <a:solidFill>
            <a:schemeClr val="accent1"/>
          </a:solidFill>
          <a:ln>
            <a:noFill/>
          </a:ln>
          <a:effectLst/>
        </c:spPr>
      </c:pivotFmt>
      <c:pivotFmt>
        <c:idx val="18"/>
        <c:spPr>
          <a:solidFill>
            <a:schemeClr val="accent1"/>
          </a:solidFill>
          <a:ln>
            <a:noFill/>
          </a:ln>
          <a:effectLst/>
        </c:spPr>
      </c:pivotFmt>
      <c:pivotFmt>
        <c:idx val="19"/>
        <c:spPr>
          <a:solidFill>
            <a:schemeClr val="accent1"/>
          </a:solidFill>
          <a:ln>
            <a:noFill/>
          </a:ln>
          <a:effectLst/>
        </c:spPr>
      </c:pivotFmt>
      <c:pivotFmt>
        <c:idx val="20"/>
        <c:spPr>
          <a:solidFill>
            <a:schemeClr val="accent1"/>
          </a:solidFill>
          <a:ln>
            <a:noFill/>
          </a:ln>
          <a:effectLst/>
        </c:spPr>
      </c:pivotFmt>
      <c:pivotFmt>
        <c:idx val="21"/>
        <c:spPr>
          <a:solidFill>
            <a:schemeClr val="accent1"/>
          </a:solidFill>
          <a:ln>
            <a:noFill/>
          </a:ln>
          <a:effectLst/>
        </c:spPr>
      </c:pivotFmt>
      <c:pivotFmt>
        <c:idx val="22"/>
        <c:spPr>
          <a:solidFill>
            <a:schemeClr val="accent1"/>
          </a:solidFill>
          <a:ln>
            <a:noFill/>
          </a:ln>
          <a:effectLst/>
        </c:spPr>
      </c:pivotFmt>
      <c:pivotFmt>
        <c:idx val="23"/>
        <c:spPr>
          <a:solidFill>
            <a:schemeClr val="accent1"/>
          </a:solidFill>
          <a:ln>
            <a:noFill/>
          </a:ln>
          <a:effectLst/>
        </c:spPr>
      </c:pivotFmt>
      <c:pivotFmt>
        <c:idx val="24"/>
        <c:spPr>
          <a:solidFill>
            <a:schemeClr val="accent1"/>
          </a:solidFill>
          <a:ln>
            <a:noFill/>
          </a:ln>
          <a:effectLst/>
        </c:spPr>
      </c:pivotFmt>
      <c:pivotFmt>
        <c:idx val="25"/>
        <c:spPr>
          <a:solidFill>
            <a:schemeClr val="accent1"/>
          </a:solidFill>
          <a:ln>
            <a:noFill/>
          </a:ln>
          <a:effectLst/>
        </c:spPr>
      </c:pivotFmt>
      <c:pivotFmt>
        <c:idx val="26"/>
        <c:spPr>
          <a:solidFill>
            <a:schemeClr val="accent1"/>
          </a:solidFill>
          <a:ln>
            <a:noFill/>
          </a:ln>
          <a:effectLst/>
        </c:spPr>
      </c:pivotFmt>
      <c:pivotFmt>
        <c:idx val="27"/>
        <c:spPr>
          <a:solidFill>
            <a:schemeClr val="accent1"/>
          </a:solidFill>
          <a:ln>
            <a:noFill/>
          </a:ln>
          <a:effectLst/>
        </c:spPr>
      </c:pivotFmt>
      <c:pivotFmt>
        <c:idx val="28"/>
        <c:spPr>
          <a:solidFill>
            <a:schemeClr val="accent1"/>
          </a:solidFill>
          <a:ln>
            <a:noFill/>
          </a:ln>
          <a:effectLst/>
        </c:spPr>
      </c:pivotFmt>
      <c:pivotFmt>
        <c:idx val="29"/>
        <c:spPr>
          <a:solidFill>
            <a:schemeClr val="accent1"/>
          </a:solidFill>
          <a:ln>
            <a:noFill/>
          </a:ln>
          <a:effectLst/>
        </c:spPr>
      </c:pivotFmt>
      <c:pivotFmt>
        <c:idx val="30"/>
        <c:spPr>
          <a:solidFill>
            <a:schemeClr val="accent1"/>
          </a:solidFill>
          <a:ln>
            <a:noFill/>
          </a:ln>
          <a:effectLst/>
        </c:spPr>
      </c:pivotFmt>
      <c:pivotFmt>
        <c:idx val="31"/>
        <c:spPr>
          <a:solidFill>
            <a:schemeClr val="accent1"/>
          </a:solidFill>
          <a:ln>
            <a:noFill/>
          </a:ln>
          <a:effectLst/>
        </c:spPr>
      </c:pivotFmt>
      <c:pivotFmt>
        <c:idx val="32"/>
        <c:spPr>
          <a:solidFill>
            <a:schemeClr val="accent1"/>
          </a:solidFill>
          <a:ln>
            <a:noFill/>
          </a:ln>
          <a:effectLst/>
        </c:spPr>
      </c:pivotFmt>
      <c:pivotFmt>
        <c:idx val="33"/>
        <c:spPr>
          <a:solidFill>
            <a:schemeClr val="accent1"/>
          </a:solidFill>
          <a:ln>
            <a:noFill/>
          </a:ln>
          <a:effectLst/>
        </c:spPr>
      </c:pivotFmt>
      <c:pivotFmt>
        <c:idx val="34"/>
        <c:spPr>
          <a:solidFill>
            <a:schemeClr val="accent1"/>
          </a:solidFill>
          <a:ln>
            <a:noFill/>
          </a:ln>
          <a:effectLst/>
        </c:spPr>
      </c:pivotFmt>
      <c:pivotFmt>
        <c:idx val="35"/>
        <c:spPr>
          <a:solidFill>
            <a:schemeClr val="accent1"/>
          </a:solidFill>
          <a:ln>
            <a:noFill/>
          </a:ln>
          <a:effectLst/>
        </c:spPr>
      </c:pivotFmt>
      <c:pivotFmt>
        <c:idx val="36"/>
        <c:spPr>
          <a:solidFill>
            <a:schemeClr val="accent1"/>
          </a:solidFill>
          <a:ln>
            <a:noFill/>
          </a:ln>
          <a:effectLst/>
        </c:spPr>
      </c:pivotFmt>
      <c:pivotFmt>
        <c:idx val="37"/>
        <c:spPr>
          <a:solidFill>
            <a:schemeClr val="accent1"/>
          </a:solidFill>
          <a:ln>
            <a:noFill/>
          </a:ln>
          <a:effectLst/>
        </c:spPr>
      </c:pivotFmt>
      <c:pivotFmt>
        <c:idx val="38"/>
        <c:spPr>
          <a:solidFill>
            <a:schemeClr val="accent1"/>
          </a:solidFill>
          <a:ln>
            <a:noFill/>
          </a:ln>
          <a:effectLst/>
        </c:spPr>
      </c:pivotFmt>
      <c:pivotFmt>
        <c:idx val="39"/>
        <c:spPr>
          <a:solidFill>
            <a:schemeClr val="accent1"/>
          </a:solidFill>
          <a:ln>
            <a:noFill/>
          </a:ln>
          <a:effectLst/>
        </c:spPr>
      </c:pivotFmt>
      <c:pivotFmt>
        <c:idx val="40"/>
        <c:spPr>
          <a:solidFill>
            <a:schemeClr val="accent1"/>
          </a:solidFill>
          <a:ln>
            <a:noFill/>
          </a:ln>
          <a:effectLst/>
        </c:spPr>
      </c:pivotFmt>
      <c:pivotFmt>
        <c:idx val="41"/>
        <c:spPr>
          <a:solidFill>
            <a:schemeClr val="accent1"/>
          </a:solidFill>
          <a:ln>
            <a:noFill/>
          </a:ln>
          <a:effectLst/>
        </c:spPr>
      </c:pivotFmt>
      <c:pivotFmt>
        <c:idx val="42"/>
        <c:spPr>
          <a:solidFill>
            <a:schemeClr val="accent1"/>
          </a:solidFill>
          <a:ln>
            <a:noFill/>
          </a:ln>
          <a:effectLst/>
        </c:spPr>
      </c:pivotFmt>
      <c:pivotFmt>
        <c:idx val="43"/>
        <c:spPr>
          <a:solidFill>
            <a:schemeClr val="accent1"/>
          </a:solidFill>
          <a:ln>
            <a:noFill/>
          </a:ln>
          <a:effectLst/>
        </c:spPr>
      </c:pivotFmt>
      <c:pivotFmt>
        <c:idx val="44"/>
        <c:spPr>
          <a:solidFill>
            <a:schemeClr val="accent1"/>
          </a:solidFill>
          <a:ln>
            <a:noFill/>
          </a:ln>
          <a:effectLst/>
        </c:spPr>
      </c:pivotFmt>
      <c:pivotFmt>
        <c:idx val="45"/>
        <c:spPr>
          <a:solidFill>
            <a:schemeClr val="accent1"/>
          </a:solidFill>
          <a:ln>
            <a:noFill/>
          </a:ln>
          <a:effectLst/>
        </c:spPr>
      </c:pivotFmt>
      <c:pivotFmt>
        <c:idx val="46"/>
        <c:spPr>
          <a:solidFill>
            <a:schemeClr val="accent1"/>
          </a:solidFill>
          <a:ln>
            <a:noFill/>
          </a:ln>
          <a:effectLst/>
        </c:spPr>
      </c:pivotFmt>
      <c:pivotFmt>
        <c:idx val="47"/>
        <c:spPr>
          <a:solidFill>
            <a:schemeClr val="accent1"/>
          </a:solidFill>
          <a:ln>
            <a:noFill/>
          </a:ln>
          <a:effectLst/>
        </c:spPr>
      </c:pivotFmt>
      <c:pivotFmt>
        <c:idx val="48"/>
        <c:spPr>
          <a:solidFill>
            <a:schemeClr val="accent1"/>
          </a:solidFill>
          <a:ln>
            <a:noFill/>
          </a:ln>
          <a:effectLst/>
        </c:spPr>
      </c:pivotFmt>
      <c:pivotFmt>
        <c:idx val="49"/>
        <c:spPr>
          <a:solidFill>
            <a:schemeClr val="accent1"/>
          </a:solidFill>
          <a:ln>
            <a:noFill/>
          </a:ln>
          <a:effectLst/>
        </c:spPr>
      </c:pivotFmt>
      <c:pivotFmt>
        <c:idx val="50"/>
        <c:spPr>
          <a:solidFill>
            <a:schemeClr val="accent1"/>
          </a:solidFill>
          <a:ln>
            <a:noFill/>
          </a:ln>
          <a:effectLst/>
        </c:spPr>
      </c:pivotFmt>
      <c:pivotFmt>
        <c:idx val="51"/>
        <c:spPr>
          <a:solidFill>
            <a:schemeClr val="accent1"/>
          </a:solidFill>
          <a:ln>
            <a:noFill/>
          </a:ln>
          <a:effectLst/>
        </c:spPr>
      </c:pivotFmt>
      <c:pivotFmt>
        <c:idx val="52"/>
        <c:spPr>
          <a:solidFill>
            <a:schemeClr val="accent1"/>
          </a:solidFill>
          <a:ln>
            <a:noFill/>
          </a:ln>
          <a:effectLst/>
        </c:spPr>
      </c:pivotFmt>
      <c:pivotFmt>
        <c:idx val="53"/>
        <c:spPr>
          <a:solidFill>
            <a:schemeClr val="accent1"/>
          </a:solidFill>
          <a:ln>
            <a:noFill/>
          </a:ln>
          <a:effectLst/>
        </c:spPr>
      </c:pivotFmt>
      <c:pivotFmt>
        <c:idx val="54"/>
        <c:spPr>
          <a:solidFill>
            <a:schemeClr val="accent1"/>
          </a:solidFill>
          <a:ln>
            <a:noFill/>
          </a:ln>
          <a:effectLst/>
        </c:spPr>
      </c:pivotFmt>
      <c:pivotFmt>
        <c:idx val="55"/>
        <c:spPr>
          <a:solidFill>
            <a:schemeClr val="accent1"/>
          </a:solidFill>
          <a:ln>
            <a:noFill/>
          </a:ln>
          <a:effectLst/>
        </c:spPr>
      </c:pivotFmt>
      <c:pivotFmt>
        <c:idx val="56"/>
        <c:spPr>
          <a:solidFill>
            <a:schemeClr val="accent1"/>
          </a:solidFill>
          <a:ln>
            <a:noFill/>
          </a:ln>
          <a:effectLst/>
        </c:spPr>
      </c:pivotFmt>
      <c:pivotFmt>
        <c:idx val="57"/>
        <c:spPr>
          <a:solidFill>
            <a:schemeClr val="accent1"/>
          </a:solidFill>
          <a:ln>
            <a:noFill/>
          </a:ln>
          <a:effectLst/>
        </c:spPr>
      </c:pivotFmt>
      <c:pivotFmt>
        <c:idx val="58"/>
        <c:spPr>
          <a:solidFill>
            <a:schemeClr val="accent1"/>
          </a:solidFill>
          <a:ln>
            <a:noFill/>
          </a:ln>
          <a:effectLst/>
        </c:spPr>
      </c:pivotFmt>
      <c:pivotFmt>
        <c:idx val="59"/>
        <c:spPr>
          <a:solidFill>
            <a:schemeClr val="accent1"/>
          </a:solidFill>
          <a:ln>
            <a:noFill/>
          </a:ln>
          <a:effectLst/>
        </c:spPr>
      </c:pivotFmt>
      <c:pivotFmt>
        <c:idx val="60"/>
        <c:spPr>
          <a:solidFill>
            <a:schemeClr val="accent1"/>
          </a:solidFill>
          <a:ln>
            <a:noFill/>
          </a:ln>
          <a:effectLst/>
        </c:spPr>
      </c:pivotFmt>
      <c:pivotFmt>
        <c:idx val="61"/>
        <c:spPr>
          <a:solidFill>
            <a:schemeClr val="accent1"/>
          </a:solidFill>
          <a:ln>
            <a:noFill/>
          </a:ln>
          <a:effectLst/>
        </c:spPr>
      </c:pivotFmt>
      <c:pivotFmt>
        <c:idx val="62"/>
        <c:spPr>
          <a:solidFill>
            <a:schemeClr val="accent1"/>
          </a:solidFill>
          <a:ln>
            <a:noFill/>
          </a:ln>
          <a:effectLst/>
        </c:spPr>
      </c:pivotFmt>
      <c:pivotFmt>
        <c:idx val="63"/>
        <c:spPr>
          <a:solidFill>
            <a:schemeClr val="accent1"/>
          </a:solidFill>
          <a:ln>
            <a:noFill/>
          </a:ln>
          <a:effectLst/>
        </c:spPr>
      </c:pivotFmt>
      <c:pivotFmt>
        <c:idx val="64"/>
        <c:spPr>
          <a:solidFill>
            <a:schemeClr val="accent1"/>
          </a:solidFill>
          <a:ln>
            <a:noFill/>
          </a:ln>
          <a:effectLst/>
        </c:spPr>
      </c:pivotFmt>
      <c:pivotFmt>
        <c:idx val="65"/>
        <c:spPr>
          <a:solidFill>
            <a:schemeClr val="accent1"/>
          </a:solidFill>
          <a:ln>
            <a:noFill/>
          </a:ln>
          <a:effectLst/>
        </c:spPr>
      </c:pivotFmt>
      <c:pivotFmt>
        <c:idx val="66"/>
        <c:spPr>
          <a:solidFill>
            <a:schemeClr val="accent1"/>
          </a:solidFill>
          <a:ln>
            <a:noFill/>
          </a:ln>
          <a:effectLst/>
        </c:spPr>
      </c:pivotFmt>
      <c:pivotFmt>
        <c:idx val="67"/>
        <c:spPr>
          <a:solidFill>
            <a:schemeClr val="accent1"/>
          </a:solidFill>
          <a:ln>
            <a:noFill/>
          </a:ln>
          <a:effectLst/>
        </c:spPr>
      </c:pivotFmt>
      <c:pivotFmt>
        <c:idx val="68"/>
        <c:spPr>
          <a:solidFill>
            <a:schemeClr val="accent1"/>
          </a:solidFill>
          <a:ln>
            <a:noFill/>
          </a:ln>
          <a:effectLst/>
        </c:spPr>
      </c:pivotFmt>
      <c:pivotFmt>
        <c:idx val="69"/>
        <c:spPr>
          <a:solidFill>
            <a:schemeClr val="accent1"/>
          </a:solidFill>
          <a:ln>
            <a:noFill/>
          </a:ln>
          <a:effectLst/>
        </c:spPr>
      </c:pivotFmt>
      <c:pivotFmt>
        <c:idx val="70"/>
        <c:spPr>
          <a:solidFill>
            <a:schemeClr val="accent1"/>
          </a:solidFill>
          <a:ln>
            <a:noFill/>
          </a:ln>
          <a:effectLst/>
        </c:spPr>
      </c:pivotFmt>
      <c:pivotFmt>
        <c:idx val="71"/>
        <c:spPr>
          <a:solidFill>
            <a:schemeClr val="accent1"/>
          </a:solidFill>
          <a:ln>
            <a:noFill/>
          </a:ln>
          <a:effectLst/>
        </c:spPr>
      </c:pivotFmt>
      <c:pivotFmt>
        <c:idx val="72"/>
        <c:spPr>
          <a:solidFill>
            <a:schemeClr val="accent1"/>
          </a:solidFill>
          <a:ln>
            <a:noFill/>
          </a:ln>
          <a:effectLst/>
        </c:spPr>
      </c:pivotFmt>
      <c:pivotFmt>
        <c:idx val="73"/>
        <c:spPr>
          <a:solidFill>
            <a:schemeClr val="accent1"/>
          </a:solidFill>
          <a:ln>
            <a:noFill/>
          </a:ln>
          <a:effectLst/>
        </c:spPr>
      </c:pivotFmt>
      <c:pivotFmt>
        <c:idx val="74"/>
        <c:spPr>
          <a:solidFill>
            <a:schemeClr val="accent1"/>
          </a:solidFill>
          <a:ln>
            <a:noFill/>
          </a:ln>
          <a:effectLst/>
        </c:spPr>
      </c:pivotFmt>
      <c:pivotFmt>
        <c:idx val="75"/>
        <c:spPr>
          <a:solidFill>
            <a:schemeClr val="accent1"/>
          </a:solidFill>
          <a:ln>
            <a:noFill/>
          </a:ln>
          <a:effectLst/>
        </c:spPr>
      </c:pivotFmt>
      <c:pivotFmt>
        <c:idx val="76"/>
        <c:spPr>
          <a:solidFill>
            <a:schemeClr val="accent1"/>
          </a:solidFill>
          <a:ln>
            <a:noFill/>
          </a:ln>
          <a:effectLst/>
        </c:spPr>
      </c:pivotFmt>
      <c:pivotFmt>
        <c:idx val="77"/>
        <c:spPr>
          <a:solidFill>
            <a:schemeClr val="accent1"/>
          </a:solidFill>
          <a:ln>
            <a:noFill/>
          </a:ln>
          <a:effectLst/>
        </c:spPr>
      </c:pivotFmt>
      <c:pivotFmt>
        <c:idx val="78"/>
        <c:spPr>
          <a:solidFill>
            <a:schemeClr val="accent1"/>
          </a:solidFill>
          <a:ln>
            <a:noFill/>
          </a:ln>
          <a:effectLst/>
        </c:spPr>
      </c:pivotFmt>
      <c:pivotFmt>
        <c:idx val="79"/>
        <c:spPr>
          <a:solidFill>
            <a:schemeClr val="accent1"/>
          </a:solidFill>
          <a:ln>
            <a:noFill/>
          </a:ln>
          <a:effectLst/>
        </c:spPr>
      </c:pivotFmt>
      <c:pivotFmt>
        <c:idx val="80"/>
        <c:spPr>
          <a:solidFill>
            <a:schemeClr val="accent1"/>
          </a:solidFill>
          <a:ln>
            <a:noFill/>
          </a:ln>
          <a:effectLst/>
        </c:spPr>
      </c:pivotFmt>
      <c:pivotFmt>
        <c:idx val="81"/>
        <c:spPr>
          <a:solidFill>
            <a:schemeClr val="accent1"/>
          </a:solidFill>
          <a:ln>
            <a:noFill/>
          </a:ln>
          <a:effectLst/>
        </c:spPr>
      </c:pivotFmt>
      <c:pivotFmt>
        <c:idx val="82"/>
        <c:spPr>
          <a:solidFill>
            <a:schemeClr val="accent1"/>
          </a:solidFill>
          <a:ln>
            <a:noFill/>
          </a:ln>
          <a:effectLst/>
        </c:spPr>
      </c:pivotFmt>
      <c:pivotFmt>
        <c:idx val="83"/>
        <c:spPr>
          <a:solidFill>
            <a:schemeClr val="accent1"/>
          </a:solidFill>
          <a:ln>
            <a:noFill/>
          </a:ln>
          <a:effectLst/>
        </c:spPr>
      </c:pivotFmt>
      <c:pivotFmt>
        <c:idx val="84"/>
        <c:spPr>
          <a:solidFill>
            <a:schemeClr val="accent1"/>
          </a:solidFill>
          <a:ln>
            <a:noFill/>
          </a:ln>
          <a:effectLst/>
        </c:spPr>
      </c:pivotFmt>
      <c:pivotFmt>
        <c:idx val="85"/>
        <c:spPr>
          <a:solidFill>
            <a:schemeClr val="accent1"/>
          </a:solidFill>
          <a:ln>
            <a:noFill/>
          </a:ln>
          <a:effectLst/>
        </c:spPr>
      </c:pivotFmt>
      <c:pivotFmt>
        <c:idx val="86"/>
        <c:spPr>
          <a:solidFill>
            <a:schemeClr val="accent1"/>
          </a:solidFill>
          <a:ln>
            <a:noFill/>
          </a:ln>
          <a:effectLst/>
        </c:spPr>
      </c:pivotFmt>
      <c:pivotFmt>
        <c:idx val="87"/>
        <c:spPr>
          <a:solidFill>
            <a:schemeClr val="accent1"/>
          </a:solidFill>
          <a:ln>
            <a:noFill/>
          </a:ln>
          <a:effectLst/>
        </c:spPr>
      </c:pivotFmt>
      <c:pivotFmt>
        <c:idx val="88"/>
        <c:spPr>
          <a:solidFill>
            <a:schemeClr val="accent1"/>
          </a:solidFill>
          <a:ln>
            <a:noFill/>
          </a:ln>
          <a:effectLst/>
        </c:spPr>
      </c:pivotFmt>
      <c:pivotFmt>
        <c:idx val="89"/>
        <c:spPr>
          <a:solidFill>
            <a:schemeClr val="accent1"/>
          </a:solidFill>
          <a:ln>
            <a:noFill/>
          </a:ln>
          <a:effectLst/>
        </c:spPr>
      </c:pivotFmt>
      <c:pivotFmt>
        <c:idx val="90"/>
        <c:spPr>
          <a:solidFill>
            <a:schemeClr val="accent1"/>
          </a:solidFill>
          <a:ln>
            <a:noFill/>
          </a:ln>
          <a:effectLst/>
        </c:spPr>
      </c:pivotFmt>
      <c:pivotFmt>
        <c:idx val="91"/>
        <c:spPr>
          <a:solidFill>
            <a:schemeClr val="accent1"/>
          </a:solidFill>
          <a:ln>
            <a:noFill/>
          </a:ln>
          <a:effectLst/>
        </c:spPr>
      </c:pivotFmt>
      <c:pivotFmt>
        <c:idx val="92"/>
        <c:spPr>
          <a:solidFill>
            <a:schemeClr val="accent1"/>
          </a:solidFill>
          <a:ln>
            <a:noFill/>
          </a:ln>
          <a:effectLst/>
        </c:spPr>
      </c:pivotFmt>
      <c:pivotFmt>
        <c:idx val="93"/>
        <c:spPr>
          <a:solidFill>
            <a:schemeClr val="accent1"/>
          </a:solidFill>
          <a:ln>
            <a:noFill/>
          </a:ln>
          <a:effectLst/>
        </c:spPr>
      </c:pivotFmt>
      <c:pivotFmt>
        <c:idx val="9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5"/>
        <c:spPr>
          <a:solidFill>
            <a:schemeClr val="accent1"/>
          </a:solidFill>
          <a:ln>
            <a:noFill/>
          </a:ln>
          <a:effectLst/>
        </c:spPr>
      </c:pivotFmt>
      <c:pivotFmt>
        <c:idx val="96"/>
        <c:spPr>
          <a:solidFill>
            <a:schemeClr val="accent1"/>
          </a:solidFill>
          <a:ln>
            <a:noFill/>
          </a:ln>
          <a:effectLst/>
        </c:spPr>
      </c:pivotFmt>
      <c:pivotFmt>
        <c:idx val="97"/>
        <c:spPr>
          <a:solidFill>
            <a:schemeClr val="accent1"/>
          </a:solidFill>
          <a:ln>
            <a:noFill/>
          </a:ln>
          <a:effectLst/>
        </c:spPr>
      </c:pivotFmt>
      <c:pivotFmt>
        <c:idx val="98"/>
        <c:spPr>
          <a:solidFill>
            <a:schemeClr val="accent1"/>
          </a:solidFill>
          <a:ln>
            <a:noFill/>
          </a:ln>
          <a:effectLst/>
        </c:spPr>
      </c:pivotFmt>
      <c:pivotFmt>
        <c:idx val="99"/>
        <c:spPr>
          <a:solidFill>
            <a:schemeClr val="accent1"/>
          </a:solidFill>
          <a:ln>
            <a:noFill/>
          </a:ln>
          <a:effectLst/>
        </c:spPr>
      </c:pivotFmt>
      <c:pivotFmt>
        <c:idx val="100"/>
        <c:spPr>
          <a:solidFill>
            <a:schemeClr val="accent1"/>
          </a:solidFill>
          <a:ln>
            <a:noFill/>
          </a:ln>
          <a:effectLst/>
        </c:spPr>
      </c:pivotFmt>
      <c:pivotFmt>
        <c:idx val="101"/>
        <c:spPr>
          <a:solidFill>
            <a:schemeClr val="accent1"/>
          </a:solidFill>
          <a:ln>
            <a:noFill/>
          </a:ln>
          <a:effectLst/>
        </c:spPr>
      </c:pivotFmt>
      <c:pivotFmt>
        <c:idx val="102"/>
        <c:spPr>
          <a:solidFill>
            <a:schemeClr val="accent1"/>
          </a:solidFill>
          <a:ln>
            <a:noFill/>
          </a:ln>
          <a:effectLst/>
        </c:spPr>
      </c:pivotFmt>
      <c:pivotFmt>
        <c:idx val="103"/>
        <c:spPr>
          <a:solidFill>
            <a:schemeClr val="accent1"/>
          </a:solidFill>
          <a:ln>
            <a:noFill/>
          </a:ln>
          <a:effectLst/>
        </c:spPr>
      </c:pivotFmt>
      <c:pivotFmt>
        <c:idx val="104"/>
        <c:spPr>
          <a:solidFill>
            <a:schemeClr val="accent1"/>
          </a:solidFill>
          <a:ln>
            <a:noFill/>
          </a:ln>
          <a:effectLst/>
        </c:spPr>
      </c:pivotFmt>
      <c:pivotFmt>
        <c:idx val="105"/>
        <c:spPr>
          <a:solidFill>
            <a:schemeClr val="accent1"/>
          </a:solidFill>
          <a:ln>
            <a:noFill/>
          </a:ln>
          <a:effectLst/>
        </c:spPr>
      </c:pivotFmt>
      <c:pivotFmt>
        <c:idx val="106"/>
        <c:spPr>
          <a:solidFill>
            <a:schemeClr val="accent1"/>
          </a:solidFill>
          <a:ln>
            <a:noFill/>
          </a:ln>
          <a:effectLst/>
        </c:spPr>
      </c:pivotFmt>
      <c:pivotFmt>
        <c:idx val="107"/>
        <c:spPr>
          <a:solidFill>
            <a:schemeClr val="accent1"/>
          </a:solidFill>
          <a:ln>
            <a:noFill/>
          </a:ln>
          <a:effectLst/>
        </c:spPr>
      </c:pivotFmt>
      <c:pivotFmt>
        <c:idx val="108"/>
        <c:spPr>
          <a:solidFill>
            <a:schemeClr val="accent1"/>
          </a:solidFill>
          <a:ln>
            <a:noFill/>
          </a:ln>
          <a:effectLst/>
        </c:spPr>
      </c:pivotFmt>
      <c:pivotFmt>
        <c:idx val="109"/>
        <c:spPr>
          <a:solidFill>
            <a:schemeClr val="accent1"/>
          </a:solidFill>
          <a:ln>
            <a:noFill/>
          </a:ln>
          <a:effectLst/>
        </c:spPr>
      </c:pivotFmt>
      <c:pivotFmt>
        <c:idx val="110"/>
        <c:spPr>
          <a:solidFill>
            <a:schemeClr val="accent1"/>
          </a:solidFill>
          <a:ln>
            <a:noFill/>
          </a:ln>
          <a:effectLst/>
        </c:spPr>
      </c:pivotFmt>
      <c:pivotFmt>
        <c:idx val="111"/>
        <c:spPr>
          <a:solidFill>
            <a:schemeClr val="accent1"/>
          </a:solidFill>
          <a:ln>
            <a:noFill/>
          </a:ln>
          <a:effectLst/>
        </c:spPr>
      </c:pivotFmt>
      <c:pivotFmt>
        <c:idx val="112"/>
        <c:spPr>
          <a:solidFill>
            <a:schemeClr val="accent1"/>
          </a:solidFill>
          <a:ln>
            <a:noFill/>
          </a:ln>
          <a:effectLst/>
        </c:spPr>
      </c:pivotFmt>
      <c:pivotFmt>
        <c:idx val="113"/>
        <c:spPr>
          <a:solidFill>
            <a:schemeClr val="accent1"/>
          </a:solidFill>
          <a:ln>
            <a:noFill/>
          </a:ln>
          <a:effectLst/>
        </c:spPr>
      </c:pivotFmt>
      <c:pivotFmt>
        <c:idx val="114"/>
        <c:spPr>
          <a:solidFill>
            <a:schemeClr val="accent1"/>
          </a:solidFill>
          <a:ln>
            <a:noFill/>
          </a:ln>
          <a:effectLst/>
        </c:spPr>
      </c:pivotFmt>
      <c:pivotFmt>
        <c:idx val="115"/>
        <c:spPr>
          <a:solidFill>
            <a:schemeClr val="accent1"/>
          </a:solidFill>
          <a:ln>
            <a:noFill/>
          </a:ln>
          <a:effectLst/>
        </c:spPr>
      </c:pivotFmt>
      <c:pivotFmt>
        <c:idx val="116"/>
        <c:spPr>
          <a:solidFill>
            <a:schemeClr val="accent1"/>
          </a:solidFill>
          <a:ln>
            <a:noFill/>
          </a:ln>
          <a:effectLst/>
        </c:spPr>
      </c:pivotFmt>
      <c:pivotFmt>
        <c:idx val="117"/>
        <c:spPr>
          <a:solidFill>
            <a:schemeClr val="accent1"/>
          </a:solidFill>
          <a:ln>
            <a:noFill/>
          </a:ln>
          <a:effectLst/>
        </c:spPr>
      </c:pivotFmt>
      <c:pivotFmt>
        <c:idx val="118"/>
        <c:spPr>
          <a:solidFill>
            <a:schemeClr val="accent1"/>
          </a:solidFill>
          <a:ln>
            <a:noFill/>
          </a:ln>
          <a:effectLst/>
        </c:spPr>
      </c:pivotFmt>
      <c:pivotFmt>
        <c:idx val="119"/>
        <c:spPr>
          <a:solidFill>
            <a:schemeClr val="accent1"/>
          </a:solidFill>
          <a:ln>
            <a:noFill/>
          </a:ln>
          <a:effectLst/>
        </c:spPr>
      </c:pivotFmt>
      <c:pivotFmt>
        <c:idx val="120"/>
        <c:spPr>
          <a:solidFill>
            <a:schemeClr val="accent1"/>
          </a:solidFill>
          <a:ln>
            <a:noFill/>
          </a:ln>
          <a:effectLst/>
        </c:spPr>
      </c:pivotFmt>
      <c:pivotFmt>
        <c:idx val="121"/>
        <c:spPr>
          <a:solidFill>
            <a:schemeClr val="accent1"/>
          </a:solidFill>
          <a:ln>
            <a:noFill/>
          </a:ln>
          <a:effectLst/>
        </c:spPr>
      </c:pivotFmt>
      <c:pivotFmt>
        <c:idx val="122"/>
        <c:spPr>
          <a:solidFill>
            <a:schemeClr val="accent1"/>
          </a:solidFill>
          <a:ln>
            <a:noFill/>
          </a:ln>
          <a:effectLst/>
        </c:spPr>
      </c:pivotFmt>
      <c:pivotFmt>
        <c:idx val="123"/>
        <c:spPr>
          <a:solidFill>
            <a:schemeClr val="accent1"/>
          </a:solidFill>
          <a:ln>
            <a:noFill/>
          </a:ln>
          <a:effectLst/>
        </c:spPr>
      </c:pivotFmt>
      <c:pivotFmt>
        <c:idx val="124"/>
        <c:spPr>
          <a:solidFill>
            <a:schemeClr val="accent1"/>
          </a:solidFill>
          <a:ln>
            <a:noFill/>
          </a:ln>
          <a:effectLst/>
        </c:spPr>
      </c:pivotFmt>
      <c:pivotFmt>
        <c:idx val="125"/>
        <c:spPr>
          <a:solidFill>
            <a:schemeClr val="accent1"/>
          </a:solidFill>
          <a:ln>
            <a:noFill/>
          </a:ln>
          <a:effectLst/>
        </c:spPr>
      </c:pivotFmt>
      <c:pivotFmt>
        <c:idx val="126"/>
        <c:spPr>
          <a:solidFill>
            <a:schemeClr val="accent1"/>
          </a:solidFill>
          <a:ln>
            <a:noFill/>
          </a:ln>
          <a:effectLst/>
        </c:spPr>
      </c:pivotFmt>
      <c:pivotFmt>
        <c:idx val="127"/>
        <c:spPr>
          <a:solidFill>
            <a:schemeClr val="accent1"/>
          </a:solidFill>
          <a:ln>
            <a:noFill/>
          </a:ln>
          <a:effectLst/>
        </c:spPr>
      </c:pivotFmt>
      <c:pivotFmt>
        <c:idx val="128"/>
        <c:spPr>
          <a:solidFill>
            <a:schemeClr val="accent1"/>
          </a:solidFill>
          <a:ln>
            <a:noFill/>
          </a:ln>
          <a:effectLst/>
        </c:spPr>
      </c:pivotFmt>
      <c:pivotFmt>
        <c:idx val="129"/>
        <c:spPr>
          <a:solidFill>
            <a:schemeClr val="accent1"/>
          </a:solidFill>
          <a:ln>
            <a:noFill/>
          </a:ln>
          <a:effectLst/>
        </c:spPr>
      </c:pivotFmt>
      <c:pivotFmt>
        <c:idx val="130"/>
        <c:spPr>
          <a:solidFill>
            <a:schemeClr val="accent1"/>
          </a:solidFill>
          <a:ln>
            <a:noFill/>
          </a:ln>
          <a:effectLst/>
        </c:spPr>
      </c:pivotFmt>
      <c:pivotFmt>
        <c:idx val="131"/>
        <c:spPr>
          <a:solidFill>
            <a:schemeClr val="accent1"/>
          </a:solidFill>
          <a:ln>
            <a:noFill/>
          </a:ln>
          <a:effectLst/>
        </c:spPr>
      </c:pivotFmt>
      <c:pivotFmt>
        <c:idx val="132"/>
        <c:spPr>
          <a:solidFill>
            <a:schemeClr val="accent1"/>
          </a:solidFill>
          <a:ln>
            <a:noFill/>
          </a:ln>
          <a:effectLst/>
        </c:spPr>
      </c:pivotFmt>
      <c:pivotFmt>
        <c:idx val="133"/>
        <c:spPr>
          <a:solidFill>
            <a:schemeClr val="accent1"/>
          </a:solidFill>
          <a:ln>
            <a:noFill/>
          </a:ln>
          <a:effectLst/>
        </c:spPr>
      </c:pivotFmt>
      <c:pivotFmt>
        <c:idx val="134"/>
        <c:spPr>
          <a:solidFill>
            <a:schemeClr val="accent1"/>
          </a:solidFill>
          <a:ln>
            <a:noFill/>
          </a:ln>
          <a:effectLst/>
        </c:spPr>
      </c:pivotFmt>
      <c:pivotFmt>
        <c:idx val="135"/>
        <c:spPr>
          <a:solidFill>
            <a:schemeClr val="accent1"/>
          </a:solidFill>
          <a:ln>
            <a:noFill/>
          </a:ln>
          <a:effectLst/>
        </c:spPr>
      </c:pivotFmt>
      <c:pivotFmt>
        <c:idx val="136"/>
        <c:spPr>
          <a:solidFill>
            <a:schemeClr val="accent1"/>
          </a:solidFill>
          <a:ln>
            <a:noFill/>
          </a:ln>
          <a:effectLst/>
        </c:spPr>
      </c:pivotFmt>
      <c:pivotFmt>
        <c:idx val="137"/>
        <c:spPr>
          <a:solidFill>
            <a:schemeClr val="accent1"/>
          </a:solidFill>
          <a:ln>
            <a:noFill/>
          </a:ln>
          <a:effectLst/>
        </c:spPr>
      </c:pivotFmt>
      <c:pivotFmt>
        <c:idx val="138"/>
        <c:spPr>
          <a:solidFill>
            <a:schemeClr val="accent1"/>
          </a:solidFill>
          <a:ln>
            <a:noFill/>
          </a:ln>
          <a:effectLst/>
        </c:spPr>
      </c:pivotFmt>
      <c:pivotFmt>
        <c:idx val="139"/>
        <c:spPr>
          <a:solidFill>
            <a:schemeClr val="accent1"/>
          </a:solidFill>
          <a:ln>
            <a:noFill/>
          </a:ln>
          <a:effectLst/>
        </c:spPr>
      </c:pivotFmt>
      <c:pivotFmt>
        <c:idx val="140"/>
        <c:spPr>
          <a:solidFill>
            <a:schemeClr val="accent1"/>
          </a:solidFill>
          <a:ln>
            <a:noFill/>
          </a:ln>
          <a:effectLst/>
        </c:spPr>
      </c:pivotFmt>
      <c:pivotFmt>
        <c:idx val="141"/>
        <c:spPr>
          <a:solidFill>
            <a:schemeClr val="accent1"/>
          </a:solidFill>
          <a:ln>
            <a:noFill/>
          </a:ln>
          <a:effectLst/>
        </c:spPr>
      </c:pivotFmt>
      <c:pivotFmt>
        <c:idx val="142"/>
        <c:spPr>
          <a:solidFill>
            <a:schemeClr val="accent1"/>
          </a:solidFill>
          <a:ln>
            <a:noFill/>
          </a:ln>
          <a:effectLst/>
        </c:spPr>
      </c:pivotFmt>
      <c:pivotFmt>
        <c:idx val="143"/>
        <c:spPr>
          <a:solidFill>
            <a:schemeClr val="accent1"/>
          </a:solidFill>
          <a:ln>
            <a:noFill/>
          </a:ln>
          <a:effectLst/>
        </c:spPr>
      </c:pivotFmt>
      <c:pivotFmt>
        <c:idx val="144"/>
        <c:spPr>
          <a:solidFill>
            <a:schemeClr val="accent1"/>
          </a:solidFill>
          <a:ln>
            <a:noFill/>
          </a:ln>
          <a:effectLst/>
        </c:spPr>
      </c:pivotFmt>
      <c:pivotFmt>
        <c:idx val="145"/>
        <c:spPr>
          <a:solidFill>
            <a:schemeClr val="accent1"/>
          </a:solidFill>
          <a:ln>
            <a:noFill/>
          </a:ln>
          <a:effectLst/>
        </c:spPr>
      </c:pivotFmt>
      <c:pivotFmt>
        <c:idx val="146"/>
        <c:spPr>
          <a:solidFill>
            <a:schemeClr val="accent1"/>
          </a:solidFill>
          <a:ln>
            <a:noFill/>
          </a:ln>
          <a:effectLst/>
        </c:spPr>
      </c:pivotFmt>
      <c:pivotFmt>
        <c:idx val="147"/>
        <c:spPr>
          <a:solidFill>
            <a:schemeClr val="accent1"/>
          </a:solidFill>
          <a:ln>
            <a:noFill/>
          </a:ln>
          <a:effectLst/>
        </c:spPr>
      </c:pivotFmt>
      <c:pivotFmt>
        <c:idx val="148"/>
        <c:spPr>
          <a:solidFill>
            <a:schemeClr val="accent1"/>
          </a:solidFill>
          <a:ln>
            <a:noFill/>
          </a:ln>
          <a:effectLst/>
        </c:spPr>
      </c:pivotFmt>
      <c:pivotFmt>
        <c:idx val="149"/>
        <c:spPr>
          <a:solidFill>
            <a:schemeClr val="accent1"/>
          </a:solidFill>
          <a:ln>
            <a:noFill/>
          </a:ln>
          <a:effectLst/>
        </c:spPr>
      </c:pivotFmt>
      <c:pivotFmt>
        <c:idx val="150"/>
        <c:spPr>
          <a:solidFill>
            <a:schemeClr val="accent1"/>
          </a:solidFill>
          <a:ln>
            <a:noFill/>
          </a:ln>
          <a:effectLst/>
        </c:spPr>
      </c:pivotFmt>
      <c:pivotFmt>
        <c:idx val="151"/>
        <c:spPr>
          <a:solidFill>
            <a:schemeClr val="accent1"/>
          </a:solidFill>
          <a:ln>
            <a:noFill/>
          </a:ln>
          <a:effectLst/>
        </c:spPr>
      </c:pivotFmt>
      <c:pivotFmt>
        <c:idx val="152"/>
        <c:spPr>
          <a:solidFill>
            <a:schemeClr val="accent1"/>
          </a:solidFill>
          <a:ln>
            <a:noFill/>
          </a:ln>
          <a:effectLst/>
        </c:spPr>
      </c:pivotFmt>
      <c:pivotFmt>
        <c:idx val="153"/>
        <c:spPr>
          <a:solidFill>
            <a:schemeClr val="accent1"/>
          </a:solidFill>
          <a:ln>
            <a:noFill/>
          </a:ln>
          <a:effectLst/>
        </c:spPr>
      </c:pivotFmt>
      <c:pivotFmt>
        <c:idx val="154"/>
        <c:spPr>
          <a:solidFill>
            <a:schemeClr val="accent1"/>
          </a:solidFill>
          <a:ln>
            <a:noFill/>
          </a:ln>
          <a:effectLst/>
        </c:spPr>
      </c:pivotFmt>
      <c:pivotFmt>
        <c:idx val="155"/>
        <c:spPr>
          <a:solidFill>
            <a:schemeClr val="accent1"/>
          </a:solidFill>
          <a:ln>
            <a:noFill/>
          </a:ln>
          <a:effectLst/>
        </c:spPr>
      </c:pivotFmt>
      <c:pivotFmt>
        <c:idx val="156"/>
        <c:spPr>
          <a:solidFill>
            <a:schemeClr val="accent1"/>
          </a:solidFill>
          <a:ln>
            <a:noFill/>
          </a:ln>
          <a:effectLst/>
        </c:spPr>
      </c:pivotFmt>
      <c:pivotFmt>
        <c:idx val="157"/>
        <c:spPr>
          <a:solidFill>
            <a:schemeClr val="accent1"/>
          </a:solidFill>
          <a:ln>
            <a:noFill/>
          </a:ln>
          <a:effectLst/>
        </c:spPr>
      </c:pivotFmt>
      <c:pivotFmt>
        <c:idx val="158"/>
        <c:spPr>
          <a:solidFill>
            <a:schemeClr val="accent1"/>
          </a:solidFill>
          <a:ln>
            <a:noFill/>
          </a:ln>
          <a:effectLst/>
        </c:spPr>
      </c:pivotFmt>
      <c:pivotFmt>
        <c:idx val="159"/>
        <c:spPr>
          <a:solidFill>
            <a:schemeClr val="accent1"/>
          </a:solidFill>
          <a:ln>
            <a:noFill/>
          </a:ln>
          <a:effectLst/>
        </c:spPr>
      </c:pivotFmt>
      <c:pivotFmt>
        <c:idx val="160"/>
        <c:spPr>
          <a:solidFill>
            <a:schemeClr val="accent1"/>
          </a:solidFill>
          <a:ln>
            <a:noFill/>
          </a:ln>
          <a:effectLst/>
        </c:spPr>
      </c:pivotFmt>
      <c:pivotFmt>
        <c:idx val="161"/>
        <c:spPr>
          <a:solidFill>
            <a:schemeClr val="accent1"/>
          </a:solidFill>
          <a:ln>
            <a:noFill/>
          </a:ln>
          <a:effectLst/>
        </c:spPr>
      </c:pivotFmt>
      <c:pivotFmt>
        <c:idx val="162"/>
        <c:spPr>
          <a:solidFill>
            <a:schemeClr val="accent1"/>
          </a:solidFill>
          <a:ln>
            <a:noFill/>
          </a:ln>
          <a:effectLst/>
        </c:spPr>
      </c:pivotFmt>
      <c:pivotFmt>
        <c:idx val="163"/>
        <c:spPr>
          <a:solidFill>
            <a:schemeClr val="accent1"/>
          </a:solidFill>
          <a:ln>
            <a:noFill/>
          </a:ln>
          <a:effectLst/>
        </c:spPr>
      </c:pivotFmt>
      <c:pivotFmt>
        <c:idx val="164"/>
        <c:spPr>
          <a:solidFill>
            <a:schemeClr val="accent1"/>
          </a:solidFill>
          <a:ln>
            <a:noFill/>
          </a:ln>
          <a:effectLst/>
        </c:spPr>
      </c:pivotFmt>
      <c:pivotFmt>
        <c:idx val="165"/>
        <c:spPr>
          <a:solidFill>
            <a:schemeClr val="accent1"/>
          </a:solidFill>
          <a:ln>
            <a:noFill/>
          </a:ln>
          <a:effectLst/>
        </c:spPr>
      </c:pivotFmt>
      <c:pivotFmt>
        <c:idx val="166"/>
        <c:spPr>
          <a:solidFill>
            <a:schemeClr val="accent1"/>
          </a:solidFill>
          <a:ln>
            <a:noFill/>
          </a:ln>
          <a:effectLst/>
        </c:spPr>
      </c:pivotFmt>
      <c:pivotFmt>
        <c:idx val="167"/>
        <c:spPr>
          <a:solidFill>
            <a:schemeClr val="accent1"/>
          </a:solidFill>
          <a:ln>
            <a:noFill/>
          </a:ln>
          <a:effectLst/>
        </c:spPr>
      </c:pivotFmt>
      <c:pivotFmt>
        <c:idx val="168"/>
        <c:spPr>
          <a:solidFill>
            <a:schemeClr val="accent1"/>
          </a:solidFill>
          <a:ln>
            <a:noFill/>
          </a:ln>
          <a:effectLst/>
        </c:spPr>
      </c:pivotFmt>
      <c:pivotFmt>
        <c:idx val="169"/>
        <c:spPr>
          <a:solidFill>
            <a:schemeClr val="accent1"/>
          </a:solidFill>
          <a:ln>
            <a:noFill/>
          </a:ln>
          <a:effectLst/>
        </c:spPr>
      </c:pivotFmt>
      <c:pivotFmt>
        <c:idx val="170"/>
        <c:spPr>
          <a:solidFill>
            <a:schemeClr val="accent1"/>
          </a:solidFill>
          <a:ln>
            <a:noFill/>
          </a:ln>
          <a:effectLst/>
        </c:spPr>
      </c:pivotFmt>
      <c:pivotFmt>
        <c:idx val="171"/>
        <c:spPr>
          <a:solidFill>
            <a:schemeClr val="accent1"/>
          </a:solidFill>
          <a:ln>
            <a:noFill/>
          </a:ln>
          <a:effectLst/>
        </c:spPr>
      </c:pivotFmt>
      <c:pivotFmt>
        <c:idx val="172"/>
        <c:spPr>
          <a:solidFill>
            <a:schemeClr val="accent1"/>
          </a:solidFill>
          <a:ln>
            <a:noFill/>
          </a:ln>
          <a:effectLst/>
        </c:spPr>
      </c:pivotFmt>
      <c:pivotFmt>
        <c:idx val="173"/>
        <c:spPr>
          <a:solidFill>
            <a:schemeClr val="accent1"/>
          </a:solidFill>
          <a:ln>
            <a:noFill/>
          </a:ln>
          <a:effectLst/>
        </c:spPr>
      </c:pivotFmt>
      <c:pivotFmt>
        <c:idx val="174"/>
        <c:spPr>
          <a:solidFill>
            <a:schemeClr val="accent1"/>
          </a:solidFill>
          <a:ln>
            <a:noFill/>
          </a:ln>
          <a:effectLst/>
        </c:spPr>
      </c:pivotFmt>
      <c:pivotFmt>
        <c:idx val="175"/>
        <c:spPr>
          <a:solidFill>
            <a:schemeClr val="accent1"/>
          </a:solidFill>
          <a:ln>
            <a:noFill/>
          </a:ln>
          <a:effectLst/>
        </c:spPr>
      </c:pivotFmt>
      <c:pivotFmt>
        <c:idx val="176"/>
        <c:spPr>
          <a:solidFill>
            <a:schemeClr val="accent1"/>
          </a:solidFill>
          <a:ln>
            <a:noFill/>
          </a:ln>
          <a:effectLst/>
        </c:spPr>
      </c:pivotFmt>
      <c:pivotFmt>
        <c:idx val="177"/>
        <c:spPr>
          <a:solidFill>
            <a:schemeClr val="accent1"/>
          </a:solidFill>
          <a:ln>
            <a:noFill/>
          </a:ln>
          <a:effectLst/>
        </c:spPr>
      </c:pivotFmt>
      <c:pivotFmt>
        <c:idx val="178"/>
        <c:spPr>
          <a:solidFill>
            <a:schemeClr val="accent1"/>
          </a:solidFill>
          <a:ln>
            <a:noFill/>
          </a:ln>
          <a:effectLst/>
        </c:spPr>
      </c:pivotFmt>
      <c:pivotFmt>
        <c:idx val="179"/>
        <c:spPr>
          <a:solidFill>
            <a:schemeClr val="accent1"/>
          </a:solidFill>
          <a:ln>
            <a:noFill/>
          </a:ln>
          <a:effectLst/>
        </c:spPr>
      </c:pivotFmt>
      <c:pivotFmt>
        <c:idx val="180"/>
        <c:spPr>
          <a:solidFill>
            <a:schemeClr val="accent1"/>
          </a:solidFill>
          <a:ln>
            <a:noFill/>
          </a:ln>
          <a:effectLst/>
        </c:spPr>
      </c:pivotFmt>
      <c:pivotFmt>
        <c:idx val="181"/>
        <c:spPr>
          <a:solidFill>
            <a:schemeClr val="accent1"/>
          </a:solidFill>
          <a:ln>
            <a:noFill/>
          </a:ln>
          <a:effectLst/>
        </c:spPr>
      </c:pivotFmt>
      <c:pivotFmt>
        <c:idx val="182"/>
        <c:spPr>
          <a:solidFill>
            <a:schemeClr val="accent1"/>
          </a:solidFill>
          <a:ln>
            <a:noFill/>
          </a:ln>
          <a:effectLst/>
        </c:spPr>
      </c:pivotFmt>
      <c:pivotFmt>
        <c:idx val="183"/>
        <c:spPr>
          <a:solidFill>
            <a:schemeClr val="accent1"/>
          </a:solidFill>
          <a:ln>
            <a:noFill/>
          </a:ln>
          <a:effectLst/>
        </c:spPr>
      </c:pivotFmt>
      <c:pivotFmt>
        <c:idx val="184"/>
        <c:spPr>
          <a:solidFill>
            <a:schemeClr val="accent1"/>
          </a:solidFill>
          <a:ln>
            <a:noFill/>
          </a:ln>
          <a:effectLst/>
        </c:spPr>
      </c:pivotFmt>
      <c:pivotFmt>
        <c:idx val="185"/>
        <c:spPr>
          <a:solidFill>
            <a:schemeClr val="accent1"/>
          </a:solidFill>
          <a:ln>
            <a:noFill/>
          </a:ln>
          <a:effectLst/>
        </c:spPr>
      </c:pivotFmt>
      <c:pivotFmt>
        <c:idx val="186"/>
        <c:spPr>
          <a:solidFill>
            <a:schemeClr val="accent1"/>
          </a:solidFill>
          <a:ln>
            <a:noFill/>
          </a:ln>
          <a:effectLst/>
        </c:spPr>
      </c:pivotFmt>
      <c:pivotFmt>
        <c:idx val="187"/>
        <c:spPr>
          <a:solidFill>
            <a:schemeClr val="accent1"/>
          </a:solidFill>
          <a:ln>
            <a:noFill/>
          </a:ln>
          <a:effectLst/>
        </c:spPr>
      </c:pivotFmt>
      <c:pivotFmt>
        <c:idx val="188"/>
        <c:spPr>
          <a:solidFill>
            <a:schemeClr val="accent1"/>
          </a:solidFill>
          <a:ln>
            <a:noFill/>
          </a:ln>
          <a:effectLst/>
        </c:spPr>
      </c:pivotFmt>
      <c:pivotFmt>
        <c:idx val="189"/>
        <c:spPr>
          <a:solidFill>
            <a:schemeClr val="accent1"/>
          </a:solidFill>
          <a:ln>
            <a:noFill/>
          </a:ln>
          <a:effectLst/>
        </c:spPr>
      </c:pivotFmt>
      <c:pivotFmt>
        <c:idx val="190"/>
        <c:spPr>
          <a:solidFill>
            <a:schemeClr val="accent1"/>
          </a:solidFill>
          <a:ln>
            <a:noFill/>
          </a:ln>
          <a:effectLst/>
        </c:spPr>
      </c:pivotFmt>
      <c:pivotFmt>
        <c:idx val="191"/>
        <c:spPr>
          <a:solidFill>
            <a:schemeClr val="accent1"/>
          </a:solidFill>
          <a:ln>
            <a:noFill/>
          </a:ln>
          <a:effectLst/>
        </c:spPr>
      </c:pivotFmt>
      <c:pivotFmt>
        <c:idx val="192"/>
        <c:spPr>
          <a:solidFill>
            <a:schemeClr val="accent1"/>
          </a:solidFill>
          <a:ln>
            <a:noFill/>
          </a:ln>
          <a:effectLst/>
        </c:spPr>
      </c:pivotFmt>
      <c:pivotFmt>
        <c:idx val="193"/>
        <c:spPr>
          <a:solidFill>
            <a:schemeClr val="accent1"/>
          </a:solidFill>
          <a:ln>
            <a:noFill/>
          </a:ln>
          <a:effectLst/>
        </c:spPr>
      </c:pivotFmt>
      <c:pivotFmt>
        <c:idx val="194"/>
        <c:spPr>
          <a:solidFill>
            <a:schemeClr val="accent1"/>
          </a:solidFill>
          <a:ln>
            <a:noFill/>
          </a:ln>
          <a:effectLst/>
        </c:spPr>
      </c:pivotFmt>
      <c:pivotFmt>
        <c:idx val="195"/>
        <c:spPr>
          <a:solidFill>
            <a:schemeClr val="accent1"/>
          </a:solidFill>
          <a:ln>
            <a:noFill/>
          </a:ln>
          <a:effectLst/>
        </c:spPr>
      </c:pivotFmt>
      <c:pivotFmt>
        <c:idx val="196"/>
        <c:spPr>
          <a:solidFill>
            <a:schemeClr val="accent1"/>
          </a:solidFill>
          <a:ln>
            <a:noFill/>
          </a:ln>
          <a:effectLst/>
        </c:spPr>
      </c:pivotFmt>
      <c:pivotFmt>
        <c:idx val="197"/>
        <c:spPr>
          <a:solidFill>
            <a:schemeClr val="accent1"/>
          </a:solidFill>
          <a:ln>
            <a:noFill/>
          </a:ln>
          <a:effectLst/>
        </c:spPr>
      </c:pivotFmt>
      <c:pivotFmt>
        <c:idx val="198"/>
        <c:spPr>
          <a:solidFill>
            <a:schemeClr val="accent1"/>
          </a:solidFill>
          <a:ln>
            <a:noFill/>
          </a:ln>
          <a:effectLst/>
        </c:spPr>
      </c:pivotFmt>
      <c:pivotFmt>
        <c:idx val="199"/>
        <c:spPr>
          <a:solidFill>
            <a:schemeClr val="accent1"/>
          </a:solidFill>
          <a:ln>
            <a:noFill/>
          </a:ln>
          <a:effectLst/>
        </c:spPr>
      </c:pivotFmt>
      <c:pivotFmt>
        <c:idx val="200"/>
        <c:spPr>
          <a:solidFill>
            <a:schemeClr val="accent1"/>
          </a:solidFill>
          <a:ln>
            <a:noFill/>
          </a:ln>
          <a:effectLst/>
        </c:spPr>
      </c:pivotFmt>
      <c:pivotFmt>
        <c:idx val="201"/>
        <c:spPr>
          <a:solidFill>
            <a:schemeClr val="accent1"/>
          </a:solidFill>
          <a:ln>
            <a:noFill/>
          </a:ln>
          <a:effectLst/>
        </c:spPr>
      </c:pivotFmt>
      <c:pivotFmt>
        <c:idx val="202"/>
        <c:spPr>
          <a:solidFill>
            <a:schemeClr val="accent1"/>
          </a:solidFill>
          <a:ln>
            <a:noFill/>
          </a:ln>
          <a:effectLst/>
        </c:spPr>
      </c:pivotFmt>
      <c:pivotFmt>
        <c:idx val="203"/>
        <c:spPr>
          <a:solidFill>
            <a:schemeClr val="accent1"/>
          </a:solidFill>
          <a:ln>
            <a:noFill/>
          </a:ln>
          <a:effectLst/>
        </c:spPr>
      </c:pivotFmt>
      <c:pivotFmt>
        <c:idx val="204"/>
        <c:spPr>
          <a:solidFill>
            <a:schemeClr val="accent1"/>
          </a:solidFill>
          <a:ln>
            <a:noFill/>
          </a:ln>
          <a:effectLst/>
        </c:spPr>
      </c:pivotFmt>
      <c:pivotFmt>
        <c:idx val="205"/>
        <c:spPr>
          <a:solidFill>
            <a:schemeClr val="accent1"/>
          </a:solidFill>
          <a:ln>
            <a:noFill/>
          </a:ln>
          <a:effectLst/>
        </c:spPr>
      </c:pivotFmt>
      <c:pivotFmt>
        <c:idx val="206"/>
        <c:spPr>
          <a:solidFill>
            <a:schemeClr val="accent1"/>
          </a:solidFill>
          <a:ln>
            <a:noFill/>
          </a:ln>
          <a:effectLst/>
        </c:spPr>
      </c:pivotFmt>
      <c:pivotFmt>
        <c:idx val="207"/>
        <c:spPr>
          <a:solidFill>
            <a:schemeClr val="accent1"/>
          </a:solidFill>
          <a:ln>
            <a:noFill/>
          </a:ln>
          <a:effectLst/>
        </c:spPr>
      </c:pivotFmt>
      <c:pivotFmt>
        <c:idx val="208"/>
        <c:spPr>
          <a:solidFill>
            <a:schemeClr val="accent1"/>
          </a:solidFill>
          <a:ln>
            <a:noFill/>
          </a:ln>
          <a:effectLst/>
        </c:spPr>
      </c:pivotFmt>
      <c:pivotFmt>
        <c:idx val="209"/>
        <c:spPr>
          <a:solidFill>
            <a:schemeClr val="accent1"/>
          </a:solidFill>
          <a:ln>
            <a:noFill/>
          </a:ln>
          <a:effectLst/>
        </c:spPr>
      </c:pivotFmt>
      <c:pivotFmt>
        <c:idx val="210"/>
        <c:spPr>
          <a:solidFill>
            <a:schemeClr val="accent1"/>
          </a:solidFill>
          <a:ln>
            <a:noFill/>
          </a:ln>
          <a:effectLst/>
        </c:spPr>
      </c:pivotFmt>
      <c:pivotFmt>
        <c:idx val="211"/>
        <c:spPr>
          <a:solidFill>
            <a:schemeClr val="accent1"/>
          </a:solidFill>
          <a:ln>
            <a:noFill/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'Reason Graph'!$B$3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5D70-4340-9227-5A00FAB0483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5D70-4340-9227-5A00FAB0483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5D70-4340-9227-5A00FAB0483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5D70-4340-9227-5A00FAB0483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5D70-4340-9227-5A00FAB0483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B-5D70-4340-9227-5A00FAB04837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D-5D70-4340-9227-5A00FAB04837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F-5D70-4340-9227-5A00FAB04837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1-5D70-4340-9227-5A00FAB04837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3-5D70-4340-9227-5A00FAB04837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5-5D70-4340-9227-5A00FAB04837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7-5D70-4340-9227-5A00FAB04837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9-5D70-4340-9227-5A00FAB04837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B-5D70-4340-9227-5A00FAB04837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D-5D70-4340-9227-5A00FAB04837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F-5D70-4340-9227-5A00FAB04837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1-5D70-4340-9227-5A00FAB04837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3-5D70-4340-9227-5A00FAB04837}"/>
              </c:ext>
            </c:extLst>
          </c:dPt>
          <c:dPt>
            <c:idx val="18"/>
            <c:bubble3D val="0"/>
            <c:spPr>
              <a:solidFill>
                <a:schemeClr val="accent1">
                  <a:lumMod val="8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5-5D70-4340-9227-5A00FAB04837}"/>
              </c:ext>
            </c:extLst>
          </c:dPt>
          <c:dPt>
            <c:idx val="19"/>
            <c:bubble3D val="0"/>
            <c:spPr>
              <a:solidFill>
                <a:schemeClr val="accent2">
                  <a:lumMod val="8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7-5D70-4340-9227-5A00FAB04837}"/>
              </c:ext>
            </c:extLst>
          </c:dPt>
          <c:dPt>
            <c:idx val="20"/>
            <c:bubble3D val="0"/>
            <c:spPr>
              <a:solidFill>
                <a:schemeClr val="accent3">
                  <a:lumMod val="8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9-5D70-4340-9227-5A00FAB04837}"/>
              </c:ext>
            </c:extLst>
          </c:dPt>
          <c:dPt>
            <c:idx val="21"/>
            <c:bubble3D val="0"/>
            <c:spPr>
              <a:solidFill>
                <a:schemeClr val="accent4">
                  <a:lumMod val="8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B-5D70-4340-9227-5A00FAB04837}"/>
              </c:ext>
            </c:extLst>
          </c:dPt>
          <c:dPt>
            <c:idx val="22"/>
            <c:bubble3D val="0"/>
            <c:spPr>
              <a:solidFill>
                <a:schemeClr val="accent5">
                  <a:lumMod val="8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D-5D70-4340-9227-5A00FAB04837}"/>
              </c:ext>
            </c:extLst>
          </c:dPt>
          <c:dPt>
            <c:idx val="23"/>
            <c:bubble3D val="0"/>
            <c:spPr>
              <a:solidFill>
                <a:schemeClr val="accent6">
                  <a:lumMod val="8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F-5D70-4340-9227-5A00FAB04837}"/>
              </c:ext>
            </c:extLst>
          </c:dPt>
          <c:dPt>
            <c:idx val="24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31-5D70-4340-9227-5A00FAB04837}"/>
              </c:ext>
            </c:extLst>
          </c:dPt>
          <c:dPt>
            <c:idx val="25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33-5D70-4340-9227-5A00FAB04837}"/>
              </c:ext>
            </c:extLst>
          </c:dPt>
          <c:dPt>
            <c:idx val="26"/>
            <c:bubble3D val="0"/>
            <c:spPr>
              <a:solidFill>
                <a:schemeClr val="accent3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35-5D70-4340-9227-5A00FAB04837}"/>
              </c:ext>
            </c:extLst>
          </c:dPt>
          <c:dPt>
            <c:idx val="27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37-5D70-4340-9227-5A00FAB04837}"/>
              </c:ext>
            </c:extLst>
          </c:dPt>
          <c:dPt>
            <c:idx val="28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39-5D70-4340-9227-5A00FAB04837}"/>
              </c:ext>
            </c:extLst>
          </c:dPt>
          <c:dPt>
            <c:idx val="29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3B-5D70-4340-9227-5A00FAB04837}"/>
              </c:ext>
            </c:extLst>
          </c:dPt>
          <c:dPt>
            <c:idx val="30"/>
            <c:bubble3D val="0"/>
            <c:spPr>
              <a:solidFill>
                <a:schemeClr val="accent1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3D-5D70-4340-9227-5A00FAB04837}"/>
              </c:ext>
            </c:extLst>
          </c:dPt>
          <c:dPt>
            <c:idx val="31"/>
            <c:bubble3D val="0"/>
            <c:spPr>
              <a:solidFill>
                <a:schemeClr val="accent2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3F-5D70-4340-9227-5A00FAB04837}"/>
              </c:ext>
            </c:extLst>
          </c:dPt>
          <c:dPt>
            <c:idx val="32"/>
            <c:bubble3D val="0"/>
            <c:spPr>
              <a:solidFill>
                <a:schemeClr val="accent3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41-5D70-4340-9227-5A00FAB04837}"/>
              </c:ext>
            </c:extLst>
          </c:dPt>
          <c:dPt>
            <c:idx val="33"/>
            <c:bubble3D val="0"/>
            <c:spPr>
              <a:solidFill>
                <a:schemeClr val="accent4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43-5D70-4340-9227-5A00FAB04837}"/>
              </c:ext>
            </c:extLst>
          </c:dPt>
          <c:dPt>
            <c:idx val="34"/>
            <c:bubble3D val="0"/>
            <c:spPr>
              <a:solidFill>
                <a:schemeClr val="accent5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45-5D70-4340-9227-5A00FAB04837}"/>
              </c:ext>
            </c:extLst>
          </c:dPt>
          <c:dPt>
            <c:idx val="35"/>
            <c:bubble3D val="0"/>
            <c:spPr>
              <a:solidFill>
                <a:schemeClr val="accent6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47-5D70-4340-9227-5A00FAB04837}"/>
              </c:ext>
            </c:extLst>
          </c:dPt>
          <c:dPt>
            <c:idx val="36"/>
            <c:bubble3D val="0"/>
            <c:spPr>
              <a:solidFill>
                <a:schemeClr val="accent1">
                  <a:lumMod val="70000"/>
                  <a:lumOff val="3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49-5D70-4340-9227-5A00FAB04837}"/>
              </c:ext>
            </c:extLst>
          </c:dPt>
          <c:dPt>
            <c:idx val="37"/>
            <c:bubble3D val="0"/>
            <c:spPr>
              <a:solidFill>
                <a:schemeClr val="accent2">
                  <a:lumMod val="70000"/>
                  <a:lumOff val="3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4B-5D70-4340-9227-5A00FAB04837}"/>
              </c:ext>
            </c:extLst>
          </c:dPt>
          <c:dPt>
            <c:idx val="38"/>
            <c:bubble3D val="0"/>
            <c:spPr>
              <a:solidFill>
                <a:schemeClr val="accent3">
                  <a:lumMod val="70000"/>
                  <a:lumOff val="3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4D-5D70-4340-9227-5A00FAB04837}"/>
              </c:ext>
            </c:extLst>
          </c:dPt>
          <c:dPt>
            <c:idx val="39"/>
            <c:bubble3D val="0"/>
            <c:spPr>
              <a:solidFill>
                <a:schemeClr val="accent4">
                  <a:lumMod val="70000"/>
                  <a:lumOff val="3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4F-5D70-4340-9227-5A00FAB04837}"/>
              </c:ext>
            </c:extLst>
          </c:dPt>
          <c:dPt>
            <c:idx val="40"/>
            <c:bubble3D val="0"/>
            <c:spPr>
              <a:solidFill>
                <a:schemeClr val="accent5">
                  <a:lumMod val="70000"/>
                  <a:lumOff val="3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51-5D70-4340-9227-5A00FAB04837}"/>
              </c:ext>
            </c:extLst>
          </c:dPt>
          <c:dPt>
            <c:idx val="41"/>
            <c:bubble3D val="0"/>
            <c:spPr>
              <a:solidFill>
                <a:schemeClr val="accent6">
                  <a:lumMod val="70000"/>
                  <a:lumOff val="3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53-5D70-4340-9227-5A00FAB04837}"/>
              </c:ext>
            </c:extLst>
          </c:dPt>
          <c:dPt>
            <c:idx val="42"/>
            <c:bubble3D val="0"/>
            <c:spPr>
              <a:solidFill>
                <a:schemeClr val="accent1">
                  <a:lumMod val="7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55-5D70-4340-9227-5A00FAB04837}"/>
              </c:ext>
            </c:extLst>
          </c:dPt>
          <c:dPt>
            <c:idx val="43"/>
            <c:bubble3D val="0"/>
            <c:spPr>
              <a:solidFill>
                <a:schemeClr val="accent2">
                  <a:lumMod val="7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57-5D70-4340-9227-5A00FAB04837}"/>
              </c:ext>
            </c:extLst>
          </c:dPt>
          <c:dPt>
            <c:idx val="44"/>
            <c:bubble3D val="0"/>
            <c:spPr>
              <a:solidFill>
                <a:schemeClr val="accent3">
                  <a:lumMod val="7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59-5D70-4340-9227-5A00FAB04837}"/>
              </c:ext>
            </c:extLst>
          </c:dPt>
          <c:dPt>
            <c:idx val="45"/>
            <c:bubble3D val="0"/>
            <c:spPr>
              <a:solidFill>
                <a:schemeClr val="accent4">
                  <a:lumMod val="7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5B-5D70-4340-9227-5A00FAB04837}"/>
              </c:ext>
            </c:extLst>
          </c:dPt>
          <c:dPt>
            <c:idx val="46"/>
            <c:bubble3D val="0"/>
            <c:spPr>
              <a:solidFill>
                <a:schemeClr val="accent5">
                  <a:lumMod val="7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5D-5D70-4340-9227-5A00FAB04837}"/>
              </c:ext>
            </c:extLst>
          </c:dPt>
          <c:dPt>
            <c:idx val="47"/>
            <c:bubble3D val="0"/>
            <c:spPr>
              <a:solidFill>
                <a:schemeClr val="accent6">
                  <a:lumMod val="7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5F-5D70-4340-9227-5A00FAB04837}"/>
              </c:ext>
            </c:extLst>
          </c:dPt>
          <c:dPt>
            <c:idx val="48"/>
            <c:bubble3D val="0"/>
            <c:spPr>
              <a:solidFill>
                <a:schemeClr val="accent1">
                  <a:lumMod val="50000"/>
                  <a:lumOff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61-5D70-4340-9227-5A00FAB04837}"/>
              </c:ext>
            </c:extLst>
          </c:dPt>
          <c:dPt>
            <c:idx val="49"/>
            <c:bubble3D val="0"/>
            <c:spPr>
              <a:solidFill>
                <a:schemeClr val="accent2">
                  <a:lumMod val="50000"/>
                  <a:lumOff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63-5D70-4340-9227-5A00FAB04837}"/>
              </c:ext>
            </c:extLst>
          </c:dPt>
          <c:dPt>
            <c:idx val="50"/>
            <c:bubble3D val="0"/>
            <c:spPr>
              <a:solidFill>
                <a:schemeClr val="accent3">
                  <a:lumMod val="50000"/>
                  <a:lumOff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65-5D70-4340-9227-5A00FAB04837}"/>
              </c:ext>
            </c:extLst>
          </c:dPt>
          <c:dPt>
            <c:idx val="51"/>
            <c:bubble3D val="0"/>
            <c:spPr>
              <a:solidFill>
                <a:schemeClr val="accent4">
                  <a:lumMod val="50000"/>
                  <a:lumOff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67-5D70-4340-9227-5A00FAB04837}"/>
              </c:ext>
            </c:extLst>
          </c:dPt>
          <c:dPt>
            <c:idx val="52"/>
            <c:bubble3D val="0"/>
            <c:spPr>
              <a:solidFill>
                <a:schemeClr val="accent5">
                  <a:lumMod val="50000"/>
                  <a:lumOff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69-5D70-4340-9227-5A00FAB04837}"/>
              </c:ext>
            </c:extLst>
          </c:dPt>
          <c:dPt>
            <c:idx val="53"/>
            <c:bubble3D val="0"/>
            <c:spPr>
              <a:solidFill>
                <a:schemeClr val="accent6">
                  <a:lumMod val="50000"/>
                  <a:lumOff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6B-5D70-4340-9227-5A00FAB04837}"/>
              </c:ext>
            </c:extLst>
          </c:dPt>
          <c:dPt>
            <c:idx val="54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6D-5D70-4340-9227-5A00FAB04837}"/>
              </c:ext>
            </c:extLst>
          </c:dPt>
          <c:dPt>
            <c:idx val="55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6F-5D70-4340-9227-5A00FAB04837}"/>
              </c:ext>
            </c:extLst>
          </c:dPt>
          <c:dPt>
            <c:idx val="56"/>
            <c:bubble3D val="0"/>
            <c:spPr>
              <a:solidFill>
                <a:schemeClr val="accent3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71-5D70-4340-9227-5A00FAB04837}"/>
              </c:ext>
            </c:extLst>
          </c:dPt>
          <c:dPt>
            <c:idx val="57"/>
            <c:bubble3D val="0"/>
            <c:spPr>
              <a:solidFill>
                <a:schemeClr val="accent4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73-5D70-4340-9227-5A00FAB04837}"/>
              </c:ext>
            </c:extLst>
          </c:dPt>
          <c:dPt>
            <c:idx val="58"/>
            <c:bubble3D val="0"/>
            <c:spPr>
              <a:solidFill>
                <a:schemeClr val="accent5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75-5D70-4340-9227-5A00FAB04837}"/>
              </c:ext>
            </c:extLst>
          </c:dPt>
          <c:dPt>
            <c:idx val="59"/>
            <c:bubble3D val="0"/>
            <c:spPr>
              <a:solidFill>
                <a:schemeClr val="accent6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77-5D70-4340-9227-5A00FAB04837}"/>
              </c:ext>
            </c:extLst>
          </c:dPt>
          <c:dPt>
            <c:idx val="60"/>
            <c:bubble3D val="0"/>
            <c:spPr>
              <a:solidFill>
                <a:schemeClr val="accent1">
                  <a:lumMod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79-5D70-4340-9227-5A00FAB04837}"/>
              </c:ext>
            </c:extLst>
          </c:dPt>
          <c:dPt>
            <c:idx val="61"/>
            <c:bubble3D val="0"/>
            <c:spPr>
              <a:solidFill>
                <a:schemeClr val="accent2">
                  <a:lumMod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7B-5D70-4340-9227-5A00FAB04837}"/>
              </c:ext>
            </c:extLst>
          </c:dPt>
          <c:dPt>
            <c:idx val="62"/>
            <c:bubble3D val="0"/>
            <c:spPr>
              <a:solidFill>
                <a:schemeClr val="accent3">
                  <a:lumMod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7D-5D70-4340-9227-5A00FAB04837}"/>
              </c:ext>
            </c:extLst>
          </c:dPt>
          <c:dPt>
            <c:idx val="63"/>
            <c:bubble3D val="0"/>
            <c:spPr>
              <a:solidFill>
                <a:schemeClr val="accent4">
                  <a:lumMod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7F-5D70-4340-9227-5A00FAB04837}"/>
              </c:ext>
            </c:extLst>
          </c:dPt>
          <c:dPt>
            <c:idx val="64"/>
            <c:bubble3D val="0"/>
            <c:spPr>
              <a:solidFill>
                <a:schemeClr val="accent5">
                  <a:lumMod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81-5D70-4340-9227-5A00FAB04837}"/>
              </c:ext>
            </c:extLst>
          </c:dPt>
          <c:dPt>
            <c:idx val="65"/>
            <c:bubble3D val="0"/>
            <c:spPr>
              <a:solidFill>
                <a:schemeClr val="accent6">
                  <a:lumMod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83-5D70-4340-9227-5A00FAB04837}"/>
              </c:ext>
            </c:extLst>
          </c:dPt>
          <c:dPt>
            <c:idx val="66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85-5D70-4340-9227-5A00FAB04837}"/>
              </c:ext>
            </c:extLst>
          </c:dPt>
          <c:dPt>
            <c:idx val="67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87-5D70-4340-9227-5A00FAB04837}"/>
              </c:ext>
            </c:extLst>
          </c:dPt>
          <c:dPt>
            <c:idx val="68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89-5D70-4340-9227-5A00FAB04837}"/>
              </c:ext>
            </c:extLst>
          </c:dPt>
          <c:dPt>
            <c:idx val="69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8B-5D70-4340-9227-5A00FAB04837}"/>
              </c:ext>
            </c:extLst>
          </c:dPt>
          <c:dPt>
            <c:idx val="70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8D-5D70-4340-9227-5A00FAB04837}"/>
              </c:ext>
            </c:extLst>
          </c:dPt>
          <c:dPt>
            <c:idx val="71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8F-5D70-4340-9227-5A00FAB04837}"/>
              </c:ext>
            </c:extLst>
          </c:dPt>
          <c:dPt>
            <c:idx val="72"/>
            <c:bubble3D val="0"/>
            <c:spPr>
              <a:solidFill>
                <a:schemeClr val="accent1">
                  <a:lumMod val="8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91-5D70-4340-9227-5A00FAB04837}"/>
              </c:ext>
            </c:extLst>
          </c:dPt>
          <c:dPt>
            <c:idx val="73"/>
            <c:bubble3D val="0"/>
            <c:spPr>
              <a:solidFill>
                <a:schemeClr val="accent2">
                  <a:lumMod val="8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93-5D70-4340-9227-5A00FAB04837}"/>
              </c:ext>
            </c:extLst>
          </c:dPt>
          <c:dPt>
            <c:idx val="74"/>
            <c:bubble3D val="0"/>
            <c:spPr>
              <a:solidFill>
                <a:schemeClr val="accent3">
                  <a:lumMod val="8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95-5D70-4340-9227-5A00FAB04837}"/>
              </c:ext>
            </c:extLst>
          </c:dPt>
          <c:dPt>
            <c:idx val="75"/>
            <c:bubble3D val="0"/>
            <c:spPr>
              <a:solidFill>
                <a:schemeClr val="accent4">
                  <a:lumMod val="8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97-5D70-4340-9227-5A00FAB04837}"/>
              </c:ext>
            </c:extLst>
          </c:dPt>
          <c:dPt>
            <c:idx val="76"/>
            <c:bubble3D val="0"/>
            <c:spPr>
              <a:solidFill>
                <a:schemeClr val="accent5">
                  <a:lumMod val="8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99-5D70-4340-9227-5A00FAB04837}"/>
              </c:ext>
            </c:extLst>
          </c:dPt>
          <c:dPt>
            <c:idx val="77"/>
            <c:bubble3D val="0"/>
            <c:spPr>
              <a:solidFill>
                <a:schemeClr val="accent6">
                  <a:lumMod val="8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9B-5D70-4340-9227-5A00FAB04837}"/>
              </c:ext>
            </c:extLst>
          </c:dPt>
          <c:dPt>
            <c:idx val="78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9D-5D70-4340-9227-5A00FAB04837}"/>
              </c:ext>
            </c:extLst>
          </c:dPt>
          <c:dPt>
            <c:idx val="79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9F-5D70-4340-9227-5A00FAB04837}"/>
              </c:ext>
            </c:extLst>
          </c:dPt>
          <c:dPt>
            <c:idx val="80"/>
            <c:bubble3D val="0"/>
            <c:spPr>
              <a:solidFill>
                <a:schemeClr val="accent3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A1-5D70-4340-9227-5A00FAB04837}"/>
              </c:ext>
            </c:extLst>
          </c:dPt>
          <c:dPt>
            <c:idx val="81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A3-5D70-4340-9227-5A00FAB04837}"/>
              </c:ext>
            </c:extLst>
          </c:dPt>
          <c:dPt>
            <c:idx val="82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A5-5D70-4340-9227-5A00FAB04837}"/>
              </c:ext>
            </c:extLst>
          </c:dPt>
          <c:dPt>
            <c:idx val="83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A7-5D70-4340-9227-5A00FAB04837}"/>
              </c:ext>
            </c:extLst>
          </c:dPt>
          <c:dPt>
            <c:idx val="84"/>
            <c:bubble3D val="0"/>
            <c:spPr>
              <a:solidFill>
                <a:schemeClr val="accent1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A9-5D70-4340-9227-5A00FAB04837}"/>
              </c:ext>
            </c:extLst>
          </c:dPt>
          <c:dPt>
            <c:idx val="85"/>
            <c:bubble3D val="0"/>
            <c:spPr>
              <a:solidFill>
                <a:schemeClr val="accent2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AB-5D70-4340-9227-5A00FAB04837}"/>
              </c:ext>
            </c:extLst>
          </c:dPt>
          <c:dPt>
            <c:idx val="86"/>
            <c:bubble3D val="0"/>
            <c:spPr>
              <a:solidFill>
                <a:schemeClr val="accent3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AD-5D70-4340-9227-5A00FAB04837}"/>
              </c:ext>
            </c:extLst>
          </c:dPt>
          <c:dPt>
            <c:idx val="87"/>
            <c:bubble3D val="0"/>
            <c:spPr>
              <a:solidFill>
                <a:schemeClr val="accent4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AF-5D70-4340-9227-5A00FAB04837}"/>
              </c:ext>
            </c:extLst>
          </c:dPt>
          <c:dPt>
            <c:idx val="88"/>
            <c:bubble3D val="0"/>
            <c:spPr>
              <a:solidFill>
                <a:schemeClr val="accent5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B1-5D70-4340-9227-5A00FAB04837}"/>
              </c:ext>
            </c:extLst>
          </c:dPt>
          <c:dPt>
            <c:idx val="89"/>
            <c:bubble3D val="0"/>
            <c:spPr>
              <a:solidFill>
                <a:schemeClr val="accent6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B3-5D70-4340-9227-5A00FAB04837}"/>
              </c:ext>
            </c:extLst>
          </c:dPt>
          <c:dPt>
            <c:idx val="90"/>
            <c:bubble3D val="0"/>
            <c:spPr>
              <a:solidFill>
                <a:schemeClr val="accent1">
                  <a:lumMod val="70000"/>
                  <a:lumOff val="3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B5-5D70-4340-9227-5A00FAB04837}"/>
              </c:ext>
            </c:extLst>
          </c:dPt>
          <c:dPt>
            <c:idx val="91"/>
            <c:bubble3D val="0"/>
            <c:spPr>
              <a:solidFill>
                <a:schemeClr val="accent2">
                  <a:lumMod val="70000"/>
                  <a:lumOff val="3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B7-5D70-4340-9227-5A00FAB04837}"/>
              </c:ext>
            </c:extLst>
          </c:dPt>
          <c:dPt>
            <c:idx val="92"/>
            <c:bubble3D val="0"/>
            <c:spPr>
              <a:solidFill>
                <a:schemeClr val="accent3">
                  <a:lumMod val="70000"/>
                  <a:lumOff val="3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B9-5D70-4340-9227-5A00FAB04837}"/>
              </c:ext>
            </c:extLst>
          </c:dPt>
          <c:dPt>
            <c:idx val="93"/>
            <c:bubble3D val="0"/>
            <c:spPr>
              <a:solidFill>
                <a:schemeClr val="accent4">
                  <a:lumMod val="70000"/>
                  <a:lumOff val="3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BB-5D70-4340-9227-5A00FAB04837}"/>
              </c:ext>
            </c:extLst>
          </c:dPt>
          <c:dPt>
            <c:idx val="94"/>
            <c:bubble3D val="0"/>
            <c:spPr>
              <a:solidFill>
                <a:schemeClr val="accent5">
                  <a:lumMod val="70000"/>
                  <a:lumOff val="3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BD-5D70-4340-9227-5A00FAB04837}"/>
              </c:ext>
            </c:extLst>
          </c:dPt>
          <c:dPt>
            <c:idx val="95"/>
            <c:bubble3D val="0"/>
            <c:spPr>
              <a:solidFill>
                <a:schemeClr val="accent6">
                  <a:lumMod val="70000"/>
                  <a:lumOff val="3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BF-5D70-4340-9227-5A00FAB04837}"/>
              </c:ext>
            </c:extLst>
          </c:dPt>
          <c:dPt>
            <c:idx val="96"/>
            <c:bubble3D val="0"/>
            <c:spPr>
              <a:solidFill>
                <a:schemeClr val="accent1">
                  <a:lumMod val="7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C1-5D70-4340-9227-5A00FAB04837}"/>
              </c:ext>
            </c:extLst>
          </c:dPt>
          <c:dPt>
            <c:idx val="97"/>
            <c:bubble3D val="0"/>
            <c:spPr>
              <a:solidFill>
                <a:schemeClr val="accent2">
                  <a:lumMod val="7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C3-5D70-4340-9227-5A00FAB04837}"/>
              </c:ext>
            </c:extLst>
          </c:dPt>
          <c:dPt>
            <c:idx val="98"/>
            <c:bubble3D val="0"/>
            <c:spPr>
              <a:solidFill>
                <a:schemeClr val="accent3">
                  <a:lumMod val="7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C5-5D70-4340-9227-5A00FAB04837}"/>
              </c:ext>
            </c:extLst>
          </c:dPt>
          <c:dPt>
            <c:idx val="99"/>
            <c:bubble3D val="0"/>
            <c:spPr>
              <a:solidFill>
                <a:schemeClr val="accent4">
                  <a:lumMod val="7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C7-D5EC-CC4D-AB98-FE78EF15FDA2}"/>
              </c:ext>
            </c:extLst>
          </c:dPt>
          <c:dPt>
            <c:idx val="100"/>
            <c:bubble3D val="0"/>
            <c:spPr>
              <a:solidFill>
                <a:schemeClr val="accent5">
                  <a:lumMod val="7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C9-D5EC-CC4D-AB98-FE78EF15FDA2}"/>
              </c:ext>
            </c:extLst>
          </c:dPt>
          <c:dPt>
            <c:idx val="101"/>
            <c:bubble3D val="0"/>
            <c:spPr>
              <a:solidFill>
                <a:schemeClr val="accent6">
                  <a:lumMod val="7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CB-C618-E64D-8446-F3DBDC7D1D01}"/>
              </c:ext>
            </c:extLst>
          </c:dPt>
          <c:dPt>
            <c:idx val="102"/>
            <c:bubble3D val="0"/>
            <c:spPr>
              <a:solidFill>
                <a:schemeClr val="accent1">
                  <a:lumMod val="50000"/>
                  <a:lumOff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CD-C618-E64D-8446-F3DBDC7D1D01}"/>
              </c:ext>
            </c:extLst>
          </c:dPt>
          <c:dPt>
            <c:idx val="103"/>
            <c:bubble3D val="0"/>
            <c:spPr>
              <a:solidFill>
                <a:schemeClr val="accent2">
                  <a:lumMod val="50000"/>
                  <a:lumOff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CF-B3EE-8844-9E0D-5195C1AFD337}"/>
              </c:ext>
            </c:extLst>
          </c:dPt>
          <c:dPt>
            <c:idx val="104"/>
            <c:bubble3D val="0"/>
            <c:spPr>
              <a:solidFill>
                <a:schemeClr val="accent3">
                  <a:lumMod val="50000"/>
                  <a:lumOff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D1-B3EE-8844-9E0D-5195C1AFD337}"/>
              </c:ext>
            </c:extLst>
          </c:dPt>
          <c:dPt>
            <c:idx val="105"/>
            <c:bubble3D val="0"/>
            <c:spPr>
              <a:solidFill>
                <a:schemeClr val="accent4">
                  <a:lumMod val="50000"/>
                  <a:lumOff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D3-B3EE-8844-9E0D-5195C1AFD337}"/>
              </c:ext>
            </c:extLst>
          </c:dPt>
          <c:dPt>
            <c:idx val="106"/>
            <c:bubble3D val="0"/>
            <c:spPr>
              <a:solidFill>
                <a:schemeClr val="accent5">
                  <a:lumMod val="50000"/>
                  <a:lumOff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D5-B3EE-8844-9E0D-5195C1AFD337}"/>
              </c:ext>
            </c:extLst>
          </c:dPt>
          <c:dPt>
            <c:idx val="107"/>
            <c:bubble3D val="0"/>
            <c:spPr>
              <a:solidFill>
                <a:schemeClr val="accent6">
                  <a:lumMod val="50000"/>
                  <a:lumOff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D7-B3EE-8844-9E0D-5195C1AFD337}"/>
              </c:ext>
            </c:extLst>
          </c:dPt>
          <c:dPt>
            <c:idx val="108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D9-B3EE-8844-9E0D-5195C1AFD337}"/>
              </c:ext>
            </c:extLst>
          </c:dPt>
          <c:dPt>
            <c:idx val="109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DB-B3EE-8844-9E0D-5195C1AFD337}"/>
              </c:ext>
            </c:extLst>
          </c:dPt>
          <c:dPt>
            <c:idx val="110"/>
            <c:bubble3D val="0"/>
            <c:spPr>
              <a:solidFill>
                <a:schemeClr val="accent3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DD-B3EE-8844-9E0D-5195C1AFD337}"/>
              </c:ext>
            </c:extLst>
          </c:dPt>
          <c:dPt>
            <c:idx val="111"/>
            <c:bubble3D val="0"/>
            <c:spPr>
              <a:solidFill>
                <a:schemeClr val="accent4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DF-B3EE-8844-9E0D-5195C1AFD337}"/>
              </c:ext>
            </c:extLst>
          </c:dPt>
          <c:dPt>
            <c:idx val="112"/>
            <c:bubble3D val="0"/>
            <c:spPr>
              <a:solidFill>
                <a:schemeClr val="accent5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E1-B3EE-8844-9E0D-5195C1AFD337}"/>
              </c:ext>
            </c:extLst>
          </c:dPt>
          <c:dPt>
            <c:idx val="113"/>
            <c:bubble3D val="0"/>
            <c:spPr>
              <a:solidFill>
                <a:schemeClr val="accent6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E3-2B3B-7D46-A4FA-715368DFC646}"/>
              </c:ext>
            </c:extLst>
          </c:dPt>
          <c:dPt>
            <c:idx val="114"/>
            <c:bubble3D val="0"/>
            <c:spPr>
              <a:solidFill>
                <a:schemeClr val="accent1">
                  <a:lumMod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E5-C83C-3747-8F12-005B51F4DF75}"/>
              </c:ext>
            </c:extLst>
          </c:dPt>
          <c:dPt>
            <c:idx val="115"/>
            <c:bubble3D val="0"/>
            <c:spPr>
              <a:solidFill>
                <a:schemeClr val="accent2">
                  <a:lumMod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E7-C83C-3747-8F12-005B51F4DF75}"/>
              </c:ext>
            </c:extLst>
          </c:dPt>
          <c:dPt>
            <c:idx val="116"/>
            <c:bubble3D val="0"/>
            <c:spPr>
              <a:solidFill>
                <a:schemeClr val="accent3">
                  <a:lumMod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E9-C83C-3747-8F12-005B51F4DF75}"/>
              </c:ext>
            </c:extLst>
          </c:dPt>
          <c:cat>
            <c:strRef>
              <c:f>'Reason Graph'!$A$4:$A$121</c:f>
              <c:strCache>
                <c:ptCount val="117"/>
                <c:pt idx="0">
                  <c:v>20</c:v>
                </c:pt>
                <c:pt idx="1">
                  <c:v>207</c:v>
                </c:pt>
                <c:pt idx="2">
                  <c:v>242</c:v>
                </c:pt>
                <c:pt idx="3">
                  <c:v>288</c:v>
                </c:pt>
                <c:pt idx="4">
                  <c:v>836</c:v>
                </c:pt>
                <c:pt idx="5">
                  <c:v>1036</c:v>
                </c:pt>
                <c:pt idx="6">
                  <c:v>2800.2</c:v>
                </c:pt>
                <c:pt idx="7">
                  <c:v>5150</c:v>
                </c:pt>
                <c:pt idx="8">
                  <c:v>10851</c:v>
                </c:pt>
                <c:pt idx="9">
                  <c:v>49949</c:v>
                </c:pt>
                <c:pt idx="10">
                  <c:v>10-36</c:v>
                </c:pt>
                <c:pt idx="11">
                  <c:v>166 pc</c:v>
                </c:pt>
                <c:pt idx="12">
                  <c:v>207 sus</c:v>
                </c:pt>
                <c:pt idx="13">
                  <c:v>21 suspect</c:v>
                </c:pt>
                <c:pt idx="14">
                  <c:v>211 SUSPECT</c:v>
                </c:pt>
                <c:pt idx="15">
                  <c:v>211 vehicle</c:v>
                </c:pt>
                <c:pt idx="16">
                  <c:v>243d suspect</c:v>
                </c:pt>
                <c:pt idx="17">
                  <c:v>246 pc</c:v>
                </c:pt>
                <c:pt idx="18">
                  <c:v>288 pc</c:v>
                </c:pt>
                <c:pt idx="19">
                  <c:v>288 SUSP</c:v>
                </c:pt>
                <c:pt idx="20">
                  <c:v>288PC</c:v>
                </c:pt>
                <c:pt idx="21">
                  <c:v>314 suspect</c:v>
                </c:pt>
                <c:pt idx="22">
                  <c:v>417PC</c:v>
                </c:pt>
                <c:pt idx="23">
                  <c:v>422 pc</c:v>
                </c:pt>
                <c:pt idx="24">
                  <c:v>422PC 245PC 29800PC RAMEY WARRANT RED BLUFF PD</c:v>
                </c:pt>
                <c:pt idx="25">
                  <c:v>459 veh</c:v>
                </c:pt>
                <c:pt idx="26">
                  <c:v>459.5pc</c:v>
                </c:pt>
                <c:pt idx="27">
                  <c:v>487 pc suspect</c:v>
                </c:pt>
                <c:pt idx="28">
                  <c:v>488pc</c:v>
                </c:pt>
                <c:pt idx="29">
                  <c:v>BOLO</c:v>
                </c:pt>
                <c:pt idx="30">
                  <c:v>BOMB THREAT</c:v>
                </c:pt>
                <c:pt idx="31">
                  <c:v>Drug</c:v>
                </c:pt>
                <c:pt idx="32">
                  <c:v>Drug intel</c:v>
                </c:pt>
                <c:pt idx="33">
                  <c:v>Drug Inv</c:v>
                </c:pt>
                <c:pt idx="34">
                  <c:v>Drug Inves</c:v>
                </c:pt>
                <c:pt idx="35">
                  <c:v>Drug Investigation</c:v>
                </c:pt>
                <c:pt idx="36">
                  <c:v>Drug investigations</c:v>
                </c:pt>
                <c:pt idx="37">
                  <c:v>Geand theft</c:v>
                </c:pt>
                <c:pt idx="38">
                  <c:v>Grand theft</c:v>
                </c:pt>
                <c:pt idx="39">
                  <c:v>id passenger and vehicle associated</c:v>
                </c:pt>
                <c:pt idx="40">
                  <c:v>id susp vhicle dv</c:v>
                </c:pt>
                <c:pt idx="41">
                  <c:v>locate</c:v>
                </c:pt>
                <c:pt idx="42">
                  <c:v>marijuana suspec</c:v>
                </c:pt>
                <c:pt idx="43">
                  <c:v>marijuana suspect</c:v>
                </c:pt>
                <c:pt idx="44">
                  <c:v>Out of compliance 290</c:v>
                </c:pt>
                <c:pt idx="45">
                  <c:v>Parole</c:v>
                </c:pt>
                <c:pt idx="46">
                  <c:v>Pattern of travel</c:v>
                </c:pt>
                <c:pt idx="47">
                  <c:v>POSSIBLE SUSPECT</c:v>
                </c:pt>
                <c:pt idx="48">
                  <c:v>public masurbater</c:v>
                </c:pt>
                <c:pt idx="49">
                  <c:v>R7-25-0027</c:v>
                </c:pt>
                <c:pt idx="50">
                  <c:v>Ramey Warrant</c:v>
                </c:pt>
                <c:pt idx="51">
                  <c:v>ROBBERY</c:v>
                </c:pt>
                <c:pt idx="52">
                  <c:v>search for suspect leads</c:v>
                </c:pt>
                <c:pt idx="53">
                  <c:v>Search warrant</c:v>
                </c:pt>
                <c:pt idx="54">
                  <c:v>shooting suspect / stolen vehicle</c:v>
                </c:pt>
                <c:pt idx="55">
                  <c:v>stolen veh</c:v>
                </c:pt>
                <c:pt idx="56">
                  <c:v>STOLEN VEHICLE</c:v>
                </c:pt>
                <c:pt idx="57">
                  <c:v>SURVEILLANCE</c:v>
                </c:pt>
                <c:pt idx="58">
                  <c:v>sus</c:v>
                </c:pt>
                <c:pt idx="59">
                  <c:v>sus id</c:v>
                </c:pt>
                <c:pt idx="60">
                  <c:v>sus loc</c:v>
                </c:pt>
                <c:pt idx="61">
                  <c:v>susp</c:v>
                </c:pt>
                <c:pt idx="62">
                  <c:v>susp veh</c:v>
                </c:pt>
                <c:pt idx="63">
                  <c:v>susp. veh</c:v>
                </c:pt>
                <c:pt idx="64">
                  <c:v>SUSPEC ID</c:v>
                </c:pt>
                <c:pt idx="65">
                  <c:v>Suspect</c:v>
                </c:pt>
                <c:pt idx="66">
                  <c:v>suspect ID</c:v>
                </c:pt>
                <c:pt idx="67">
                  <c:v>Suspect in 288</c:v>
                </c:pt>
                <c:pt idx="68">
                  <c:v>Suspect location</c:v>
                </c:pt>
                <c:pt idx="69">
                  <c:v>suspect veh</c:v>
                </c:pt>
                <c:pt idx="70">
                  <c:v>suspect veh 459pc</c:v>
                </c:pt>
                <c:pt idx="71">
                  <c:v>suspect veh.</c:v>
                </c:pt>
                <c:pt idx="72">
                  <c:v>suspect vehicle</c:v>
                </c:pt>
                <c:pt idx="73">
                  <c:v>Suspevt</c:v>
                </c:pt>
                <c:pt idx="74">
                  <c:v>Theft suspect</c:v>
                </c:pt>
                <c:pt idx="75">
                  <c:v>THREATS OF SELF HARM</c:v>
                </c:pt>
                <c:pt idx="76">
                  <c:v>Ul93101</c:v>
                </c:pt>
                <c:pt idx="77">
                  <c:v>veh left behind/check if RO aware for san jose pd</c:v>
                </c:pt>
                <c:pt idx="78">
                  <c:v>VEH USED IN 211PC</c:v>
                </c:pt>
                <c:pt idx="79">
                  <c:v>Want</c:v>
                </c:pt>
                <c:pt idx="80">
                  <c:v>wanted</c:v>
                </c:pt>
                <c:pt idx="81">
                  <c:v>wanted  person</c:v>
                </c:pt>
                <c:pt idx="82">
                  <c:v>wanted person</c:v>
                </c:pt>
                <c:pt idx="83">
                  <c:v>wanted subject</c:v>
                </c:pt>
                <c:pt idx="84">
                  <c:v>Warr</c:v>
                </c:pt>
                <c:pt idx="85">
                  <c:v>warrant</c:v>
                </c:pt>
                <c:pt idx="86">
                  <c:v>ycso suspect</c:v>
                </c:pt>
                <c:pt idx="87">
                  <c:v>(blank)</c:v>
                </c:pt>
                <c:pt idx="88">
                  <c:v>DV SUSPECT VEHICLE</c:v>
                </c:pt>
                <c:pt idx="89">
                  <c:v>207</c:v>
                </c:pt>
                <c:pt idx="90">
                  <c:v>1036</c:v>
                </c:pt>
                <c:pt idx="91">
                  <c:v>suspet</c:v>
                </c:pt>
                <c:pt idx="92">
                  <c:v>2800.2 cvc</c:v>
                </c:pt>
                <c:pt idx="93">
                  <c:v>Felony Warrants</c:v>
                </c:pt>
                <c:pt idx="94">
                  <c:v>felony warrant</c:v>
                </c:pt>
                <c:pt idx="95">
                  <c:v>MP</c:v>
                </c:pt>
                <c:pt idx="96">
                  <c:v>shooting suspect</c:v>
                </c:pt>
                <c:pt idx="97">
                  <c:v>DRUGS</c:v>
                </c:pt>
                <c:pt idx="98">
                  <c:v>Suspect Identification</c:v>
                </c:pt>
                <c:pt idx="99">
                  <c:v>10851</c:v>
                </c:pt>
                <c:pt idx="100">
                  <c:v>susid</c:v>
                </c:pt>
                <c:pt idx="101">
                  <c:v>42 suspect</c:v>
                </c:pt>
                <c:pt idx="102">
                  <c:v>422</c:v>
                </c:pt>
                <c:pt idx="103">
                  <c:v>shootin</c:v>
                </c:pt>
                <c:pt idx="104">
                  <c:v>187 sus</c:v>
                </c:pt>
                <c:pt idx="105">
                  <c:v>187SUS</c:v>
                </c:pt>
                <c:pt idx="106">
                  <c:v>187 SS</c:v>
                </c:pt>
                <c:pt idx="107">
                  <c:v>187</c:v>
                </c:pt>
                <c:pt idx="108">
                  <c:v>CRIMINAL INVEST 187PC</c:v>
                </c:pt>
                <c:pt idx="109">
                  <c:v>187 PC</c:v>
                </c:pt>
                <c:pt idx="110">
                  <c:v>187 suspect</c:v>
                </c:pt>
                <c:pt idx="111">
                  <c:v>theft</c:v>
                </c:pt>
                <c:pt idx="112">
                  <c:v>dv</c:v>
                </c:pt>
                <c:pt idx="113">
                  <c:v>105</c:v>
                </c:pt>
                <c:pt idx="114">
                  <c:v>victim's vehicle</c:v>
                </c:pt>
                <c:pt idx="115">
                  <c:v>ATL suspect vehicle</c:v>
                </c:pt>
                <c:pt idx="116">
                  <c:v>10851 VC</c:v>
                </c:pt>
              </c:strCache>
            </c:strRef>
          </c:cat>
          <c:val>
            <c:numRef>
              <c:f>'Reason Graph'!$B$4:$B$121</c:f>
              <c:numCache>
                <c:formatCode>General</c:formatCode>
                <c:ptCount val="117"/>
                <c:pt idx="0">
                  <c:v>1</c:v>
                </c:pt>
                <c:pt idx="1">
                  <c:v>6</c:v>
                </c:pt>
                <c:pt idx="2">
                  <c:v>1</c:v>
                </c:pt>
                <c:pt idx="3">
                  <c:v>3</c:v>
                </c:pt>
                <c:pt idx="4">
                  <c:v>1</c:v>
                </c:pt>
                <c:pt idx="5">
                  <c:v>3</c:v>
                </c:pt>
                <c:pt idx="6">
                  <c:v>1</c:v>
                </c:pt>
                <c:pt idx="7">
                  <c:v>1</c:v>
                </c:pt>
                <c:pt idx="8">
                  <c:v>18</c:v>
                </c:pt>
                <c:pt idx="9">
                  <c:v>2</c:v>
                </c:pt>
                <c:pt idx="10">
                  <c:v>2</c:v>
                </c:pt>
                <c:pt idx="11">
                  <c:v>1</c:v>
                </c:pt>
                <c:pt idx="12">
                  <c:v>3</c:v>
                </c:pt>
                <c:pt idx="13">
                  <c:v>1</c:v>
                </c:pt>
                <c:pt idx="14">
                  <c:v>8</c:v>
                </c:pt>
                <c:pt idx="15">
                  <c:v>1</c:v>
                </c:pt>
                <c:pt idx="16">
                  <c:v>3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2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4</c:v>
                </c:pt>
                <c:pt idx="28">
                  <c:v>1</c:v>
                </c:pt>
                <c:pt idx="29">
                  <c:v>4</c:v>
                </c:pt>
                <c:pt idx="30">
                  <c:v>2</c:v>
                </c:pt>
                <c:pt idx="31">
                  <c:v>1</c:v>
                </c:pt>
                <c:pt idx="32">
                  <c:v>6</c:v>
                </c:pt>
                <c:pt idx="33">
                  <c:v>6</c:v>
                </c:pt>
                <c:pt idx="34">
                  <c:v>5</c:v>
                </c:pt>
                <c:pt idx="35">
                  <c:v>55</c:v>
                </c:pt>
                <c:pt idx="36">
                  <c:v>2</c:v>
                </c:pt>
                <c:pt idx="37">
                  <c:v>1</c:v>
                </c:pt>
                <c:pt idx="38">
                  <c:v>2</c:v>
                </c:pt>
                <c:pt idx="39">
                  <c:v>2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6">
                  <c:v>5</c:v>
                </c:pt>
                <c:pt idx="47">
                  <c:v>1</c:v>
                </c:pt>
                <c:pt idx="48">
                  <c:v>1</c:v>
                </c:pt>
                <c:pt idx="49">
                  <c:v>1</c:v>
                </c:pt>
                <c:pt idx="50">
                  <c:v>1</c:v>
                </c:pt>
                <c:pt idx="51">
                  <c:v>2</c:v>
                </c:pt>
                <c:pt idx="52">
                  <c:v>1</c:v>
                </c:pt>
                <c:pt idx="53">
                  <c:v>1</c:v>
                </c:pt>
                <c:pt idx="54">
                  <c:v>1</c:v>
                </c:pt>
                <c:pt idx="55">
                  <c:v>1</c:v>
                </c:pt>
                <c:pt idx="56">
                  <c:v>5</c:v>
                </c:pt>
                <c:pt idx="57">
                  <c:v>1</c:v>
                </c:pt>
                <c:pt idx="58">
                  <c:v>1</c:v>
                </c:pt>
                <c:pt idx="59">
                  <c:v>6</c:v>
                </c:pt>
                <c:pt idx="60">
                  <c:v>1</c:v>
                </c:pt>
                <c:pt idx="61">
                  <c:v>1</c:v>
                </c:pt>
                <c:pt idx="62">
                  <c:v>5</c:v>
                </c:pt>
                <c:pt idx="63">
                  <c:v>1</c:v>
                </c:pt>
                <c:pt idx="64">
                  <c:v>3</c:v>
                </c:pt>
                <c:pt idx="65">
                  <c:v>44</c:v>
                </c:pt>
                <c:pt idx="66">
                  <c:v>82</c:v>
                </c:pt>
                <c:pt idx="67">
                  <c:v>2</c:v>
                </c:pt>
                <c:pt idx="68">
                  <c:v>4</c:v>
                </c:pt>
                <c:pt idx="69">
                  <c:v>5</c:v>
                </c:pt>
                <c:pt idx="70">
                  <c:v>1</c:v>
                </c:pt>
                <c:pt idx="71">
                  <c:v>1</c:v>
                </c:pt>
                <c:pt idx="72">
                  <c:v>45</c:v>
                </c:pt>
                <c:pt idx="73">
                  <c:v>1</c:v>
                </c:pt>
                <c:pt idx="74">
                  <c:v>3</c:v>
                </c:pt>
                <c:pt idx="75">
                  <c:v>6</c:v>
                </c:pt>
                <c:pt idx="76">
                  <c:v>1</c:v>
                </c:pt>
                <c:pt idx="77">
                  <c:v>1</c:v>
                </c:pt>
                <c:pt idx="78">
                  <c:v>2</c:v>
                </c:pt>
                <c:pt idx="79">
                  <c:v>1</c:v>
                </c:pt>
                <c:pt idx="80">
                  <c:v>9</c:v>
                </c:pt>
                <c:pt idx="81">
                  <c:v>1</c:v>
                </c:pt>
                <c:pt idx="82">
                  <c:v>7</c:v>
                </c:pt>
                <c:pt idx="83">
                  <c:v>1</c:v>
                </c:pt>
                <c:pt idx="84">
                  <c:v>11</c:v>
                </c:pt>
                <c:pt idx="85">
                  <c:v>2</c:v>
                </c:pt>
                <c:pt idx="86">
                  <c:v>16</c:v>
                </c:pt>
                <c:pt idx="87">
                  <c:v>596</c:v>
                </c:pt>
                <c:pt idx="88">
                  <c:v>1</c:v>
                </c:pt>
                <c:pt idx="89">
                  <c:v>2</c:v>
                </c:pt>
                <c:pt idx="90">
                  <c:v>3</c:v>
                </c:pt>
                <c:pt idx="91">
                  <c:v>3</c:v>
                </c:pt>
                <c:pt idx="92">
                  <c:v>1</c:v>
                </c:pt>
                <c:pt idx="93">
                  <c:v>1</c:v>
                </c:pt>
                <c:pt idx="94">
                  <c:v>1</c:v>
                </c:pt>
                <c:pt idx="95">
                  <c:v>2</c:v>
                </c:pt>
                <c:pt idx="96">
                  <c:v>1</c:v>
                </c:pt>
                <c:pt idx="97">
                  <c:v>1</c:v>
                </c:pt>
                <c:pt idx="98">
                  <c:v>1</c:v>
                </c:pt>
                <c:pt idx="99">
                  <c:v>2</c:v>
                </c:pt>
                <c:pt idx="100">
                  <c:v>1</c:v>
                </c:pt>
                <c:pt idx="101">
                  <c:v>1</c:v>
                </c:pt>
                <c:pt idx="102">
                  <c:v>1</c:v>
                </c:pt>
                <c:pt idx="103">
                  <c:v>1</c:v>
                </c:pt>
                <c:pt idx="104">
                  <c:v>2</c:v>
                </c:pt>
                <c:pt idx="105">
                  <c:v>1</c:v>
                </c:pt>
                <c:pt idx="106">
                  <c:v>2</c:v>
                </c:pt>
                <c:pt idx="107">
                  <c:v>2</c:v>
                </c:pt>
                <c:pt idx="108">
                  <c:v>1</c:v>
                </c:pt>
                <c:pt idx="109">
                  <c:v>5</c:v>
                </c:pt>
                <c:pt idx="110">
                  <c:v>1</c:v>
                </c:pt>
                <c:pt idx="111">
                  <c:v>2</c:v>
                </c:pt>
                <c:pt idx="112">
                  <c:v>2</c:v>
                </c:pt>
                <c:pt idx="113">
                  <c:v>1</c:v>
                </c:pt>
                <c:pt idx="114">
                  <c:v>1</c:v>
                </c:pt>
                <c:pt idx="115">
                  <c:v>1</c:v>
                </c:pt>
                <c:pt idx="11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BA-CE2E-5643-A8EC-8D6C0C5249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'Total Searches'</a:t>
            </a:r>
          </a:p>
        </c:rich>
      </c:tx>
      <c:layout>
        <c:manualLayout>
          <c:xMode val="edge"/>
          <c:yMode val="edge"/>
          <c:x val="0.36494444444444446"/>
          <c:y val="3.703703703703703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'Searches by Hour'!$B$1</c:f>
              <c:strCache>
                <c:ptCount val="1"/>
                <c:pt idx="0">
                  <c:v>Total Searches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'Searches by Hour'!$A$2:$A$25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'Searches by Hour'!$B$2:$B$25</c:f>
              <c:numCache>
                <c:formatCode>General</c:formatCode>
                <c:ptCount val="24"/>
                <c:pt idx="0">
                  <c:v>48</c:v>
                </c:pt>
                <c:pt idx="1">
                  <c:v>73</c:v>
                </c:pt>
                <c:pt idx="2">
                  <c:v>79</c:v>
                </c:pt>
                <c:pt idx="3">
                  <c:v>94</c:v>
                </c:pt>
                <c:pt idx="4">
                  <c:v>82</c:v>
                </c:pt>
                <c:pt idx="5">
                  <c:v>78</c:v>
                </c:pt>
                <c:pt idx="6">
                  <c:v>70</c:v>
                </c:pt>
                <c:pt idx="7">
                  <c:v>78</c:v>
                </c:pt>
                <c:pt idx="8">
                  <c:v>72</c:v>
                </c:pt>
                <c:pt idx="9">
                  <c:v>57</c:v>
                </c:pt>
                <c:pt idx="10">
                  <c:v>66</c:v>
                </c:pt>
                <c:pt idx="11">
                  <c:v>34</c:v>
                </c:pt>
                <c:pt idx="12">
                  <c:v>46</c:v>
                </c:pt>
                <c:pt idx="13">
                  <c:v>36</c:v>
                </c:pt>
                <c:pt idx="14">
                  <c:v>36</c:v>
                </c:pt>
                <c:pt idx="15">
                  <c:v>41</c:v>
                </c:pt>
                <c:pt idx="16">
                  <c:v>23</c:v>
                </c:pt>
                <c:pt idx="17">
                  <c:v>19</c:v>
                </c:pt>
                <c:pt idx="18">
                  <c:v>15</c:v>
                </c:pt>
                <c:pt idx="19">
                  <c:v>15</c:v>
                </c:pt>
                <c:pt idx="20">
                  <c:v>11</c:v>
                </c:pt>
                <c:pt idx="21">
                  <c:v>11</c:v>
                </c:pt>
                <c:pt idx="22">
                  <c:v>10</c:v>
                </c:pt>
                <c:pt idx="23">
                  <c:v>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139-6A49-9FD5-39486621A2E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650205599"/>
        <c:axId val="1208716095"/>
      </c:barChart>
      <c:catAx>
        <c:axId val="165020559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Hour (Pacific)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8716095"/>
        <c:crosses val="autoZero"/>
        <c:auto val="1"/>
        <c:lblAlgn val="ctr"/>
        <c:lblOffset val="100"/>
        <c:noMultiLvlLbl val="0"/>
      </c:catAx>
      <c:valAx>
        <c:axId val="12087160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Total Searches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020559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10 Network Counts: Blank vs. Has Reason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'Network Analysis'!$B$39</c:f>
              <c:strCache>
                <c:ptCount val="1"/>
                <c:pt idx="0">
                  <c:v>Has Reason</c:v>
                </c:pt>
              </c:strCache>
            </c:strRef>
          </c:tx>
          <c:spPr>
            <a:solidFill>
              <a:srgbClr val="4472C4"/>
            </a:solidFill>
            <a:ln>
              <a:noFill/>
            </a:ln>
            <a:effectLst/>
          </c:spPr>
          <c:invertIfNegative val="0"/>
          <c:cat>
            <c:strRef>
              <c:f>'Network Analysis'!$A$40:$A$49</c:f>
              <c:strCache>
                <c:ptCount val="10"/>
                <c:pt idx="0">
                  <c:v>Net: 2</c:v>
                </c:pt>
                <c:pt idx="1">
                  <c:v>Net: 3</c:v>
                </c:pt>
                <c:pt idx="2">
                  <c:v>Net: 36</c:v>
                </c:pt>
                <c:pt idx="3">
                  <c:v>Net: 15</c:v>
                </c:pt>
                <c:pt idx="4">
                  <c:v>Net: 531</c:v>
                </c:pt>
                <c:pt idx="5">
                  <c:v>Net: 1</c:v>
                </c:pt>
                <c:pt idx="6">
                  <c:v>Net: 433</c:v>
                </c:pt>
                <c:pt idx="7">
                  <c:v>Net: 532</c:v>
                </c:pt>
                <c:pt idx="8">
                  <c:v>Net: 432</c:v>
                </c:pt>
                <c:pt idx="9">
                  <c:v>Net: 35</c:v>
                </c:pt>
              </c:strCache>
            </c:strRef>
          </c:cat>
          <c:val>
            <c:numRef>
              <c:f>'Network Analysis'!$B$40:$B$49</c:f>
              <c:numCache>
                <c:formatCode>General</c:formatCode>
                <c:ptCount val="10"/>
                <c:pt idx="0">
                  <c:v>79</c:v>
                </c:pt>
                <c:pt idx="1">
                  <c:v>101</c:v>
                </c:pt>
                <c:pt idx="2">
                  <c:v>15</c:v>
                </c:pt>
                <c:pt idx="3">
                  <c:v>37</c:v>
                </c:pt>
                <c:pt idx="4">
                  <c:v>50</c:v>
                </c:pt>
                <c:pt idx="5">
                  <c:v>25</c:v>
                </c:pt>
                <c:pt idx="6">
                  <c:v>37</c:v>
                </c:pt>
                <c:pt idx="7">
                  <c:v>19</c:v>
                </c:pt>
                <c:pt idx="8">
                  <c:v>35</c:v>
                </c:pt>
                <c:pt idx="9">
                  <c:v>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F6C-0444-8E0E-4A97F66FEFCD}"/>
            </c:ext>
          </c:extLst>
        </c:ser>
        <c:ser>
          <c:idx val="1"/>
          <c:order val="1"/>
          <c:tx>
            <c:strRef>
              <c:f>'Network Analysis'!$C$39</c:f>
              <c:strCache>
                <c:ptCount val="1"/>
                <c:pt idx="0">
                  <c:v>Blank Reason</c:v>
                </c:pt>
              </c:strCache>
            </c:strRef>
          </c:tx>
          <c:spPr>
            <a:solidFill>
              <a:srgbClr val="ED7D31"/>
            </a:solidFill>
            <a:ln>
              <a:noFill/>
            </a:ln>
            <a:effectLst/>
          </c:spPr>
          <c:invertIfNegative val="0"/>
          <c:cat>
            <c:strRef>
              <c:f>'Network Analysis'!$A$40:$A$49</c:f>
              <c:strCache>
                <c:ptCount val="10"/>
                <c:pt idx="0">
                  <c:v>Net: 2</c:v>
                </c:pt>
                <c:pt idx="1">
                  <c:v>Net: 3</c:v>
                </c:pt>
                <c:pt idx="2">
                  <c:v>Net: 36</c:v>
                </c:pt>
                <c:pt idx="3">
                  <c:v>Net: 15</c:v>
                </c:pt>
                <c:pt idx="4">
                  <c:v>Net: 531</c:v>
                </c:pt>
                <c:pt idx="5">
                  <c:v>Net: 1</c:v>
                </c:pt>
                <c:pt idx="6">
                  <c:v>Net: 433</c:v>
                </c:pt>
                <c:pt idx="7">
                  <c:v>Net: 532</c:v>
                </c:pt>
                <c:pt idx="8">
                  <c:v>Net: 432</c:v>
                </c:pt>
                <c:pt idx="9">
                  <c:v>Net: 35</c:v>
                </c:pt>
              </c:strCache>
            </c:strRef>
          </c:cat>
          <c:val>
            <c:numRef>
              <c:f>'Network Analysis'!$C$40:$C$49</c:f>
              <c:numCache>
                <c:formatCode>General</c:formatCode>
                <c:ptCount val="10"/>
                <c:pt idx="0">
                  <c:v>125</c:v>
                </c:pt>
                <c:pt idx="1">
                  <c:v>112</c:v>
                </c:pt>
                <c:pt idx="2">
                  <c:v>81</c:v>
                </c:pt>
                <c:pt idx="3">
                  <c:v>44</c:v>
                </c:pt>
                <c:pt idx="4">
                  <c:v>72</c:v>
                </c:pt>
                <c:pt idx="5">
                  <c:v>29</c:v>
                </c:pt>
                <c:pt idx="6">
                  <c:v>6</c:v>
                </c:pt>
                <c:pt idx="7">
                  <c:v>20</c:v>
                </c:pt>
                <c:pt idx="8">
                  <c:v>5</c:v>
                </c:pt>
                <c:pt idx="9">
                  <c:v>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F6C-0444-8E0E-4A97F66FEF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49610111"/>
        <c:axId val="383442799"/>
      </c:barChart>
      <c:catAx>
        <c:axId val="149610111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Network Count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3442799"/>
        <c:crosses val="autoZero"/>
        <c:auto val="1"/>
        <c:lblAlgn val="ctr"/>
        <c:lblOffset val="100"/>
        <c:noMultiLvlLbl val="0"/>
      </c:catAx>
      <c:valAx>
        <c:axId val="3834427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Number of Searches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6101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Blank Rate vs. Network Count (Top 10)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'Network Analysis'!$B$53</c:f>
              <c:strCache>
                <c:ptCount val="1"/>
                <c:pt idx="0">
                  <c:v>% Blank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'Network Analysis'!$A$54:$A$63</c:f>
              <c:numCache>
                <c:formatCode>General</c:formatCode>
                <c:ptCount val="10"/>
                <c:pt idx="0">
                  <c:v>2</c:v>
                </c:pt>
                <c:pt idx="1">
                  <c:v>3</c:v>
                </c:pt>
                <c:pt idx="2">
                  <c:v>36</c:v>
                </c:pt>
                <c:pt idx="3">
                  <c:v>15</c:v>
                </c:pt>
                <c:pt idx="4">
                  <c:v>531</c:v>
                </c:pt>
                <c:pt idx="5">
                  <c:v>1</c:v>
                </c:pt>
                <c:pt idx="6">
                  <c:v>433</c:v>
                </c:pt>
                <c:pt idx="7">
                  <c:v>532</c:v>
                </c:pt>
                <c:pt idx="8">
                  <c:v>432</c:v>
                </c:pt>
                <c:pt idx="9">
                  <c:v>35</c:v>
                </c:pt>
              </c:numCache>
            </c:numRef>
          </c:xVal>
          <c:yVal>
            <c:numRef>
              <c:f>'Network Analysis'!$B$54:$B$63</c:f>
              <c:numCache>
                <c:formatCode>0.0%</c:formatCode>
                <c:ptCount val="10"/>
                <c:pt idx="0">
                  <c:v>0.61274509803921573</c:v>
                </c:pt>
                <c:pt idx="1">
                  <c:v>0.5258215962441315</c:v>
                </c:pt>
                <c:pt idx="2">
                  <c:v>0.84375</c:v>
                </c:pt>
                <c:pt idx="3">
                  <c:v>0.54320987654320985</c:v>
                </c:pt>
                <c:pt idx="4">
                  <c:v>0.5901639344262295</c:v>
                </c:pt>
                <c:pt idx="5">
                  <c:v>0.53703703703703709</c:v>
                </c:pt>
                <c:pt idx="6">
                  <c:v>0.13953488372093023</c:v>
                </c:pt>
                <c:pt idx="7">
                  <c:v>0.51282051282051277</c:v>
                </c:pt>
                <c:pt idx="8">
                  <c:v>0.125</c:v>
                </c:pt>
                <c:pt idx="9">
                  <c:v>0.77777777777777779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A7B-5842-934D-0A8D73A193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93203135"/>
        <c:axId val="568381055"/>
      </c:scatterChart>
      <c:valAx>
        <c:axId val="49320313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Networks Queried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8381055"/>
        <c:crosses val="autoZero"/>
        <c:crossBetween val="midCat"/>
      </c:valAx>
      <c:valAx>
        <c:axId val="5683810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% Blank Reason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320313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0</xdr:row>
      <xdr:rowOff>0</xdr:rowOff>
    </xdr:from>
    <xdr:to>
      <xdr:col>16</xdr:col>
      <xdr:colOff>0</xdr:colOff>
      <xdr:row>20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D8EEDDE-DBD6-EEF8-9A4C-ED48162E252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1130300</xdr:colOff>
      <xdr:row>1</xdr:row>
      <xdr:rowOff>139700</xdr:rowOff>
    </xdr:from>
    <xdr:to>
      <xdr:col>7</xdr:col>
      <xdr:colOff>622300</xdr:colOff>
      <xdr:row>43</xdr:row>
      <xdr:rowOff>152400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0C6D32E-956A-72E5-0AB2-6CD8418362C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2</xdr:col>
      <xdr:colOff>1727200</xdr:colOff>
      <xdr:row>51</xdr:row>
      <xdr:rowOff>38100</xdr:rowOff>
    </xdr:from>
    <xdr:to>
      <xdr:col>6</xdr:col>
      <xdr:colOff>2540000</xdr:colOff>
      <xdr:row>58</xdr:row>
      <xdr:rowOff>25400</xdr:rowOff>
    </xdr:to>
    <mc:AlternateContent xmlns:mc="http://schemas.openxmlformats.org/markup-compatibility/2006" xmlns:tsle="http://schemas.microsoft.com/office/drawing/2012/timeslicer">
      <mc:Choice Requires="tsle">
        <xdr:graphicFrame macro="">
          <xdr:nvGraphicFramePr>
            <xdr:cNvPr id="4" name="Date (Pacific)">
              <a:extLst>
                <a:ext uri="{FF2B5EF4-FFF2-40B4-BE49-F238E27FC236}">
                  <a16:creationId xmlns:a16="http://schemas.microsoft.com/office/drawing/2014/main" id="{EC6B9948-0747-CC8C-D66D-DDE051D7A8B9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name="Date (Pacific)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248400" y="9753600"/>
              <a:ext cx="11137900" cy="13208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Timeline: Works in Excel 2013 or higher. Do not move or resize.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546100</xdr:colOff>
      <xdr:row>2</xdr:row>
      <xdr:rowOff>0</xdr:rowOff>
    </xdr:from>
    <xdr:to>
      <xdr:col>12</xdr:col>
      <xdr:colOff>546100</xdr:colOff>
      <xdr:row>24</xdr:row>
      <xdr:rowOff>63500</xdr:rowOff>
    </xdr:to>
    <xdr:graphicFrame macro="">
      <xdr:nvGraphicFramePr>
        <xdr:cNvPr id="2" name="Chart 1" descr="Chart type: Line. 'Total Searches'&#10;&#10;Description automatically generated">
          <a:extLst>
            <a:ext uri="{FF2B5EF4-FFF2-40B4-BE49-F238E27FC236}">
              <a16:creationId xmlns:a16="http://schemas.microsoft.com/office/drawing/2014/main" id="{0763F550-64B2-D8B6-9490-CB87E49600D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2</xdr:row>
      <xdr:rowOff>0</xdr:rowOff>
    </xdr:from>
    <xdr:to>
      <xdr:col>19</xdr:col>
      <xdr:colOff>0</xdr:colOff>
      <xdr:row>22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F122B8C-EE4B-F1B6-E765-1537643992C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0</xdr:colOff>
      <xdr:row>23</xdr:row>
      <xdr:rowOff>0</xdr:rowOff>
    </xdr:from>
    <xdr:to>
      <xdr:col>19</xdr:col>
      <xdr:colOff>0</xdr:colOff>
      <xdr:row>43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A84A824-02CD-786A-53AD-BEF807FAFBF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homas Hammock" refreshedDate="46111.611537500001" createdVersion="8" refreshedVersion="8" minRefreshableVersion="3" recordCount="1091" xr:uid="{DD8B81AD-E158-3C40-BF86-01D5043CE90D}">
  <cacheSource type="worksheet">
    <worksheetSource ref="A1:I1048576" sheet="Search Audit"/>
  </cacheSource>
  <cacheFields count="9">
    <cacheField name="Search ID" numFmtId="0">
      <sharedItems containsBlank="1"/>
    </cacheField>
    <cacheField name="User ID" numFmtId="0">
      <sharedItems containsBlank="1"/>
    </cacheField>
    <cacheField name="Search Date (UTC/Zulu)" numFmtId="0">
      <sharedItems containsNonDate="0" containsDate="1" containsString="0" containsBlank="1" minDate="2026-02-02T17:12:14" maxDate="2026-03-26T16:27:29"/>
    </cacheField>
    <cacheField name="Network Count" numFmtId="0">
      <sharedItems containsString="0" containsBlank="1" containsNumber="1" containsInteger="1" minValue="1" maxValue="891"/>
    </cacheField>
    <cacheField name="Reason" numFmtId="0">
      <sharedItems containsBlank="1" containsMixedTypes="1" containsNumber="1" minValue="20" maxValue="49949" count="117">
        <n v="288"/>
        <m/>
        <s v="STOLEN VEHICLE"/>
        <s v="stolen veh"/>
        <n v="10851"/>
        <s v="Drug Investigation"/>
        <s v="suspect ID"/>
        <s v="shooting suspect / stolen vehicle"/>
        <s v="Drug investigations"/>
        <n v="1036"/>
        <s v="suspect vehicle"/>
        <s v="Suspect in 288"/>
        <s v="wanted"/>
        <s v="locate"/>
        <s v="288PC"/>
        <s v="288 SUSP"/>
        <s v="Suspect location"/>
        <s v="Suspect"/>
        <s v="288 pc"/>
        <s v="246 pc"/>
        <s v="Search warrant"/>
        <s v="SUSPEC ID"/>
        <s v="21 suspect"/>
        <s v="warrant"/>
        <n v="836"/>
        <n v="5150"/>
        <s v="suspect veh"/>
        <s v="suspect veh."/>
        <s v="Drug"/>
        <s v="R7-25-0027"/>
        <s v="Theft suspect"/>
        <s v="Pattern of travel"/>
        <s v="Out of compliance 290"/>
        <s v="Suspevt"/>
        <s v="VEH USED IN 211PC"/>
        <s v="211 SUSPECT"/>
        <s v="488pc"/>
        <s v="sus loc"/>
        <s v="id passenger and vehicle associated"/>
        <s v="suspect veh 459pc"/>
        <s v="459 veh"/>
        <s v="ROBBERY"/>
        <s v="Parole"/>
        <s v="422 pc"/>
        <s v="BOLO"/>
        <s v="sus id"/>
        <s v="susp veh"/>
        <s v="THREATS OF SELF HARM"/>
        <s v="search for suspect leads"/>
        <s v="sus"/>
        <s v="wanted person"/>
        <s v="wanted  person"/>
        <n v="2800.2"/>
        <n v="207"/>
        <s v="166 pc"/>
        <s v="Warr"/>
        <s v="wanted subject"/>
        <n v="49949"/>
        <s v="10-36"/>
        <s v="Ramey Warrant"/>
        <s v="Want"/>
        <s v="BOMB THREAT"/>
        <s v="POSSIBLE SUSPECT"/>
        <s v="veh left behind/check if RO aware for san jose pd"/>
        <s v="susp"/>
        <s v="Drug Inves"/>
        <s v="Drug Inv"/>
        <s v="marijuana suspect"/>
        <s v="marijuana suspec"/>
        <s v="Drug intel"/>
        <s v="422PC 245PC 29800PC RAMEY WARRANT RED BLUFF PD"/>
        <s v="ycso suspect"/>
        <s v="Geand theft"/>
        <s v="Grand theft"/>
        <s v="public masurbater"/>
        <s v="314 suspect"/>
        <s v="243d suspect"/>
        <s v="487 pc suspect"/>
        <s v="211 vehicle"/>
        <s v="id susp vhicle dv"/>
        <s v="417PC"/>
        <n v="242"/>
        <n v="20"/>
        <s v="207 sus"/>
        <s v="207"/>
        <s v="susp. veh"/>
        <s v="Ul93101"/>
        <s v="459.5pc"/>
        <s v="SURVEILLANCE"/>
        <s v="DV SUSPECT VEHICLE"/>
        <s v="1036"/>
        <s v="suspet"/>
        <s v="2800.2 cvc"/>
        <s v="Felony Warrants"/>
        <s v="felony warrant"/>
        <s v="MP"/>
        <s v="shooting suspect"/>
        <s v="DRUGS"/>
        <s v="Suspect Identification"/>
        <s v="10851"/>
        <s v="susid"/>
        <s v="42 suspect"/>
        <s v="422"/>
        <s v="shootin"/>
        <s v="187 sus"/>
        <s v="187SUS"/>
        <s v="187 SS"/>
        <s v="187"/>
        <s v="CRIMINAL INVEST 187PC"/>
        <s v="187 PC"/>
        <s v="187 suspect"/>
        <s v="theft"/>
        <s v="dv"/>
        <s v="105"/>
        <s v="victim's vehicle"/>
        <s v="ATL suspect vehicle"/>
        <s v="10851 VC"/>
      </sharedItems>
    </cacheField>
    <cacheField name="Search Date (Pacific)" numFmtId="0">
      <sharedItems containsNonDate="0" containsDate="1" containsString="0" containsBlank="1" minDate="2026-02-02T09:12:14" maxDate="2026-03-26T09:27:29"/>
    </cacheField>
    <cacheField name="Date (Pacific)" numFmtId="0">
      <sharedItems containsNonDate="0" containsDate="1" containsString="0" containsBlank="1" minDate="2026-02-02T00:00:00" maxDate="2026-03-27T00:00:00" count="54">
        <d v="2026-02-02T00:00:00"/>
        <d v="2026-02-03T00:00:00"/>
        <d v="2026-02-04T00:00:00"/>
        <d v="2026-02-05T00:00:00"/>
        <d v="2026-02-06T00:00:00"/>
        <d v="2026-02-07T00:00:00"/>
        <d v="2026-02-08T00:00:00"/>
        <d v="2026-02-09T00:00:00"/>
        <d v="2026-02-10T00:00:00"/>
        <d v="2026-02-11T00:00:00"/>
        <d v="2026-02-12T00:00:00"/>
        <d v="2026-02-13T00:00:00"/>
        <d v="2026-02-14T00:00:00"/>
        <d v="2026-02-15T00:00:00"/>
        <d v="2026-02-16T00:00:00"/>
        <d v="2026-02-17T00:00:00"/>
        <d v="2026-02-18T00:00:00"/>
        <d v="2026-02-19T00:00:00"/>
        <d v="2026-02-20T00:00:00"/>
        <d v="2026-02-21T00:00:00"/>
        <d v="2026-02-22T00:00:00"/>
        <d v="2026-02-23T00:00:00"/>
        <d v="2026-02-24T00:00:00"/>
        <d v="2026-02-25T00:00:00"/>
        <d v="2026-02-26T00:00:00"/>
        <d v="2026-02-27T00:00:00"/>
        <d v="2026-02-28T00:00:00"/>
        <d v="2026-03-01T00:00:00"/>
        <d v="2026-03-02T00:00:00"/>
        <d v="2026-03-03T00:00:00"/>
        <d v="2026-03-04T00:00:00"/>
        <d v="2026-03-05T00:00:00"/>
        <d v="2026-03-06T00:00:00"/>
        <d v="2026-03-07T00:00:00"/>
        <d v="2026-03-08T00:00:00"/>
        <d v="2026-03-09T00:00:00"/>
        <d v="2026-03-10T00:00:00"/>
        <d v="2026-03-11T00:00:00"/>
        <d v="2026-03-12T00:00:00"/>
        <d v="2026-03-13T00:00:00"/>
        <d v="2026-03-14T00:00:00"/>
        <d v="2026-03-15T00:00:00"/>
        <d v="2026-03-16T00:00:00"/>
        <d v="2026-03-17T00:00:00"/>
        <d v="2026-03-18T00:00:00"/>
        <d v="2026-03-19T00:00:00"/>
        <d v="2026-03-20T00:00:00"/>
        <d v="2026-03-21T00:00:00"/>
        <d v="2026-03-22T00:00:00"/>
        <d v="2026-03-23T00:00:00"/>
        <d v="2026-03-24T00:00:00"/>
        <d v="2026-03-25T00:00:00"/>
        <d v="2026-03-26T00:00:00"/>
        <m/>
      </sharedItems>
    </cacheField>
    <cacheField name="Day of Week" numFmtId="0">
      <sharedItems containsBlank="1"/>
    </cacheField>
    <cacheField name="Hour (Pacific)" numFmtId="0">
      <sharedItems containsString="0" containsBlank="1" containsNumber="1" containsInteger="1" minValue="0" maxValue="23"/>
    </cacheField>
  </cacheFields>
  <extLst>
    <ext xmlns:x14="http://schemas.microsoft.com/office/spreadsheetml/2009/9/main" uri="{725AE2AE-9491-48be-B2B4-4EB974FC3084}">
      <x14:pivotCacheDefinition pivotCacheId="1882895124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91">
  <r>
    <s v="0d467e68-708e-4b39-9eb7-83b2b7af3cc2"/>
    <s v="***"/>
    <d v="2026-02-02T17:12:14"/>
    <n v="15"/>
    <x v="0"/>
    <d v="2026-02-02T09:12:14"/>
    <x v="0"/>
    <s v="Monday"/>
    <n v="9"/>
  </r>
  <r>
    <s v="0699f1f0-50ac-441e-9b29-765e6469d80b"/>
    <s v="***"/>
    <d v="2026-02-02T18:23:33"/>
    <n v="15"/>
    <x v="0"/>
    <d v="2026-02-02T10:23:33"/>
    <x v="0"/>
    <s v="Monday"/>
    <n v="10"/>
  </r>
  <r>
    <s v="35a6d6d0-05db-4caf-a9d1-8b7361638820"/>
    <s v="***"/>
    <d v="2026-02-02T18:37:30"/>
    <n v="2"/>
    <x v="1"/>
    <d v="2026-02-02T10:37:30"/>
    <x v="0"/>
    <s v="Monday"/>
    <n v="10"/>
  </r>
  <r>
    <s v="a1d98010-e5a7-41ac-b1ff-1b90e1c94e8e"/>
    <s v="***"/>
    <d v="2026-02-02T18:45:28"/>
    <n v="4"/>
    <x v="2"/>
    <d v="2026-02-02T10:45:28"/>
    <x v="0"/>
    <s v="Monday"/>
    <n v="10"/>
  </r>
  <r>
    <s v="03af7616-75bc-4326-af92-ee81f6f30e27"/>
    <s v="***"/>
    <d v="2026-02-02T19:00:08"/>
    <n v="2"/>
    <x v="3"/>
    <d v="2026-02-02T11:00:08"/>
    <x v="0"/>
    <s v="Monday"/>
    <n v="11"/>
  </r>
  <r>
    <s v="bb9a05ea-02fc-44e2-860a-c2dbf7cfe7e1"/>
    <s v="***"/>
    <d v="2026-02-02T19:39:37"/>
    <n v="15"/>
    <x v="1"/>
    <d v="2026-02-02T11:39:37"/>
    <x v="0"/>
    <s v="Monday"/>
    <n v="11"/>
  </r>
  <r>
    <s v="7930b74f-fa09-4caf-90a7-3e7a7289db8f"/>
    <s v="***"/>
    <d v="2026-02-02T20:37:20"/>
    <n v="2"/>
    <x v="1"/>
    <d v="2026-02-02T12:37:20"/>
    <x v="0"/>
    <s v="Monday"/>
    <n v="12"/>
  </r>
  <r>
    <s v="05a06816-5fbd-45af-955a-631123af6549"/>
    <s v="***"/>
    <d v="2026-02-02T20:43:52"/>
    <n v="2"/>
    <x v="1"/>
    <d v="2026-02-02T12:43:52"/>
    <x v="0"/>
    <s v="Monday"/>
    <n v="12"/>
  </r>
  <r>
    <s v="2a064e37-e2df-49cd-bf3a-d761776fdf4c"/>
    <s v="***"/>
    <d v="2026-02-02T20:50:52"/>
    <n v="1"/>
    <x v="1"/>
    <d v="2026-02-02T12:50:52"/>
    <x v="0"/>
    <s v="Monday"/>
    <n v="12"/>
  </r>
  <r>
    <s v="906d2967-5151-478b-a662-08ba5bcbc55b"/>
    <s v="***"/>
    <d v="2026-02-02T21:02:54"/>
    <n v="2"/>
    <x v="1"/>
    <d v="2026-02-02T13:02:54"/>
    <x v="0"/>
    <s v="Monday"/>
    <n v="13"/>
  </r>
  <r>
    <s v="576ba533-ddd3-46bb-a3dc-3e241ce4c0bf"/>
    <s v="***"/>
    <d v="2026-02-02T21:17:29"/>
    <n v="15"/>
    <x v="4"/>
    <d v="2026-02-02T13:17:29"/>
    <x v="0"/>
    <s v="Monday"/>
    <n v="13"/>
  </r>
  <r>
    <s v="c329d679-e226-469d-bccd-1e61d57c9ba0"/>
    <s v="***"/>
    <d v="2026-02-02T22:12:10"/>
    <n v="15"/>
    <x v="4"/>
    <d v="2026-02-02T14:12:10"/>
    <x v="0"/>
    <s v="Monday"/>
    <n v="14"/>
  </r>
  <r>
    <s v="88021183-a04b-4b7e-b244-97a189553aa9"/>
    <s v="***"/>
    <d v="2026-02-02T22:30:53"/>
    <n v="2"/>
    <x v="1"/>
    <d v="2026-02-02T14:30:53"/>
    <x v="0"/>
    <s v="Monday"/>
    <n v="14"/>
  </r>
  <r>
    <s v="4b941c6b-2454-4484-8061-b2c37e5d66f4"/>
    <s v="***"/>
    <d v="2026-02-02T23:38:11"/>
    <n v="15"/>
    <x v="4"/>
    <d v="2026-02-02T15:38:11"/>
    <x v="0"/>
    <s v="Monday"/>
    <n v="15"/>
  </r>
  <r>
    <s v="4be01773-0c22-4d3d-8e1b-4d5cc79a627c"/>
    <s v="***"/>
    <d v="2026-02-03T03:39:17"/>
    <n v="2"/>
    <x v="1"/>
    <d v="2026-02-02T19:39:17"/>
    <x v="0"/>
    <s v="Monday"/>
    <n v="19"/>
  </r>
  <r>
    <s v="eae7fd71-08ff-445d-b7fb-72595f11a8c5"/>
    <s v="***"/>
    <d v="2026-02-03T07:37:01"/>
    <n v="2"/>
    <x v="1"/>
    <d v="2026-02-02T23:37:01"/>
    <x v="0"/>
    <s v="Monday"/>
    <n v="23"/>
  </r>
  <r>
    <s v="761a53ad-9a16-4582-a1bb-353ea60fc6ac"/>
    <s v="***"/>
    <d v="2026-02-03T09:49:47"/>
    <n v="433"/>
    <x v="5"/>
    <d v="2026-02-03T01:49:47"/>
    <x v="1"/>
    <s v="Tuesday"/>
    <n v="1"/>
  </r>
  <r>
    <s v="01bf7107-44ef-46c0-a4fa-17c279e84ce8"/>
    <s v="***"/>
    <d v="2026-02-03T09:57:06"/>
    <n v="2"/>
    <x v="1"/>
    <d v="2026-02-03T01:57:06"/>
    <x v="1"/>
    <s v="Tuesday"/>
    <n v="1"/>
  </r>
  <r>
    <s v="aa4b518d-aa1c-4481-9063-820e49274506"/>
    <s v="***"/>
    <d v="2026-02-03T10:07:12"/>
    <n v="433"/>
    <x v="6"/>
    <d v="2026-02-03T02:07:12"/>
    <x v="1"/>
    <s v="Tuesday"/>
    <n v="2"/>
  </r>
  <r>
    <s v="9836aabb-99c5-4186-a1a8-006936194e3f"/>
    <s v="***"/>
    <d v="2026-02-03T10:17:03"/>
    <n v="433"/>
    <x v="5"/>
    <d v="2026-02-03T02:17:03"/>
    <x v="1"/>
    <s v="Tuesday"/>
    <n v="2"/>
  </r>
  <r>
    <s v="318cf320-dfa9-4192-969c-7eea817a39d6"/>
    <s v="***"/>
    <d v="2026-02-03T11:01:41"/>
    <n v="433"/>
    <x v="5"/>
    <d v="2026-02-03T03:01:41"/>
    <x v="1"/>
    <s v="Tuesday"/>
    <n v="3"/>
  </r>
  <r>
    <s v="94a74dfd-e059-4c27-a82b-22598a9bfcea"/>
    <s v="***"/>
    <d v="2026-02-03T11:56:09"/>
    <n v="1"/>
    <x v="2"/>
    <d v="2026-02-03T03:56:09"/>
    <x v="1"/>
    <s v="Tuesday"/>
    <n v="3"/>
  </r>
  <r>
    <s v="9f0d5b1f-6308-4b46-9539-a055b19ccdc2"/>
    <s v="***"/>
    <d v="2026-02-03T12:08:35"/>
    <n v="2"/>
    <x v="1"/>
    <d v="2026-02-03T04:08:35"/>
    <x v="1"/>
    <s v="Tuesday"/>
    <n v="4"/>
  </r>
  <r>
    <s v="c344a0b3-eeca-4518-84ee-898bfbcadd1c"/>
    <s v="***"/>
    <d v="2026-02-03T13:50:50"/>
    <n v="35"/>
    <x v="1"/>
    <d v="2026-02-03T05:50:50"/>
    <x v="1"/>
    <s v="Tuesday"/>
    <n v="5"/>
  </r>
  <r>
    <s v="0d8b9b38-029f-46ea-95bf-55283c95db10"/>
    <s v="***"/>
    <d v="2026-02-03T14:04:07"/>
    <n v="433"/>
    <x v="5"/>
    <d v="2026-02-03T06:04:07"/>
    <x v="1"/>
    <s v="Tuesday"/>
    <n v="6"/>
  </r>
  <r>
    <s v="4148d926-e16e-40dd-8c64-996f20362cb4"/>
    <s v="***"/>
    <d v="2026-02-03T14:43:28"/>
    <n v="36"/>
    <x v="7"/>
    <d v="2026-02-03T06:43:28"/>
    <x v="1"/>
    <s v="Tuesday"/>
    <n v="6"/>
  </r>
  <r>
    <s v="14a5ad81-f3ac-460a-af50-223c821a431d"/>
    <s v="***"/>
    <d v="2026-02-03T15:09:30"/>
    <n v="433"/>
    <x v="5"/>
    <d v="2026-02-03T07:09:30"/>
    <x v="1"/>
    <s v="Tuesday"/>
    <n v="7"/>
  </r>
  <r>
    <s v="b39315e8-17c3-43c5-9ba2-a73837adee27"/>
    <s v="***"/>
    <d v="2026-02-03T15:26:19"/>
    <n v="36"/>
    <x v="2"/>
    <d v="2026-02-03T07:26:19"/>
    <x v="1"/>
    <s v="Tuesday"/>
    <n v="7"/>
  </r>
  <r>
    <s v="84677b4b-7682-459d-a544-5790ed6c19bf"/>
    <s v="***"/>
    <d v="2026-02-03T16:03:20"/>
    <n v="2"/>
    <x v="0"/>
    <d v="2026-02-03T08:03:20"/>
    <x v="1"/>
    <s v="Tuesday"/>
    <n v="8"/>
  </r>
  <r>
    <s v="47cc24e3-ff84-4f58-b96f-1e29090c3166"/>
    <s v="***"/>
    <d v="2026-02-03T17:14:58"/>
    <n v="15"/>
    <x v="4"/>
    <d v="2026-02-03T09:14:58"/>
    <x v="1"/>
    <s v="Tuesday"/>
    <n v="9"/>
  </r>
  <r>
    <s v="80871e1d-4f8f-4ed6-b745-5e657e43595a"/>
    <s v="***"/>
    <d v="2026-02-03T17:21:15"/>
    <n v="35"/>
    <x v="1"/>
    <d v="2026-02-03T09:21:15"/>
    <x v="1"/>
    <s v="Tuesday"/>
    <n v="9"/>
  </r>
  <r>
    <s v="d8a81c75-0754-496f-a1f6-12862436e50e"/>
    <s v="***"/>
    <d v="2026-02-03T18:09:47"/>
    <n v="433"/>
    <x v="8"/>
    <d v="2026-02-03T10:09:47"/>
    <x v="1"/>
    <s v="Tuesday"/>
    <n v="10"/>
  </r>
  <r>
    <s v="507eb95a-e75f-4405-89e8-da1a19180f01"/>
    <s v="***"/>
    <d v="2026-02-03T18:13:19"/>
    <n v="35"/>
    <x v="1"/>
    <d v="2026-02-03T10:13:19"/>
    <x v="1"/>
    <s v="Tuesday"/>
    <n v="10"/>
  </r>
  <r>
    <s v="6929dcaa-b275-4821-8811-b983030ea7bf"/>
    <s v="***"/>
    <d v="2026-02-03T18:24:19"/>
    <n v="15"/>
    <x v="4"/>
    <d v="2026-02-03T10:24:19"/>
    <x v="1"/>
    <s v="Tuesday"/>
    <n v="10"/>
  </r>
  <r>
    <s v="f20920d7-266d-459c-881b-f970824c6a34"/>
    <s v="***"/>
    <d v="2026-02-03T19:14:55"/>
    <n v="15"/>
    <x v="4"/>
    <d v="2026-02-03T11:14:55"/>
    <x v="1"/>
    <s v="Tuesday"/>
    <n v="11"/>
  </r>
  <r>
    <s v="67be2a87-f768-4f73-8519-1619cb6560f5"/>
    <s v="***"/>
    <d v="2026-02-03T19:27:00"/>
    <n v="35"/>
    <x v="1"/>
    <d v="2026-02-03T11:27:00"/>
    <x v="1"/>
    <s v="Tuesday"/>
    <n v="11"/>
  </r>
  <r>
    <s v="d36d3e19-bc08-48e9-9e7a-5290d1ba3277"/>
    <s v="***"/>
    <d v="2026-02-03T20:21:07"/>
    <n v="15"/>
    <x v="4"/>
    <d v="2026-02-03T12:21:07"/>
    <x v="1"/>
    <s v="Tuesday"/>
    <n v="12"/>
  </r>
  <r>
    <s v="17c01a91-a72f-43be-9a95-0d5969a6e94f"/>
    <s v="***"/>
    <d v="2026-02-03T21:12:16"/>
    <n v="15"/>
    <x v="4"/>
    <d v="2026-02-03T13:12:16"/>
    <x v="1"/>
    <s v="Tuesday"/>
    <n v="13"/>
  </r>
  <r>
    <s v="dde6f2e4-b9ad-4ca6-a658-ab41f1933268"/>
    <s v="***"/>
    <d v="2026-02-03T22:15:33"/>
    <n v="15"/>
    <x v="4"/>
    <d v="2026-02-03T14:15:33"/>
    <x v="1"/>
    <s v="Tuesday"/>
    <n v="14"/>
  </r>
  <r>
    <s v="0f199f1d-ece8-4804-a809-8164d94b6f15"/>
    <s v="***"/>
    <d v="2026-02-03T22:20:23"/>
    <n v="2"/>
    <x v="9"/>
    <d v="2026-02-03T14:20:23"/>
    <x v="1"/>
    <s v="Tuesday"/>
    <n v="14"/>
  </r>
  <r>
    <s v="1eefdabd-cc0f-4079-91f1-76c4f32934f6"/>
    <s v="***"/>
    <d v="2026-02-03T22:27:31"/>
    <n v="16"/>
    <x v="10"/>
    <d v="2026-02-03T14:27:31"/>
    <x v="1"/>
    <s v="Tuesday"/>
    <n v="14"/>
  </r>
  <r>
    <s v="70cbdd96-7752-4bf3-a06d-926d28f25988"/>
    <s v="***"/>
    <d v="2026-02-03T23:00:06"/>
    <n v="15"/>
    <x v="9"/>
    <d v="2026-02-03T15:00:06"/>
    <x v="1"/>
    <s v="Tuesday"/>
    <n v="15"/>
  </r>
  <r>
    <s v="e0522fe4-eb97-44e3-aea7-d6522b0938dc"/>
    <s v="***"/>
    <d v="2026-02-04T04:11:29"/>
    <n v="2"/>
    <x v="1"/>
    <d v="2026-02-03T20:11:29"/>
    <x v="1"/>
    <s v="Tuesday"/>
    <n v="20"/>
  </r>
  <r>
    <s v="1939a98a-6d6a-49b3-b420-4878e2b6436b"/>
    <s v="***"/>
    <d v="2026-02-04T05:09:38"/>
    <n v="2"/>
    <x v="1"/>
    <d v="2026-02-03T21:09:38"/>
    <x v="1"/>
    <s v="Tuesday"/>
    <n v="21"/>
  </r>
  <r>
    <s v="dc9fb551-4244-4289-9c66-903adafdb985"/>
    <s v="***"/>
    <d v="2026-02-04T05:41:10"/>
    <n v="433"/>
    <x v="5"/>
    <d v="2026-02-03T21:41:10"/>
    <x v="1"/>
    <s v="Tuesday"/>
    <n v="21"/>
  </r>
  <r>
    <s v="7fdc2afc-b80e-48ad-b481-ff8db9275dfb"/>
    <s v="***"/>
    <d v="2026-02-04T10:46:01"/>
    <n v="4"/>
    <x v="1"/>
    <d v="2026-02-04T02:46:01"/>
    <x v="2"/>
    <s v="Wednesday"/>
    <n v="2"/>
  </r>
  <r>
    <s v="ccb58226-692e-406d-afd8-74ff38ef6c4b"/>
    <s v="***"/>
    <d v="2026-02-04T10:49:33"/>
    <n v="36"/>
    <x v="11"/>
    <d v="2026-02-04T02:49:33"/>
    <x v="2"/>
    <s v="Wednesday"/>
    <n v="2"/>
  </r>
  <r>
    <s v="2379cd99-34d4-4728-be5c-32fd11e59c5d"/>
    <s v="***"/>
    <d v="2026-02-04T10:56:15"/>
    <n v="2"/>
    <x v="12"/>
    <d v="2026-02-04T02:56:15"/>
    <x v="2"/>
    <s v="Wednesday"/>
    <n v="2"/>
  </r>
  <r>
    <s v="3edfa2c2-35e6-4ac0-b998-057a12bec129"/>
    <s v="***"/>
    <d v="2026-02-04T10:56:37"/>
    <n v="2"/>
    <x v="1"/>
    <d v="2026-02-04T02:56:37"/>
    <x v="2"/>
    <s v="Wednesday"/>
    <n v="2"/>
  </r>
  <r>
    <s v="4ffb6bc8-5be9-4611-9c02-ac0b90f7afe0"/>
    <s v="***"/>
    <d v="2026-02-04T11:01:20"/>
    <n v="36"/>
    <x v="11"/>
    <d v="2026-02-04T03:01:20"/>
    <x v="2"/>
    <s v="Wednesday"/>
    <n v="3"/>
  </r>
  <r>
    <s v="627218db-85d6-4e76-80e3-5811175cf7fe"/>
    <s v="***"/>
    <d v="2026-02-04T11:01:48"/>
    <n v="632"/>
    <x v="1"/>
    <d v="2026-02-04T03:01:48"/>
    <x v="2"/>
    <s v="Wednesday"/>
    <n v="3"/>
  </r>
  <r>
    <s v="363500f6-57d3-4c1b-a02a-d79dacc56186"/>
    <s v="***"/>
    <d v="2026-02-04T11:06:31"/>
    <n v="2"/>
    <x v="1"/>
    <d v="2026-02-04T03:06:31"/>
    <x v="2"/>
    <s v="Wednesday"/>
    <n v="3"/>
  </r>
  <r>
    <s v="7f868bab-38b2-48bf-acd1-212dee39b35b"/>
    <s v="***"/>
    <d v="2026-02-04T11:07:57"/>
    <n v="2"/>
    <x v="1"/>
    <d v="2026-02-04T03:07:57"/>
    <x v="2"/>
    <s v="Wednesday"/>
    <n v="3"/>
  </r>
  <r>
    <s v="96490c3a-c171-4cea-9609-e042788c9919"/>
    <s v="***"/>
    <d v="2026-02-04T11:08:59"/>
    <n v="2"/>
    <x v="1"/>
    <d v="2026-02-04T03:08:59"/>
    <x v="2"/>
    <s v="Wednesday"/>
    <n v="3"/>
  </r>
  <r>
    <s v="8597b8a6-283e-4b18-be87-a64d1ca98cca"/>
    <s v="***"/>
    <d v="2026-02-04T11:09:00"/>
    <n v="2"/>
    <x v="1"/>
    <d v="2026-02-04T03:09:00"/>
    <x v="2"/>
    <s v="Wednesday"/>
    <n v="3"/>
  </r>
  <r>
    <s v="3945aeb2-144a-42c0-9962-e0ef0b33ceb3"/>
    <s v="***"/>
    <d v="2026-02-04T11:09:13"/>
    <n v="15"/>
    <x v="13"/>
    <d v="2026-02-04T03:09:13"/>
    <x v="2"/>
    <s v="Wednesday"/>
    <n v="3"/>
  </r>
  <r>
    <s v="bb924c8b-718d-4fc4-9396-084c5228247c"/>
    <s v="***"/>
    <d v="2026-02-04T11:11:11"/>
    <n v="632"/>
    <x v="14"/>
    <d v="2026-02-04T03:11:11"/>
    <x v="2"/>
    <s v="Wednesday"/>
    <n v="3"/>
  </r>
  <r>
    <s v="3e4d9052-1d63-4969-b5ac-9a37bd6d3a38"/>
    <s v="***"/>
    <d v="2026-02-04T11:16:08"/>
    <n v="1"/>
    <x v="15"/>
    <d v="2026-02-04T03:16:08"/>
    <x v="2"/>
    <s v="Wednesday"/>
    <n v="3"/>
  </r>
  <r>
    <s v="ba5c4c70-03fe-47ce-a135-69fedf63accb"/>
    <s v="***"/>
    <d v="2026-02-04T11:30:52"/>
    <n v="16"/>
    <x v="12"/>
    <d v="2026-02-04T03:30:52"/>
    <x v="2"/>
    <s v="Wednesday"/>
    <n v="3"/>
  </r>
  <r>
    <s v="9b1eaf93-3c5c-4f26-b995-d862d42c84a5"/>
    <s v="***"/>
    <d v="2026-02-04T11:55:50"/>
    <n v="13"/>
    <x v="16"/>
    <d v="2026-02-04T03:55:50"/>
    <x v="2"/>
    <s v="Wednesday"/>
    <n v="3"/>
  </r>
  <r>
    <s v="4e218b63-c477-4d1b-9a9e-39a5b788261d"/>
    <s v="***"/>
    <d v="2026-02-04T12:11:06"/>
    <n v="15"/>
    <x v="1"/>
    <d v="2026-02-04T04:11:06"/>
    <x v="2"/>
    <s v="Wednesday"/>
    <n v="4"/>
  </r>
  <r>
    <s v="f048e862-a0f9-4d33-a31f-596edfbffa9a"/>
    <s v="***"/>
    <d v="2026-02-04T13:12:10"/>
    <n v="2"/>
    <x v="17"/>
    <d v="2026-02-04T05:12:10"/>
    <x v="2"/>
    <s v="Wednesday"/>
    <n v="5"/>
  </r>
  <r>
    <s v="5cf67fab-730b-4c30-99cc-6d26d486b0e6"/>
    <s v="***"/>
    <d v="2026-02-04T13:16:16"/>
    <n v="40"/>
    <x v="1"/>
    <d v="2026-02-04T05:16:16"/>
    <x v="2"/>
    <s v="Wednesday"/>
    <n v="5"/>
  </r>
  <r>
    <s v="c762565d-a6b5-46ce-acb2-47204f23da6d"/>
    <s v="***"/>
    <d v="2026-02-04T13:35:44"/>
    <n v="433"/>
    <x v="5"/>
    <d v="2026-02-04T05:35:44"/>
    <x v="2"/>
    <s v="Wednesday"/>
    <n v="5"/>
  </r>
  <r>
    <s v="4f2961ac-35f4-4ed5-95ce-af034197df5f"/>
    <s v="***"/>
    <d v="2026-02-04T17:17:38"/>
    <n v="433"/>
    <x v="6"/>
    <d v="2026-02-04T09:17:38"/>
    <x v="2"/>
    <s v="Wednesday"/>
    <n v="9"/>
  </r>
  <r>
    <s v="8b4e354d-0b7a-4917-a858-30e83266468c"/>
    <s v="***"/>
    <d v="2026-02-04T23:25:02"/>
    <n v="4"/>
    <x v="1"/>
    <d v="2026-02-04T15:25:02"/>
    <x v="2"/>
    <s v="Wednesday"/>
    <n v="15"/>
  </r>
  <r>
    <s v="6531f058-0c71-4775-b1b9-47c4cd7f45eb"/>
    <s v="***"/>
    <d v="2026-02-05T08:44:00"/>
    <n v="2"/>
    <x v="1"/>
    <d v="2026-02-05T00:44:00"/>
    <x v="3"/>
    <s v="Thursday"/>
    <n v="0"/>
  </r>
  <r>
    <s v="8694d87f-fa91-427d-870e-610441a18269"/>
    <s v="***"/>
    <d v="2026-02-05T09:11:53"/>
    <n v="2"/>
    <x v="12"/>
    <d v="2026-02-05T01:11:53"/>
    <x v="3"/>
    <s v="Thursday"/>
    <n v="1"/>
  </r>
  <r>
    <s v="59d67eae-8941-4c68-b6ec-8f91e77d57ba"/>
    <s v="***"/>
    <d v="2026-02-05T09:14:57"/>
    <n v="15"/>
    <x v="1"/>
    <d v="2026-02-05T01:14:57"/>
    <x v="3"/>
    <s v="Thursday"/>
    <n v="1"/>
  </r>
  <r>
    <s v="edc9841d-989a-4bf6-add4-df2513654811"/>
    <s v="***"/>
    <d v="2026-02-05T10:43:46"/>
    <n v="433"/>
    <x v="1"/>
    <d v="2026-02-05T02:43:46"/>
    <x v="3"/>
    <s v="Thursday"/>
    <n v="2"/>
  </r>
  <r>
    <s v="9d1a3fad-93e7-4103-b22a-baede33ad3b7"/>
    <s v="***"/>
    <d v="2026-02-05T11:15:31"/>
    <n v="40"/>
    <x v="18"/>
    <d v="2026-02-05T03:15:31"/>
    <x v="3"/>
    <s v="Thursday"/>
    <n v="3"/>
  </r>
  <r>
    <s v="cb5051ff-a8c9-4c20-90fa-ac69abf6b5cd"/>
    <s v="***"/>
    <d v="2026-02-05T11:34:45"/>
    <n v="2"/>
    <x v="1"/>
    <d v="2026-02-05T03:34:45"/>
    <x v="3"/>
    <s v="Thursday"/>
    <n v="3"/>
  </r>
  <r>
    <s v="8e277e82-4f40-4404-afb7-cfb2cfe1a2c5"/>
    <s v="***"/>
    <d v="2026-02-05T11:38:32"/>
    <n v="36"/>
    <x v="10"/>
    <d v="2026-02-05T03:38:32"/>
    <x v="3"/>
    <s v="Thursday"/>
    <n v="3"/>
  </r>
  <r>
    <s v="98de8c1d-36ea-411f-bb96-d1063e7217be"/>
    <s v="***"/>
    <d v="2026-02-05T13:27:42"/>
    <n v="40"/>
    <x v="19"/>
    <d v="2026-02-05T05:27:42"/>
    <x v="3"/>
    <s v="Thursday"/>
    <n v="5"/>
  </r>
  <r>
    <s v="12fdc69b-f07a-49c1-9519-4fa18f5efb5a"/>
    <s v="***"/>
    <d v="2026-02-05T13:47:44"/>
    <n v="2"/>
    <x v="10"/>
    <d v="2026-02-05T05:47:44"/>
    <x v="3"/>
    <s v="Thursday"/>
    <n v="5"/>
  </r>
  <r>
    <s v="2d71d040-6a53-4514-9941-d99c95752073"/>
    <s v="***"/>
    <d v="2026-02-05T14:00:03"/>
    <n v="2"/>
    <x v="10"/>
    <d v="2026-02-05T06:00:03"/>
    <x v="3"/>
    <s v="Thursday"/>
    <n v="6"/>
  </r>
  <r>
    <s v="994c96fd-31ec-4fd4-b0e2-1f27f35fc022"/>
    <s v="***"/>
    <d v="2026-02-05T14:52:26"/>
    <n v="2"/>
    <x v="20"/>
    <d v="2026-02-05T06:52:26"/>
    <x v="3"/>
    <s v="Thursday"/>
    <n v="6"/>
  </r>
  <r>
    <s v="a2232f9e-2878-4149-9dfc-2bd429201c35"/>
    <s v="***"/>
    <d v="2026-02-05T15:49:11"/>
    <n v="3"/>
    <x v="1"/>
    <d v="2026-02-05T07:49:11"/>
    <x v="3"/>
    <s v="Thursday"/>
    <n v="7"/>
  </r>
  <r>
    <s v="b3cd08cd-7b8a-49c5-b4ad-9a8d41d31e18"/>
    <s v="***"/>
    <d v="2026-02-05T16:17:01"/>
    <n v="2"/>
    <x v="10"/>
    <d v="2026-02-05T08:17:01"/>
    <x v="3"/>
    <s v="Thursday"/>
    <n v="8"/>
  </r>
  <r>
    <s v="f26fbdda-72be-47c8-9a0a-39ec2e4ee08e"/>
    <s v="***"/>
    <d v="2026-02-05T20:18:05"/>
    <n v="2"/>
    <x v="21"/>
    <d v="2026-02-05T12:18:05"/>
    <x v="3"/>
    <s v="Thursday"/>
    <n v="12"/>
  </r>
  <r>
    <s v="cadb06f1-57a5-42f3-b8f6-b9f15ed5b98c"/>
    <s v="***"/>
    <d v="2026-02-05T21:15:38"/>
    <n v="1"/>
    <x v="1"/>
    <d v="2026-02-05T13:15:38"/>
    <x v="3"/>
    <s v="Thursday"/>
    <n v="13"/>
  </r>
  <r>
    <s v="854a827e-62dd-49a0-9d22-14ab71d28b38"/>
    <s v="***"/>
    <d v="2026-02-06T09:55:35"/>
    <n v="433"/>
    <x v="1"/>
    <d v="2026-02-06T01:55:35"/>
    <x v="4"/>
    <s v="Friday"/>
    <n v="1"/>
  </r>
  <r>
    <s v="ef2abbaa-ee16-4004-9527-59b9bf048eb4"/>
    <s v="***"/>
    <d v="2026-02-06T10:36:35"/>
    <n v="433"/>
    <x v="1"/>
    <d v="2026-02-06T02:36:35"/>
    <x v="4"/>
    <s v="Friday"/>
    <n v="2"/>
  </r>
  <r>
    <s v="7f6ed7cd-3489-40f4-a308-3efdc8890507"/>
    <s v="***"/>
    <d v="2026-02-06T12:18:56"/>
    <n v="433"/>
    <x v="5"/>
    <d v="2026-02-06T04:18:56"/>
    <x v="4"/>
    <s v="Friday"/>
    <n v="4"/>
  </r>
  <r>
    <s v="ad4694eb-1b7d-4f97-8acb-5a222b511e3f"/>
    <s v="***"/>
    <d v="2026-02-06T20:03:54"/>
    <n v="4"/>
    <x v="1"/>
    <d v="2026-02-06T12:03:54"/>
    <x v="4"/>
    <s v="Friday"/>
    <n v="12"/>
  </r>
  <r>
    <s v="d6d19a17-f65f-4993-b588-4ca15d1236d3"/>
    <s v="***"/>
    <d v="2026-02-07T17:35:52"/>
    <n v="2"/>
    <x v="22"/>
    <d v="2026-02-07T09:35:52"/>
    <x v="5"/>
    <s v="Saturday"/>
    <n v="9"/>
  </r>
  <r>
    <s v="aaa97eb4-bc95-4185-9f18-c18d963de985"/>
    <s v="***"/>
    <d v="2026-02-07T17:38:22"/>
    <n v="4"/>
    <x v="1"/>
    <d v="2026-02-07T09:38:22"/>
    <x v="5"/>
    <s v="Saturday"/>
    <n v="9"/>
  </r>
  <r>
    <s v="d5dafa1f-90e1-4e76-87e2-95b7ea6e1ba3"/>
    <s v="***"/>
    <d v="2026-02-07T22:32:19"/>
    <n v="1"/>
    <x v="1"/>
    <d v="2026-02-07T14:32:19"/>
    <x v="5"/>
    <s v="Saturday"/>
    <n v="14"/>
  </r>
  <r>
    <s v="b00d04e4-d82b-48ec-9e59-4645a220a0e3"/>
    <s v="***"/>
    <d v="2026-02-08T08:07:49"/>
    <n v="4"/>
    <x v="1"/>
    <d v="2026-02-08T00:07:49"/>
    <x v="6"/>
    <s v="Sunday"/>
    <n v="0"/>
  </r>
  <r>
    <s v="24642408-4cc6-4706-ae4f-30bac1d821f0"/>
    <s v="***"/>
    <d v="2026-02-08T09:54:18"/>
    <n v="2"/>
    <x v="1"/>
    <d v="2026-02-08T01:54:18"/>
    <x v="6"/>
    <s v="Sunday"/>
    <n v="1"/>
  </r>
  <r>
    <s v="44f3e7fd-0e6b-4101-a422-4400a723c050"/>
    <s v="***"/>
    <d v="2026-02-08T09:56:33"/>
    <n v="16"/>
    <x v="23"/>
    <d v="2026-02-08T01:56:33"/>
    <x v="6"/>
    <s v="Sunday"/>
    <n v="1"/>
  </r>
  <r>
    <s v="8a453448-e99c-4875-acf1-f6c679ae9943"/>
    <s v="***"/>
    <d v="2026-02-08T11:52:53"/>
    <n v="2"/>
    <x v="24"/>
    <d v="2026-02-08T03:52:53"/>
    <x v="6"/>
    <s v="Sunday"/>
    <n v="3"/>
  </r>
  <r>
    <s v="4f0081ce-1603-4d9f-bfb2-5e673d21f465"/>
    <s v="***"/>
    <d v="2026-02-08T14:16:29"/>
    <n v="433"/>
    <x v="5"/>
    <d v="2026-02-08T06:16:29"/>
    <x v="6"/>
    <s v="Sunday"/>
    <n v="6"/>
  </r>
  <r>
    <s v="8c60b3fa-a77a-498e-8f45-8e23f530dc68"/>
    <s v="***"/>
    <d v="2026-02-08T15:05:37"/>
    <n v="2"/>
    <x v="25"/>
    <d v="2026-02-08T07:05:37"/>
    <x v="6"/>
    <s v="Sunday"/>
    <n v="7"/>
  </r>
  <r>
    <s v="78f19fd3-6859-4876-8306-c9141fd46348"/>
    <s v="***"/>
    <d v="2026-02-08T15:05:41"/>
    <n v="4"/>
    <x v="1"/>
    <d v="2026-02-08T07:05:41"/>
    <x v="6"/>
    <s v="Sunday"/>
    <n v="7"/>
  </r>
  <r>
    <s v="c829fcce-c7c6-4978-87cf-44dd7b34c66b"/>
    <s v="***"/>
    <d v="2026-02-08T15:06:16"/>
    <n v="4"/>
    <x v="1"/>
    <d v="2026-02-08T07:06:16"/>
    <x v="6"/>
    <s v="Sunday"/>
    <n v="7"/>
  </r>
  <r>
    <s v="bfe23b44-7b51-47f9-9673-2c8ac73d4fb5"/>
    <s v="***"/>
    <d v="2026-02-08T15:27:59"/>
    <n v="2"/>
    <x v="26"/>
    <d v="2026-02-08T07:27:59"/>
    <x v="6"/>
    <s v="Sunday"/>
    <n v="7"/>
  </r>
  <r>
    <s v="c23daa34-5073-455e-8e3d-50341d9b827e"/>
    <s v="***"/>
    <d v="2026-02-08T15:52:58"/>
    <n v="2"/>
    <x v="27"/>
    <d v="2026-02-08T07:52:58"/>
    <x v="6"/>
    <s v="Sunday"/>
    <n v="7"/>
  </r>
  <r>
    <s v="f6c7e7bb-3c2b-4445-af02-e151ffe20812"/>
    <s v="***"/>
    <d v="2026-02-09T02:07:35"/>
    <n v="2"/>
    <x v="1"/>
    <d v="2026-02-08T18:07:35"/>
    <x v="6"/>
    <s v="Sunday"/>
    <n v="18"/>
  </r>
  <r>
    <s v="1a2d1002-93cd-4faa-b525-7a2ba2c29b40"/>
    <s v="***"/>
    <d v="2026-02-09T09:58:47"/>
    <n v="472"/>
    <x v="28"/>
    <d v="2026-02-09T01:58:47"/>
    <x v="7"/>
    <s v="Monday"/>
    <n v="1"/>
  </r>
  <r>
    <s v="b6a667e5-d27c-49bf-a99a-b174cfb9ed2a"/>
    <s v="***"/>
    <d v="2026-02-09T13:12:31"/>
    <n v="2"/>
    <x v="1"/>
    <d v="2026-02-09T05:12:31"/>
    <x v="7"/>
    <s v="Monday"/>
    <n v="5"/>
  </r>
  <r>
    <s v="386bd7c3-61df-46ec-b764-958cf9066d38"/>
    <s v="***"/>
    <d v="2026-02-09T13:20:35"/>
    <n v="2"/>
    <x v="1"/>
    <d v="2026-02-09T05:20:35"/>
    <x v="7"/>
    <s v="Monday"/>
    <n v="5"/>
  </r>
  <r>
    <s v="d64760d2-fd90-41eb-aa02-a019a556b6a6"/>
    <s v="***"/>
    <d v="2026-02-09T16:23:23"/>
    <n v="433"/>
    <x v="5"/>
    <d v="2026-02-09T08:23:23"/>
    <x v="7"/>
    <s v="Monday"/>
    <n v="8"/>
  </r>
  <r>
    <s v="c557c265-57f1-432a-b103-94025ff93d63"/>
    <s v="***"/>
    <d v="2026-02-09T16:32:04"/>
    <n v="2"/>
    <x v="1"/>
    <d v="2026-02-09T08:32:04"/>
    <x v="7"/>
    <s v="Monday"/>
    <n v="8"/>
  </r>
  <r>
    <s v="0a219137-167c-4516-8e6e-e241e7c9fd3a"/>
    <s v="***"/>
    <d v="2026-02-09T17:43:02"/>
    <n v="1"/>
    <x v="1"/>
    <d v="2026-02-09T09:43:02"/>
    <x v="7"/>
    <s v="Monday"/>
    <n v="9"/>
  </r>
  <r>
    <s v="a8515fb3-38db-44b8-bfd1-74ce50099f53"/>
    <s v="***"/>
    <d v="2026-02-09T18:06:00"/>
    <n v="433"/>
    <x v="29"/>
    <d v="2026-02-09T10:06:00"/>
    <x v="7"/>
    <s v="Monday"/>
    <n v="10"/>
  </r>
  <r>
    <s v="6b7d0e0b-69a8-43de-8a70-017966d04f84"/>
    <s v="***"/>
    <d v="2026-02-09T18:15:35"/>
    <n v="15"/>
    <x v="1"/>
    <d v="2026-02-09T10:15:35"/>
    <x v="7"/>
    <s v="Monday"/>
    <n v="10"/>
  </r>
  <r>
    <s v="c4755b4f-d7ab-4a46-a2ed-3c53cd8050b9"/>
    <s v="***"/>
    <d v="2026-02-10T02:26:05"/>
    <n v="1"/>
    <x v="10"/>
    <d v="2026-02-09T18:26:05"/>
    <x v="7"/>
    <s v="Monday"/>
    <n v="18"/>
  </r>
  <r>
    <s v="c70410b9-5c30-4581-9e65-77cd9dd8a196"/>
    <s v="***"/>
    <d v="2026-02-10T02:33:42"/>
    <n v="36"/>
    <x v="30"/>
    <d v="2026-02-09T18:33:42"/>
    <x v="7"/>
    <s v="Monday"/>
    <n v="18"/>
  </r>
  <r>
    <s v="499b10f0-6f13-4d8f-9f3a-6b6fd83324f1"/>
    <s v="***"/>
    <d v="2026-02-10T07:43:36"/>
    <n v="36"/>
    <x v="10"/>
    <d v="2026-02-09T23:43:36"/>
    <x v="7"/>
    <s v="Monday"/>
    <n v="23"/>
  </r>
  <r>
    <s v="97d6c1f0-4e07-4b3d-9a81-78699fe77c77"/>
    <s v="***"/>
    <d v="2026-02-10T08:10:48"/>
    <n v="36"/>
    <x v="10"/>
    <d v="2026-02-10T00:10:48"/>
    <x v="8"/>
    <s v="Tuesday"/>
    <n v="0"/>
  </r>
  <r>
    <s v="e69333f2-ebfd-427d-bb38-9892e4fb64fd"/>
    <s v="***"/>
    <d v="2026-02-10T08:39:23"/>
    <n v="2"/>
    <x v="1"/>
    <d v="2026-02-10T00:39:23"/>
    <x v="8"/>
    <s v="Tuesday"/>
    <n v="0"/>
  </r>
  <r>
    <s v="cdd3b4b1-ada9-4aed-bd58-99f5d5fb67e0"/>
    <s v="***"/>
    <d v="2026-02-10T09:01:03"/>
    <n v="36"/>
    <x v="10"/>
    <d v="2026-02-10T01:01:03"/>
    <x v="8"/>
    <s v="Tuesday"/>
    <n v="1"/>
  </r>
  <r>
    <s v="094e07b6-d424-4327-b6ca-b80161c49763"/>
    <s v="***"/>
    <d v="2026-02-10T09:01:41"/>
    <n v="2"/>
    <x v="1"/>
    <d v="2026-02-10T01:01:41"/>
    <x v="8"/>
    <s v="Tuesday"/>
    <n v="1"/>
  </r>
  <r>
    <s v="112acfa7-68ef-45df-8305-f1abc5ede09f"/>
    <s v="***"/>
    <d v="2026-02-10T09:25:36"/>
    <n v="2"/>
    <x v="1"/>
    <d v="2026-02-10T01:25:36"/>
    <x v="8"/>
    <s v="Tuesday"/>
    <n v="1"/>
  </r>
  <r>
    <s v="a5ce613d-b551-4ddc-920f-83e5ebcea1a0"/>
    <s v="***"/>
    <d v="2026-02-10T09:28:31"/>
    <n v="472"/>
    <x v="1"/>
    <d v="2026-02-10T01:28:31"/>
    <x v="8"/>
    <s v="Tuesday"/>
    <n v="1"/>
  </r>
  <r>
    <s v="2b224d76-8d59-4856-8b89-2f9984fc5a8a"/>
    <s v="***"/>
    <d v="2026-02-10T10:07:47"/>
    <n v="35"/>
    <x v="1"/>
    <d v="2026-02-10T02:07:47"/>
    <x v="8"/>
    <s v="Tuesday"/>
    <n v="2"/>
  </r>
  <r>
    <s v="51815b3f-b931-4938-adc2-49abd05e0284"/>
    <s v="***"/>
    <d v="2026-02-10T10:30:26"/>
    <n v="36"/>
    <x v="10"/>
    <d v="2026-02-10T02:30:26"/>
    <x v="8"/>
    <s v="Tuesday"/>
    <n v="2"/>
  </r>
  <r>
    <s v="abd30c8c-10af-4309-85a5-f2a5744fd433"/>
    <s v="***"/>
    <d v="2026-02-10T10:53:33"/>
    <n v="2"/>
    <x v="1"/>
    <d v="2026-02-10T02:53:33"/>
    <x v="8"/>
    <s v="Tuesday"/>
    <n v="2"/>
  </r>
  <r>
    <s v="91c6bd98-7d52-43f3-a9be-55d6fa98e9ee"/>
    <s v="***"/>
    <d v="2026-02-10T11:07:46"/>
    <n v="35"/>
    <x v="1"/>
    <d v="2026-02-10T03:07:46"/>
    <x v="8"/>
    <s v="Tuesday"/>
    <n v="3"/>
  </r>
  <r>
    <s v="a26414a3-3121-4408-a022-e4773a6b32e2"/>
    <s v="***"/>
    <d v="2026-02-10T13:41:13"/>
    <n v="2"/>
    <x v="31"/>
    <d v="2026-02-10T05:41:13"/>
    <x v="8"/>
    <s v="Tuesday"/>
    <n v="5"/>
  </r>
  <r>
    <s v="ac770a58-52ac-4a17-9dc6-945a692f128c"/>
    <s v="***"/>
    <d v="2026-02-10T13:42:27"/>
    <n v="2"/>
    <x v="1"/>
    <d v="2026-02-10T05:42:27"/>
    <x v="8"/>
    <s v="Tuesday"/>
    <n v="5"/>
  </r>
  <r>
    <s v="fd8e3b18-f0d7-40f0-be29-d77aa98674a7"/>
    <s v="***"/>
    <d v="2026-02-10T13:49:30"/>
    <n v="2"/>
    <x v="32"/>
    <d v="2026-02-10T05:49:30"/>
    <x v="8"/>
    <s v="Tuesday"/>
    <n v="5"/>
  </r>
  <r>
    <s v="67575880-00d3-4119-969d-e9731a811c39"/>
    <s v="***"/>
    <d v="2026-02-10T16:13:08"/>
    <n v="36"/>
    <x v="10"/>
    <d v="2026-02-10T08:13:08"/>
    <x v="8"/>
    <s v="Tuesday"/>
    <n v="8"/>
  </r>
  <r>
    <s v="1403f32d-a162-4814-b9b8-9c0abddf9f64"/>
    <s v="***"/>
    <d v="2026-02-10T16:39:47"/>
    <n v="2"/>
    <x v="1"/>
    <d v="2026-02-10T08:39:47"/>
    <x v="8"/>
    <s v="Tuesday"/>
    <n v="8"/>
  </r>
  <r>
    <s v="0d1a32d4-1f23-4d2a-9ab1-2249563164f8"/>
    <s v="***"/>
    <d v="2026-02-10T19:22:40"/>
    <n v="2"/>
    <x v="1"/>
    <d v="2026-02-10T11:22:40"/>
    <x v="8"/>
    <s v="Tuesday"/>
    <n v="11"/>
  </r>
  <r>
    <s v="419a64a5-5dce-44d3-a59e-50ed8514e21c"/>
    <s v="***"/>
    <d v="2026-02-11T04:02:29"/>
    <n v="1"/>
    <x v="1"/>
    <d v="2026-02-10T20:02:29"/>
    <x v="8"/>
    <s v="Tuesday"/>
    <n v="20"/>
  </r>
  <r>
    <s v="131df710-486c-4123-b1ca-f3e1d1fb8073"/>
    <s v="***"/>
    <d v="2026-02-11T04:08:59"/>
    <n v="4"/>
    <x v="4"/>
    <d v="2026-02-10T20:08:59"/>
    <x v="8"/>
    <s v="Tuesday"/>
    <n v="20"/>
  </r>
  <r>
    <s v="c74a9c4a-68c4-4ad5-956a-b57013cc8249"/>
    <s v="***"/>
    <d v="2026-02-11T04:24:18"/>
    <n v="2"/>
    <x v="33"/>
    <d v="2026-02-10T20:24:18"/>
    <x v="8"/>
    <s v="Tuesday"/>
    <n v="20"/>
  </r>
  <r>
    <s v="07ad3ade-619b-4e48-8b16-3bcb38855d6e"/>
    <s v="***"/>
    <d v="2026-02-11T06:33:32"/>
    <n v="1"/>
    <x v="1"/>
    <d v="2026-02-10T22:33:32"/>
    <x v="8"/>
    <s v="Tuesday"/>
    <n v="22"/>
  </r>
  <r>
    <s v="21dd9d49-aac6-4f65-8470-245da302bad1"/>
    <s v="***"/>
    <d v="2026-02-11T06:56:37"/>
    <n v="36"/>
    <x v="10"/>
    <d v="2026-02-10T22:56:37"/>
    <x v="8"/>
    <s v="Tuesday"/>
    <n v="22"/>
  </r>
  <r>
    <s v="903e01d1-ff8c-4fad-bfe3-737206f63d6f"/>
    <s v="***"/>
    <d v="2026-02-11T07:46:57"/>
    <n v="2"/>
    <x v="1"/>
    <d v="2026-02-10T23:46:57"/>
    <x v="8"/>
    <s v="Tuesday"/>
    <n v="23"/>
  </r>
  <r>
    <s v="bb33955a-d239-4c1c-8c9e-cf63c67c65ee"/>
    <s v="***"/>
    <d v="2026-02-11T08:45:31"/>
    <n v="2"/>
    <x v="1"/>
    <d v="2026-02-11T00:45:31"/>
    <x v="9"/>
    <s v="Wednesday"/>
    <n v="0"/>
  </r>
  <r>
    <s v="1d3fb24b-5f29-4a8d-a038-033d2507142a"/>
    <s v="***"/>
    <d v="2026-02-11T09:02:49"/>
    <n v="2"/>
    <x v="1"/>
    <d v="2026-02-11T01:02:49"/>
    <x v="9"/>
    <s v="Wednesday"/>
    <n v="1"/>
  </r>
  <r>
    <s v="2df13de8-9671-463f-acd9-4dddda45ee8b"/>
    <s v="***"/>
    <d v="2026-02-11T09:21:45"/>
    <n v="2"/>
    <x v="1"/>
    <d v="2026-02-11T01:21:45"/>
    <x v="9"/>
    <s v="Wednesday"/>
    <n v="1"/>
  </r>
  <r>
    <s v="8aee0f23-945e-4609-b8b5-190ed006983b"/>
    <s v="***"/>
    <d v="2026-02-11T14:14:47"/>
    <n v="2"/>
    <x v="1"/>
    <d v="2026-02-11T06:14:47"/>
    <x v="9"/>
    <s v="Wednesday"/>
    <n v="6"/>
  </r>
  <r>
    <s v="489220a1-14cb-4cbc-bda3-883fc325ed93"/>
    <s v="***"/>
    <d v="2026-02-11T15:42:27"/>
    <n v="1"/>
    <x v="1"/>
    <d v="2026-02-11T07:42:27"/>
    <x v="9"/>
    <s v="Wednesday"/>
    <n v="7"/>
  </r>
  <r>
    <s v="1af5fea3-91e1-4e69-82a8-93697a7f2e10"/>
    <s v="***"/>
    <d v="2026-02-11T15:54:31"/>
    <n v="2"/>
    <x v="1"/>
    <d v="2026-02-11T07:54:31"/>
    <x v="9"/>
    <s v="Wednesday"/>
    <n v="7"/>
  </r>
  <r>
    <s v="e872e01a-9f4b-4977-93af-42e13ef052a0"/>
    <s v="***"/>
    <d v="2026-02-11T15:59:29"/>
    <n v="2"/>
    <x v="1"/>
    <d v="2026-02-11T07:59:29"/>
    <x v="9"/>
    <s v="Wednesday"/>
    <n v="7"/>
  </r>
  <r>
    <s v="ab41ed28-aafb-4f1f-981b-aee3b15e8f3b"/>
    <s v="***"/>
    <d v="2026-02-11T16:00:16"/>
    <n v="2"/>
    <x v="1"/>
    <d v="2026-02-11T08:00:16"/>
    <x v="9"/>
    <s v="Wednesday"/>
    <n v="8"/>
  </r>
  <r>
    <s v="39834ab8-7fb4-42b0-9d36-f34f0241db99"/>
    <s v="***"/>
    <d v="2026-02-11T16:02:18"/>
    <n v="4"/>
    <x v="34"/>
    <d v="2026-02-11T08:02:18"/>
    <x v="9"/>
    <s v="Wednesday"/>
    <n v="8"/>
  </r>
  <r>
    <s v="3c6b5e8f-7f60-4aa8-a3d2-a96deecd8e6e"/>
    <s v="***"/>
    <d v="2026-02-11T16:06:34"/>
    <n v="2"/>
    <x v="35"/>
    <d v="2026-02-11T08:06:34"/>
    <x v="9"/>
    <s v="Wednesday"/>
    <n v="8"/>
  </r>
  <r>
    <s v="79c4294a-7bdc-471e-9b87-8095ad81e831"/>
    <s v="***"/>
    <d v="2026-02-11T16:12:38"/>
    <n v="36"/>
    <x v="1"/>
    <d v="2026-02-11T08:12:38"/>
    <x v="9"/>
    <s v="Wednesday"/>
    <n v="8"/>
  </r>
  <r>
    <s v="18d948c2-d408-4e27-ab6b-7a5e3f87d8ed"/>
    <s v="***"/>
    <d v="2026-02-11T16:26:56"/>
    <n v="16"/>
    <x v="10"/>
    <d v="2026-02-11T08:26:56"/>
    <x v="9"/>
    <s v="Wednesday"/>
    <n v="8"/>
  </r>
  <r>
    <s v="5734b094-518c-4910-b6fc-1aef5cfd9814"/>
    <s v="***"/>
    <d v="2026-02-11T16:39:32"/>
    <n v="4"/>
    <x v="1"/>
    <d v="2026-02-11T08:39:32"/>
    <x v="9"/>
    <s v="Wednesday"/>
    <n v="8"/>
  </r>
  <r>
    <s v="adb99cfe-ee8e-4176-800a-684e9d17b9ce"/>
    <s v="***"/>
    <d v="2026-02-11T17:14:50"/>
    <n v="15"/>
    <x v="35"/>
    <d v="2026-02-11T09:14:50"/>
    <x v="9"/>
    <s v="Wednesday"/>
    <n v="9"/>
  </r>
  <r>
    <s v="ce39a61d-f377-4cee-b8a2-49270d890a20"/>
    <s v="***"/>
    <d v="2026-02-11T17:28:31"/>
    <n v="36"/>
    <x v="1"/>
    <d v="2026-02-11T09:28:31"/>
    <x v="9"/>
    <s v="Wednesday"/>
    <n v="9"/>
  </r>
  <r>
    <s v="3cfd14a0-9680-480b-9189-f46a68bd972e"/>
    <s v="***"/>
    <d v="2026-02-11T18:03:08"/>
    <n v="15"/>
    <x v="35"/>
    <d v="2026-02-11T10:03:08"/>
    <x v="9"/>
    <s v="Wednesday"/>
    <n v="10"/>
  </r>
  <r>
    <s v="fc5d74f0-5673-4b5e-80c4-0457bb787e8c"/>
    <s v="***"/>
    <d v="2026-02-11T18:07:09"/>
    <n v="36"/>
    <x v="1"/>
    <d v="2026-02-11T10:07:09"/>
    <x v="9"/>
    <s v="Wednesday"/>
    <n v="10"/>
  </r>
  <r>
    <s v="40f784dc-7892-482e-8f0a-20beb5ce1b4b"/>
    <s v="***"/>
    <d v="2026-02-11T18:20:58"/>
    <n v="4"/>
    <x v="1"/>
    <d v="2026-02-11T10:20:58"/>
    <x v="9"/>
    <s v="Wednesday"/>
    <n v="10"/>
  </r>
  <r>
    <s v="9dad5442-afe1-42ef-a061-f64c5f2532ec"/>
    <s v="***"/>
    <d v="2026-02-11T18:21:43"/>
    <n v="4"/>
    <x v="1"/>
    <d v="2026-02-11T10:21:43"/>
    <x v="9"/>
    <s v="Wednesday"/>
    <n v="10"/>
  </r>
  <r>
    <s v="085d3ed4-a51c-418f-87fe-e6633d030e0a"/>
    <s v="***"/>
    <d v="2026-02-11T18:24:12"/>
    <n v="41"/>
    <x v="1"/>
    <d v="2026-02-11T10:24:12"/>
    <x v="9"/>
    <s v="Wednesday"/>
    <n v="10"/>
  </r>
  <r>
    <s v="fa632c09-1561-4a85-ba2d-3fbba72e9344"/>
    <s v="***"/>
    <d v="2026-02-11T18:30:48"/>
    <n v="2"/>
    <x v="1"/>
    <d v="2026-02-11T10:30:48"/>
    <x v="9"/>
    <s v="Wednesday"/>
    <n v="10"/>
  </r>
  <r>
    <s v="e8991415-a288-4c75-80d4-23d8cb81bf2a"/>
    <s v="***"/>
    <d v="2026-02-11T18:32:58"/>
    <n v="4"/>
    <x v="34"/>
    <d v="2026-02-11T10:32:58"/>
    <x v="9"/>
    <s v="Wednesday"/>
    <n v="10"/>
  </r>
  <r>
    <s v="ade6fd5e-1009-4670-936a-2ff30b32235a"/>
    <s v="***"/>
    <d v="2026-02-11T19:01:51"/>
    <n v="15"/>
    <x v="35"/>
    <d v="2026-02-11T11:01:51"/>
    <x v="9"/>
    <s v="Wednesday"/>
    <n v="11"/>
  </r>
  <r>
    <s v="1d22354e-a050-45b6-97fb-a87f7ed74b75"/>
    <s v="***"/>
    <d v="2026-02-11T19:07:24"/>
    <n v="36"/>
    <x v="1"/>
    <d v="2026-02-11T11:07:24"/>
    <x v="9"/>
    <s v="Wednesday"/>
    <n v="11"/>
  </r>
  <r>
    <s v="bfca62da-5d8d-4c29-844c-816c8474a0c4"/>
    <s v="***"/>
    <d v="2026-02-11T19:59:35"/>
    <n v="1"/>
    <x v="1"/>
    <d v="2026-02-11T11:59:35"/>
    <x v="9"/>
    <s v="Wednesday"/>
    <n v="11"/>
  </r>
  <r>
    <s v="aabc8c58-bf59-4e67-9aa9-6ee68f498363"/>
    <s v="***"/>
    <d v="2026-02-11T20:01:05"/>
    <n v="1"/>
    <x v="1"/>
    <d v="2026-02-11T12:01:05"/>
    <x v="9"/>
    <s v="Wednesday"/>
    <n v="12"/>
  </r>
  <r>
    <s v="7ab8e292-7dee-4502-9530-ea26f309b4f7"/>
    <s v="***"/>
    <d v="2026-02-11T20:16:44"/>
    <n v="40"/>
    <x v="1"/>
    <d v="2026-02-11T12:16:44"/>
    <x v="9"/>
    <s v="Wednesday"/>
    <n v="12"/>
  </r>
  <r>
    <s v="2bac7329-8df1-4cd5-a519-3653263402b4"/>
    <s v="***"/>
    <d v="2026-02-11T20:41:06"/>
    <n v="2"/>
    <x v="4"/>
    <d v="2026-02-11T12:41:06"/>
    <x v="9"/>
    <s v="Wednesday"/>
    <n v="12"/>
  </r>
  <r>
    <s v="9640a45a-aaf3-41ef-8dcc-eb3bfc3455a9"/>
    <s v="***"/>
    <d v="2026-02-11T21:03:42"/>
    <n v="15"/>
    <x v="35"/>
    <d v="2026-02-11T13:03:42"/>
    <x v="9"/>
    <s v="Wednesday"/>
    <n v="13"/>
  </r>
  <r>
    <s v="d73d6c08-ff85-48db-bb35-cdc5cf7cd92d"/>
    <s v="***"/>
    <d v="2026-02-11T22:02:24"/>
    <n v="36"/>
    <x v="1"/>
    <d v="2026-02-11T14:02:24"/>
    <x v="9"/>
    <s v="Wednesday"/>
    <n v="14"/>
  </r>
  <r>
    <s v="c5b3c241-4f69-4beb-9909-5c8a363a545d"/>
    <s v="***"/>
    <d v="2026-02-11T22:06:02"/>
    <n v="15"/>
    <x v="35"/>
    <d v="2026-02-11T14:06:02"/>
    <x v="9"/>
    <s v="Wednesday"/>
    <n v="14"/>
  </r>
  <r>
    <s v="27eac5b6-a188-4e10-bcb9-d8415a2b622c"/>
    <s v="***"/>
    <d v="2026-02-11T22:52:20"/>
    <n v="15"/>
    <x v="35"/>
    <d v="2026-02-11T14:52:20"/>
    <x v="9"/>
    <s v="Wednesday"/>
    <n v="14"/>
  </r>
  <r>
    <s v="ab199ad1-b867-4be2-88df-b7493c698003"/>
    <s v="***"/>
    <d v="2026-02-11T23:06:00"/>
    <n v="2"/>
    <x v="1"/>
    <d v="2026-02-11T15:06:00"/>
    <x v="9"/>
    <s v="Wednesday"/>
    <n v="15"/>
  </r>
  <r>
    <s v="16b8625e-7272-4b6d-8986-a8c246ca1227"/>
    <s v="***"/>
    <d v="2026-02-11T23:09:16"/>
    <n v="15"/>
    <x v="35"/>
    <d v="2026-02-11T15:09:16"/>
    <x v="9"/>
    <s v="Wednesday"/>
    <n v="15"/>
  </r>
  <r>
    <s v="820e257e-1353-4675-8733-5ea5aee1ac43"/>
    <s v="***"/>
    <d v="2026-02-11T23:42:46"/>
    <n v="2"/>
    <x v="1"/>
    <d v="2026-02-11T15:42:46"/>
    <x v="9"/>
    <s v="Wednesday"/>
    <n v="15"/>
  </r>
  <r>
    <s v="67056f0d-f811-4ff9-905d-78406e828e35"/>
    <s v="***"/>
    <d v="2026-02-12T00:22:33"/>
    <n v="2"/>
    <x v="1"/>
    <d v="2026-02-11T16:22:33"/>
    <x v="9"/>
    <s v="Wednesday"/>
    <n v="16"/>
  </r>
  <r>
    <s v="e677c12b-bf42-41e0-a0a9-a55a225948f5"/>
    <s v="***"/>
    <d v="2026-02-12T00:25:34"/>
    <n v="2"/>
    <x v="1"/>
    <d v="2026-02-11T16:25:34"/>
    <x v="9"/>
    <s v="Wednesday"/>
    <n v="16"/>
  </r>
  <r>
    <s v="f13ddd9e-ab1e-4b8c-937e-15a68c935682"/>
    <s v="***"/>
    <d v="2026-02-12T03:43:12"/>
    <n v="2"/>
    <x v="1"/>
    <d v="2026-02-11T19:43:12"/>
    <x v="9"/>
    <s v="Wednesday"/>
    <n v="19"/>
  </r>
  <r>
    <s v="b1206246-c480-4784-98e1-c11b5a129908"/>
    <s v="***"/>
    <d v="2026-02-12T07:50:34"/>
    <n v="2"/>
    <x v="1"/>
    <d v="2026-02-11T23:50:34"/>
    <x v="9"/>
    <s v="Wednesday"/>
    <n v="23"/>
  </r>
  <r>
    <s v="ecd564a3-95ca-4f3d-a707-0bf40118d463"/>
    <s v="***"/>
    <d v="2026-02-12T08:07:02"/>
    <n v="41"/>
    <x v="1"/>
    <d v="2026-02-12T00:07:02"/>
    <x v="10"/>
    <s v="Thursday"/>
    <n v="0"/>
  </r>
  <r>
    <s v="75cf9845-5bf2-42a7-a6c8-f510c6bab139"/>
    <s v="***"/>
    <d v="2026-02-12T08:37:57"/>
    <n v="36"/>
    <x v="1"/>
    <d v="2026-02-12T00:37:57"/>
    <x v="10"/>
    <s v="Thursday"/>
    <n v="0"/>
  </r>
  <r>
    <s v="ba81ff2f-d4c8-46b6-b795-5bf3d5224774"/>
    <s v="***"/>
    <d v="2026-02-12T08:47:58"/>
    <n v="2"/>
    <x v="17"/>
    <d v="2026-02-12T00:47:58"/>
    <x v="10"/>
    <s v="Thursday"/>
    <n v="0"/>
  </r>
  <r>
    <s v="8890f86e-405d-4ab8-a677-79c82a7e19d6"/>
    <s v="***"/>
    <d v="2026-02-12T09:36:03"/>
    <n v="36"/>
    <x v="1"/>
    <d v="2026-02-12T01:36:03"/>
    <x v="10"/>
    <s v="Thursday"/>
    <n v="1"/>
  </r>
  <r>
    <s v="aa103c02-de0b-4be9-a124-d5bfbf9d65fd"/>
    <s v="***"/>
    <d v="2026-02-12T10:07:40"/>
    <n v="36"/>
    <x v="1"/>
    <d v="2026-02-12T02:07:40"/>
    <x v="10"/>
    <s v="Thursday"/>
    <n v="2"/>
  </r>
  <r>
    <s v="d59e0868-6754-496a-b3c9-d5e30fecc1b5"/>
    <s v="***"/>
    <d v="2026-02-12T11:10:43"/>
    <n v="36"/>
    <x v="1"/>
    <d v="2026-02-12T03:10:43"/>
    <x v="10"/>
    <s v="Thursday"/>
    <n v="3"/>
  </r>
  <r>
    <s v="4d05238d-542b-43e8-8ef9-d63a053ccd59"/>
    <s v="***"/>
    <d v="2026-02-12T12:29:06"/>
    <n v="2"/>
    <x v="1"/>
    <d v="2026-02-12T04:29:06"/>
    <x v="10"/>
    <s v="Thursday"/>
    <n v="4"/>
  </r>
  <r>
    <s v="0e9c37f4-d1ad-427e-a9e0-d2783d5b331d"/>
    <s v="***"/>
    <d v="2026-02-12T14:42:07"/>
    <n v="2"/>
    <x v="4"/>
    <d v="2026-02-12T06:42:07"/>
    <x v="10"/>
    <s v="Thursday"/>
    <n v="6"/>
  </r>
  <r>
    <s v="50caa630-76eb-458d-9108-58db41ca0784"/>
    <s v="***"/>
    <d v="2026-02-12T17:54:54"/>
    <n v="4"/>
    <x v="1"/>
    <d v="2026-02-12T09:54:54"/>
    <x v="10"/>
    <s v="Thursday"/>
    <n v="9"/>
  </r>
  <r>
    <s v="2e0b0677-c546-415c-b357-8081475cbf2b"/>
    <s v="***"/>
    <d v="2026-02-12T18:12:02"/>
    <n v="4"/>
    <x v="1"/>
    <d v="2026-02-12T10:12:02"/>
    <x v="10"/>
    <s v="Thursday"/>
    <n v="10"/>
  </r>
  <r>
    <s v="38f0075a-ad79-4ba6-9692-3b4f2becc04c"/>
    <s v="***"/>
    <d v="2026-02-12T18:39:29"/>
    <n v="2"/>
    <x v="4"/>
    <d v="2026-02-12T10:39:29"/>
    <x v="10"/>
    <s v="Thursday"/>
    <n v="10"/>
  </r>
  <r>
    <s v="e69d07b7-892c-4b93-8750-a698f0d8e282"/>
    <s v="***"/>
    <d v="2026-02-12T21:02:14"/>
    <n v="15"/>
    <x v="4"/>
    <d v="2026-02-12T13:02:14"/>
    <x v="10"/>
    <s v="Thursday"/>
    <n v="13"/>
  </r>
  <r>
    <s v="08956c28-06c6-4d65-ae70-96cbf291c2ea"/>
    <s v="***"/>
    <d v="2026-02-12T21:35:47"/>
    <n v="2"/>
    <x v="12"/>
    <d v="2026-02-12T13:35:47"/>
    <x v="10"/>
    <s v="Thursday"/>
    <n v="13"/>
  </r>
  <r>
    <s v="e3b98b29-7611-4565-9628-e714000b9142"/>
    <s v="***"/>
    <d v="2026-02-12T23:44:44"/>
    <n v="15"/>
    <x v="4"/>
    <d v="2026-02-12T15:44:44"/>
    <x v="10"/>
    <s v="Thursday"/>
    <n v="15"/>
  </r>
  <r>
    <s v="b6898c98-eaf1-451b-b55a-91e34cc60330"/>
    <s v="***"/>
    <d v="2026-02-13T00:29:23"/>
    <n v="1"/>
    <x v="1"/>
    <d v="2026-02-12T16:29:23"/>
    <x v="10"/>
    <s v="Thursday"/>
    <n v="16"/>
  </r>
  <r>
    <s v="cc092532-dd9f-4948-9ccd-4d401340520d"/>
    <s v="***"/>
    <d v="2026-02-13T07:01:29"/>
    <n v="2"/>
    <x v="1"/>
    <d v="2026-02-12T23:01:29"/>
    <x v="10"/>
    <s v="Thursday"/>
    <n v="23"/>
  </r>
  <r>
    <s v="be6534a5-ad91-46a9-8c19-c6df1e3e42a5"/>
    <s v="***"/>
    <d v="2026-02-13T08:57:50"/>
    <n v="2"/>
    <x v="1"/>
    <d v="2026-02-13T00:57:50"/>
    <x v="11"/>
    <s v="Friday"/>
    <n v="0"/>
  </r>
  <r>
    <s v="7047ddcc-b57a-42cd-a49b-826965078d43"/>
    <s v="***"/>
    <d v="2026-02-13T09:49:54"/>
    <n v="2"/>
    <x v="1"/>
    <d v="2026-02-13T01:49:54"/>
    <x v="11"/>
    <s v="Friday"/>
    <n v="1"/>
  </r>
  <r>
    <s v="f2c6d936-e0d0-417c-bdc7-49dcbb11dbbe"/>
    <s v="***"/>
    <d v="2026-02-13T10:51:34"/>
    <n v="2"/>
    <x v="1"/>
    <d v="2026-02-13T02:51:34"/>
    <x v="11"/>
    <s v="Friday"/>
    <n v="2"/>
  </r>
  <r>
    <s v="0b8551a4-64a3-4497-bb25-91013215cb4b"/>
    <s v="***"/>
    <d v="2026-02-13T10:51:43"/>
    <n v="2"/>
    <x v="23"/>
    <d v="2026-02-13T02:51:43"/>
    <x v="11"/>
    <s v="Friday"/>
    <n v="2"/>
  </r>
  <r>
    <s v="932b09c3-194c-4f9f-800e-ffb50b259b44"/>
    <s v="***"/>
    <d v="2026-02-13T11:32:40"/>
    <n v="433"/>
    <x v="5"/>
    <d v="2026-02-13T03:32:40"/>
    <x v="11"/>
    <s v="Friday"/>
    <n v="3"/>
  </r>
  <r>
    <s v="a6b8a580-08dc-4bbb-a079-8438e412e86c"/>
    <s v="***"/>
    <d v="2026-02-13T14:02:23"/>
    <n v="433"/>
    <x v="6"/>
    <d v="2026-02-13T06:02:23"/>
    <x v="11"/>
    <s v="Friday"/>
    <n v="6"/>
  </r>
  <r>
    <s v="aff66478-70c7-49d1-9c17-05c435e71028"/>
    <s v="***"/>
    <d v="2026-02-13T15:00:58"/>
    <n v="2"/>
    <x v="36"/>
    <d v="2026-02-13T07:00:58"/>
    <x v="11"/>
    <s v="Friday"/>
    <n v="7"/>
  </r>
  <r>
    <s v="c9248bf8-088a-4df0-bd60-8aadb000c30d"/>
    <s v="***"/>
    <d v="2026-02-13T19:17:13"/>
    <n v="2"/>
    <x v="4"/>
    <d v="2026-02-13T11:17:13"/>
    <x v="11"/>
    <s v="Friday"/>
    <n v="11"/>
  </r>
  <r>
    <s v="6faed457-7135-4d7d-b71d-9a7983b38efc"/>
    <s v="***"/>
    <d v="2026-02-13T23:22:47"/>
    <n v="2"/>
    <x v="4"/>
    <d v="2026-02-13T15:22:47"/>
    <x v="11"/>
    <s v="Friday"/>
    <n v="15"/>
  </r>
  <r>
    <s v="538239ca-beab-48a4-93e9-7b8f5f387ff9"/>
    <s v="***"/>
    <d v="2026-02-14T01:36:54"/>
    <n v="1"/>
    <x v="1"/>
    <d v="2026-02-13T17:36:54"/>
    <x v="11"/>
    <s v="Friday"/>
    <n v="17"/>
  </r>
  <r>
    <s v="afb7ee48-9417-4c1e-ba29-75211df9d9e3"/>
    <s v="***"/>
    <d v="2026-02-14T02:01:59"/>
    <n v="624"/>
    <x v="1"/>
    <d v="2026-02-13T18:01:59"/>
    <x v="11"/>
    <s v="Friday"/>
    <n v="18"/>
  </r>
  <r>
    <s v="3701a21e-059d-4cdc-9df7-2431c2e1333d"/>
    <s v="***"/>
    <d v="2026-02-14T02:34:15"/>
    <n v="2"/>
    <x v="37"/>
    <d v="2026-02-13T18:34:15"/>
    <x v="11"/>
    <s v="Friday"/>
    <n v="18"/>
  </r>
  <r>
    <s v="5a096aa5-8d64-4354-b56f-ae518347f078"/>
    <s v="***"/>
    <d v="2026-02-14T17:25:05"/>
    <n v="2"/>
    <x v="1"/>
    <d v="2026-02-14T09:25:05"/>
    <x v="12"/>
    <s v="Saturday"/>
    <n v="9"/>
  </r>
  <r>
    <s v="04404521-e9d4-40d6-a43a-c1e17bed191a"/>
    <s v="***"/>
    <d v="2026-02-15T10:03:02"/>
    <n v="2"/>
    <x v="1"/>
    <d v="2026-02-15T02:03:02"/>
    <x v="13"/>
    <s v="Sunday"/>
    <n v="2"/>
  </r>
  <r>
    <s v="8a63ba27-f04a-4b9f-9e35-f4e49f39ecfe"/>
    <s v="***"/>
    <d v="2026-02-15T11:00:00"/>
    <n v="2"/>
    <x v="1"/>
    <d v="2026-02-15T03:00:00"/>
    <x v="13"/>
    <s v="Sunday"/>
    <n v="3"/>
  </r>
  <r>
    <s v="dc416fa5-5e4a-4a1a-9316-086b50edf265"/>
    <s v="***"/>
    <d v="2026-02-15T11:08:06"/>
    <n v="2"/>
    <x v="38"/>
    <d v="2026-02-15T03:08:06"/>
    <x v="13"/>
    <s v="Sunday"/>
    <n v="3"/>
  </r>
  <r>
    <s v="cd19d661-f303-43bf-9caa-4125116cad22"/>
    <s v="***"/>
    <d v="2026-02-15T12:17:29"/>
    <n v="2"/>
    <x v="1"/>
    <d v="2026-02-15T04:17:29"/>
    <x v="13"/>
    <s v="Sunday"/>
    <n v="4"/>
  </r>
  <r>
    <s v="5a4b3ea9-8c43-472a-ae55-60097a02ba29"/>
    <s v="***"/>
    <d v="2026-02-15T15:18:48"/>
    <n v="16"/>
    <x v="38"/>
    <d v="2026-02-15T07:18:48"/>
    <x v="13"/>
    <s v="Sunday"/>
    <n v="7"/>
  </r>
  <r>
    <s v="28e805e0-9b7f-4973-93fb-6e74aa32c214"/>
    <s v="***"/>
    <d v="2026-02-15T16:35:50"/>
    <n v="4"/>
    <x v="1"/>
    <d v="2026-02-15T08:35:50"/>
    <x v="13"/>
    <s v="Sunday"/>
    <n v="8"/>
  </r>
  <r>
    <s v="bf65ca27-8702-4fd6-a448-5f86fc95dbc6"/>
    <s v="***"/>
    <d v="2026-02-15T16:37:55"/>
    <n v="4"/>
    <x v="39"/>
    <d v="2026-02-15T08:37:55"/>
    <x v="13"/>
    <s v="Sunday"/>
    <n v="8"/>
  </r>
  <r>
    <s v="cada465d-42be-45a7-a140-8b53fe10d176"/>
    <s v="***"/>
    <d v="2026-02-15T16:41:04"/>
    <n v="2"/>
    <x v="1"/>
    <d v="2026-02-15T08:41:04"/>
    <x v="13"/>
    <s v="Sunday"/>
    <n v="8"/>
  </r>
  <r>
    <s v="2bccc751-2df7-44aa-9667-b40e167be7ea"/>
    <s v="***"/>
    <d v="2026-02-15T16:43:17"/>
    <n v="2"/>
    <x v="40"/>
    <d v="2026-02-15T08:43:17"/>
    <x v="13"/>
    <s v="Sunday"/>
    <n v="8"/>
  </r>
  <r>
    <s v="cf58ee23-d401-4986-ac59-2c9d43eb24aa"/>
    <s v="***"/>
    <d v="2026-02-15T16:44:38"/>
    <n v="2"/>
    <x v="1"/>
    <d v="2026-02-15T08:44:38"/>
    <x v="13"/>
    <s v="Sunday"/>
    <n v="8"/>
  </r>
  <r>
    <s v="d8b9fe53-84a1-4777-9fd7-b7640890f157"/>
    <s v="***"/>
    <d v="2026-02-15T17:03:55"/>
    <n v="15"/>
    <x v="1"/>
    <d v="2026-02-15T09:03:55"/>
    <x v="13"/>
    <s v="Sunday"/>
    <n v="9"/>
  </r>
  <r>
    <s v="90599499-a31c-4b6d-98ad-eb4e5f403514"/>
    <s v="***"/>
    <d v="2026-02-15T17:07:28"/>
    <n v="4"/>
    <x v="1"/>
    <d v="2026-02-15T09:07:28"/>
    <x v="13"/>
    <s v="Sunday"/>
    <n v="9"/>
  </r>
  <r>
    <s v="94a5edb2-10cf-46ad-bc77-0f091e1ccfa7"/>
    <s v="***"/>
    <d v="2026-02-15T17:10:12"/>
    <n v="15"/>
    <x v="1"/>
    <d v="2026-02-15T09:10:12"/>
    <x v="13"/>
    <s v="Sunday"/>
    <n v="9"/>
  </r>
  <r>
    <s v="ec1b2af9-e8d7-45c5-a4af-6794d212548e"/>
    <s v="***"/>
    <d v="2026-02-15T18:07:37"/>
    <n v="15"/>
    <x v="1"/>
    <d v="2026-02-15T10:07:37"/>
    <x v="13"/>
    <s v="Sunday"/>
    <n v="10"/>
  </r>
  <r>
    <s v="66b99978-69a6-485b-8a72-4b0f9e3aadc7"/>
    <s v="***"/>
    <d v="2026-02-15T18:08:28"/>
    <n v="4"/>
    <x v="41"/>
    <d v="2026-02-15T10:08:28"/>
    <x v="13"/>
    <s v="Sunday"/>
    <n v="10"/>
  </r>
  <r>
    <s v="74b624ba-bee1-44ef-9ad7-ccbaa187f141"/>
    <s v="***"/>
    <d v="2026-02-15T18:08:55"/>
    <n v="4"/>
    <x v="1"/>
    <d v="2026-02-15T10:08:55"/>
    <x v="13"/>
    <s v="Sunday"/>
    <n v="10"/>
  </r>
  <r>
    <s v="48660af1-b0f1-45f7-bff2-4017d31c3ac2"/>
    <s v="***"/>
    <d v="2026-02-15T18:14:38"/>
    <n v="15"/>
    <x v="1"/>
    <d v="2026-02-15T10:14:38"/>
    <x v="13"/>
    <s v="Sunday"/>
    <n v="10"/>
  </r>
  <r>
    <s v="ad844345-7442-4a4d-981d-b378aecdf16c"/>
    <s v="***"/>
    <d v="2026-02-15T18:17:25"/>
    <n v="2"/>
    <x v="1"/>
    <d v="2026-02-15T10:17:25"/>
    <x v="13"/>
    <s v="Sunday"/>
    <n v="10"/>
  </r>
  <r>
    <s v="3564b494-f6b7-4be5-a573-03c503bcbfdc"/>
    <s v="***"/>
    <d v="2026-02-15T18:18:42"/>
    <n v="2"/>
    <x v="1"/>
    <d v="2026-02-15T10:18:42"/>
    <x v="13"/>
    <s v="Sunday"/>
    <n v="10"/>
  </r>
  <r>
    <s v="68808b54-d1d0-4d7c-9071-e6c34b958d68"/>
    <s v="***"/>
    <d v="2026-02-15T18:19:52"/>
    <n v="16"/>
    <x v="10"/>
    <d v="2026-02-15T10:19:52"/>
    <x v="13"/>
    <s v="Sunday"/>
    <n v="10"/>
  </r>
  <r>
    <s v="82048200-ed27-401c-b034-41e94eceb551"/>
    <s v="***"/>
    <d v="2026-02-15T20:05:34"/>
    <n v="433"/>
    <x v="5"/>
    <d v="2026-02-15T12:05:34"/>
    <x v="13"/>
    <s v="Sunday"/>
    <n v="12"/>
  </r>
  <r>
    <s v="6f8e30f2-b7c6-49ac-843d-730361892ad9"/>
    <s v="***"/>
    <d v="2026-02-15T20:27:58"/>
    <n v="433"/>
    <x v="5"/>
    <d v="2026-02-15T12:27:58"/>
    <x v="13"/>
    <s v="Sunday"/>
    <n v="12"/>
  </r>
  <r>
    <s v="3b13c660-8532-4dac-b8ab-c9c604bd148f"/>
    <s v="***"/>
    <d v="2026-02-15T20:53:51"/>
    <n v="433"/>
    <x v="5"/>
    <d v="2026-02-15T12:53:51"/>
    <x v="13"/>
    <s v="Sunday"/>
    <n v="12"/>
  </r>
  <r>
    <s v="513186e2-64ad-4df4-a974-51e00f78bd27"/>
    <s v="***"/>
    <d v="2026-02-15T22:30:33"/>
    <n v="433"/>
    <x v="5"/>
    <d v="2026-02-15T14:30:33"/>
    <x v="13"/>
    <s v="Sunday"/>
    <n v="14"/>
  </r>
  <r>
    <s v="ebcc558a-ca88-410d-afcc-e50c087076d7"/>
    <s v="***"/>
    <d v="2026-02-15T23:07:07"/>
    <n v="433"/>
    <x v="5"/>
    <d v="2026-02-15T15:07:07"/>
    <x v="13"/>
    <s v="Sunday"/>
    <n v="15"/>
  </r>
  <r>
    <s v="c30ea86f-4ee3-4d51-bb92-ed66f052600f"/>
    <s v="***"/>
    <d v="2026-02-16T11:07:06"/>
    <n v="4"/>
    <x v="2"/>
    <d v="2026-02-16T03:07:06"/>
    <x v="14"/>
    <s v="Monday"/>
    <n v="3"/>
  </r>
  <r>
    <s v="c3e598c1-8f8c-4f40-a1aa-efc53bf47568"/>
    <s v="***"/>
    <d v="2026-02-16T12:56:08"/>
    <n v="2"/>
    <x v="42"/>
    <d v="2026-02-16T04:56:08"/>
    <x v="14"/>
    <s v="Monday"/>
    <n v="4"/>
  </r>
  <r>
    <s v="4bce73e6-f502-42b7-ba5b-85b8b4c910d9"/>
    <s v="***"/>
    <d v="2026-02-16T19:42:38"/>
    <n v="433"/>
    <x v="5"/>
    <d v="2026-02-16T11:42:38"/>
    <x v="14"/>
    <s v="Monday"/>
    <n v="11"/>
  </r>
  <r>
    <s v="db15bbe2-e6dd-462f-a490-82d4f92beeef"/>
    <s v="***"/>
    <d v="2026-02-16T20:15:59"/>
    <n v="433"/>
    <x v="5"/>
    <d v="2026-02-16T12:15:59"/>
    <x v="14"/>
    <s v="Monday"/>
    <n v="12"/>
  </r>
  <r>
    <s v="cc0fef7d-dc19-46fc-a8f4-f9c77c0580f6"/>
    <s v="***"/>
    <d v="2026-02-16T20:50:58"/>
    <n v="2"/>
    <x v="1"/>
    <d v="2026-02-16T12:50:58"/>
    <x v="14"/>
    <s v="Monday"/>
    <n v="12"/>
  </r>
  <r>
    <s v="1818a9df-e50a-4efe-b2e4-0401e844df27"/>
    <s v="***"/>
    <d v="2026-02-16T21:32:48"/>
    <n v="2"/>
    <x v="1"/>
    <d v="2026-02-16T13:32:48"/>
    <x v="14"/>
    <s v="Monday"/>
    <n v="13"/>
  </r>
  <r>
    <s v="3ac211fe-2ca7-46ed-af0c-2d7adc20bccd"/>
    <s v="***"/>
    <d v="2026-02-16T22:12:03"/>
    <n v="2"/>
    <x v="1"/>
    <d v="2026-02-16T14:12:03"/>
    <x v="14"/>
    <s v="Monday"/>
    <n v="14"/>
  </r>
  <r>
    <s v="d4032357-2797-4043-a4c4-78d70ade24c9"/>
    <s v="***"/>
    <d v="2026-02-17T00:17:43"/>
    <n v="15"/>
    <x v="1"/>
    <d v="2026-02-16T16:17:43"/>
    <x v="14"/>
    <s v="Monday"/>
    <n v="16"/>
  </r>
  <r>
    <s v="39ce872b-2025-470f-a8f1-f774a67f0bd3"/>
    <s v="***"/>
    <d v="2026-02-17T00:36:20"/>
    <n v="2"/>
    <x v="17"/>
    <d v="2026-02-16T16:36:20"/>
    <x v="14"/>
    <s v="Monday"/>
    <n v="16"/>
  </r>
  <r>
    <s v="e8f7d8b7-5cab-434d-baae-202d3884e7bd"/>
    <s v="***"/>
    <d v="2026-02-17T09:00:51"/>
    <n v="1"/>
    <x v="43"/>
    <d v="2026-02-17T01:00:51"/>
    <x v="15"/>
    <s v="Tuesday"/>
    <n v="1"/>
  </r>
  <r>
    <s v="27c26f0e-9343-4a9d-9eda-42393ab7107e"/>
    <s v="***"/>
    <d v="2026-02-17T09:07:13"/>
    <n v="433"/>
    <x v="6"/>
    <d v="2026-02-17T01:07:13"/>
    <x v="15"/>
    <s v="Tuesday"/>
    <n v="1"/>
  </r>
  <r>
    <s v="90aad054-a340-429f-8d76-891e2d34f247"/>
    <s v="***"/>
    <d v="2026-02-17T10:10:15"/>
    <n v="35"/>
    <x v="1"/>
    <d v="2026-02-17T02:10:15"/>
    <x v="15"/>
    <s v="Tuesday"/>
    <n v="2"/>
  </r>
  <r>
    <s v="6b81b4bd-1715-4a36-95ac-9d586a957cc6"/>
    <s v="***"/>
    <d v="2026-02-17T11:04:07"/>
    <n v="433"/>
    <x v="6"/>
    <d v="2026-02-17T03:04:07"/>
    <x v="15"/>
    <s v="Tuesday"/>
    <n v="3"/>
  </r>
  <r>
    <s v="9e230dcd-5630-4d89-8f8e-c214f88e32db"/>
    <s v="***"/>
    <d v="2026-02-17T11:35:02"/>
    <n v="35"/>
    <x v="31"/>
    <d v="2026-02-17T03:35:02"/>
    <x v="15"/>
    <s v="Tuesday"/>
    <n v="3"/>
  </r>
  <r>
    <s v="193165e9-bfc4-457e-8413-dfebfae7135f"/>
    <s v="***"/>
    <d v="2026-02-17T15:09:38"/>
    <n v="35"/>
    <x v="31"/>
    <d v="2026-02-17T07:09:38"/>
    <x v="15"/>
    <s v="Tuesday"/>
    <n v="7"/>
  </r>
  <r>
    <s v="6a9bf4a8-3690-49c5-8bfd-b2a0ff3ad660"/>
    <s v="***"/>
    <d v="2026-02-17T15:36:40"/>
    <n v="2"/>
    <x v="30"/>
    <d v="2026-02-17T07:36:40"/>
    <x v="15"/>
    <s v="Tuesday"/>
    <n v="7"/>
  </r>
  <r>
    <s v="42110787-93ef-48dc-9559-d6dba0848660"/>
    <s v="***"/>
    <d v="2026-02-17T15:55:06"/>
    <n v="2"/>
    <x v="30"/>
    <d v="2026-02-17T07:55:06"/>
    <x v="15"/>
    <s v="Tuesday"/>
    <n v="7"/>
  </r>
  <r>
    <s v="38614d9e-5918-4147-9313-62dec29e6592"/>
    <s v="***"/>
    <d v="2026-02-17T16:17:25"/>
    <n v="2"/>
    <x v="1"/>
    <d v="2026-02-17T08:17:25"/>
    <x v="15"/>
    <s v="Tuesday"/>
    <n v="8"/>
  </r>
  <r>
    <s v="33d4630b-fa5d-4908-8ec0-ce1844994f36"/>
    <s v="***"/>
    <d v="2026-02-17T23:04:38"/>
    <n v="2"/>
    <x v="1"/>
    <d v="2026-02-17T15:04:38"/>
    <x v="15"/>
    <s v="Tuesday"/>
    <n v="15"/>
  </r>
  <r>
    <s v="855e6159-a9f0-4697-9e79-d7c2048dc7b7"/>
    <s v="***"/>
    <d v="2026-02-17T23:58:12"/>
    <n v="4"/>
    <x v="44"/>
    <d v="2026-02-17T15:58:12"/>
    <x v="15"/>
    <s v="Tuesday"/>
    <n v="15"/>
  </r>
  <r>
    <s v="1d00b180-bedb-4ed6-b308-619e0effcfe7"/>
    <s v="***"/>
    <d v="2026-02-18T07:42:54"/>
    <n v="35"/>
    <x v="31"/>
    <d v="2026-02-17T23:42:54"/>
    <x v="15"/>
    <s v="Tuesday"/>
    <n v="23"/>
  </r>
  <r>
    <s v="55f81abc-89fb-490e-931d-95c7f45f4ed2"/>
    <s v="***"/>
    <d v="2026-02-18T07:47:25"/>
    <n v="2"/>
    <x v="1"/>
    <d v="2026-02-17T23:47:25"/>
    <x v="15"/>
    <s v="Tuesday"/>
    <n v="23"/>
  </r>
  <r>
    <s v="c7ce8e42-d0eb-4462-a894-32410386b691"/>
    <s v="***"/>
    <d v="2026-02-18T08:12:13"/>
    <n v="2"/>
    <x v="45"/>
    <d v="2026-02-18T00:12:13"/>
    <x v="16"/>
    <s v="Wednesday"/>
    <n v="0"/>
  </r>
  <r>
    <s v="15a331ca-2e8c-43ab-a7a3-14159d18df82"/>
    <s v="***"/>
    <d v="2026-02-18T10:39:57"/>
    <n v="433"/>
    <x v="6"/>
    <d v="2026-02-18T02:39:57"/>
    <x v="16"/>
    <s v="Wednesday"/>
    <n v="2"/>
  </r>
  <r>
    <s v="5a79eb02-b921-41a9-bdaf-12b219b41e3a"/>
    <s v="***"/>
    <d v="2026-02-18T10:52:57"/>
    <n v="2"/>
    <x v="10"/>
    <d v="2026-02-18T02:52:57"/>
    <x v="16"/>
    <s v="Wednesday"/>
    <n v="2"/>
  </r>
  <r>
    <s v="3e7db4cc-10c1-4672-8dd1-6c0f5eedddac"/>
    <s v="***"/>
    <d v="2026-02-18T11:16:58"/>
    <n v="36"/>
    <x v="1"/>
    <d v="2026-02-18T03:16:58"/>
    <x v="16"/>
    <s v="Wednesday"/>
    <n v="3"/>
  </r>
  <r>
    <s v="b31cd7d5-4dec-4f38-89fb-3c8ff68e2440"/>
    <s v="***"/>
    <d v="2026-02-18T11:20:35"/>
    <n v="2"/>
    <x v="1"/>
    <d v="2026-02-18T03:20:35"/>
    <x v="16"/>
    <s v="Wednesday"/>
    <n v="3"/>
  </r>
  <r>
    <s v="766b4ab7-9dd8-442e-a395-5a39f58f0322"/>
    <s v="***"/>
    <d v="2026-02-18T11:25:55"/>
    <n v="2"/>
    <x v="1"/>
    <d v="2026-02-18T03:25:55"/>
    <x v="16"/>
    <s v="Wednesday"/>
    <n v="3"/>
  </r>
  <r>
    <s v="724b8850-f9e1-46db-a6d0-b4b18a0638d3"/>
    <s v="***"/>
    <d v="2026-02-18T11:38:51"/>
    <n v="35"/>
    <x v="31"/>
    <d v="2026-02-18T03:38:51"/>
    <x v="16"/>
    <s v="Wednesday"/>
    <n v="3"/>
  </r>
  <r>
    <s v="cc4bd5d7-002f-4d2d-92e7-0627f3886a92"/>
    <s v="***"/>
    <d v="2026-02-18T12:16:06"/>
    <n v="433"/>
    <x v="6"/>
    <d v="2026-02-18T04:16:06"/>
    <x v="16"/>
    <s v="Wednesday"/>
    <n v="4"/>
  </r>
  <r>
    <s v="988ea01a-3a0e-4c14-b96a-47b0204e6b69"/>
    <s v="***"/>
    <d v="2026-02-18T12:33:07"/>
    <n v="2"/>
    <x v="1"/>
    <d v="2026-02-18T04:33:07"/>
    <x v="16"/>
    <s v="Wednesday"/>
    <n v="4"/>
  </r>
  <r>
    <s v="de164699-4421-4d7b-86ac-6dfefe5efbe7"/>
    <s v="***"/>
    <d v="2026-02-18T12:50:18"/>
    <n v="15"/>
    <x v="1"/>
    <d v="2026-02-18T04:50:18"/>
    <x v="16"/>
    <s v="Wednesday"/>
    <n v="4"/>
  </r>
  <r>
    <s v="029f29e3-2cd8-4dd6-b039-a4c7cdf36e5c"/>
    <s v="***"/>
    <d v="2026-02-18T13:30:09"/>
    <n v="2"/>
    <x v="1"/>
    <d v="2026-02-18T05:30:09"/>
    <x v="16"/>
    <s v="Wednesday"/>
    <n v="5"/>
  </r>
  <r>
    <s v="10c54244-84c9-43c0-9639-e65eca4be648"/>
    <s v="***"/>
    <d v="2026-02-18T13:45:43"/>
    <n v="36"/>
    <x v="1"/>
    <d v="2026-02-18T05:45:43"/>
    <x v="16"/>
    <s v="Wednesday"/>
    <n v="5"/>
  </r>
  <r>
    <s v="c6364f96-f341-4b46-b0d9-8ebbad7bf491"/>
    <s v="***"/>
    <d v="2026-02-18T14:03:18"/>
    <n v="433"/>
    <x v="6"/>
    <d v="2026-02-18T06:03:18"/>
    <x v="16"/>
    <s v="Wednesday"/>
    <n v="6"/>
  </r>
  <r>
    <s v="480105a9-c324-477f-bafa-8acecc0ec9cc"/>
    <s v="***"/>
    <d v="2026-02-18T14:09:29"/>
    <n v="36"/>
    <x v="1"/>
    <d v="2026-02-18T06:09:29"/>
    <x v="16"/>
    <s v="Wednesday"/>
    <n v="6"/>
  </r>
  <r>
    <s v="32775e77-58d6-4d48-a2d6-308aac1abe41"/>
    <s v="***"/>
    <d v="2026-02-18T14:21:19"/>
    <n v="35"/>
    <x v="1"/>
    <d v="2026-02-18T06:21:19"/>
    <x v="16"/>
    <s v="Wednesday"/>
    <n v="6"/>
  </r>
  <r>
    <s v="8ea9aabb-6bdc-4007-ad72-1bca6322e819"/>
    <s v="***"/>
    <d v="2026-02-18T15:02:10"/>
    <n v="35"/>
    <x v="1"/>
    <d v="2026-02-18T07:02:10"/>
    <x v="16"/>
    <s v="Wednesday"/>
    <n v="7"/>
  </r>
  <r>
    <s v="ced4ef0a-7ca3-4935-9dd0-7562f1a10882"/>
    <s v="***"/>
    <d v="2026-02-18T16:50:45"/>
    <n v="36"/>
    <x v="1"/>
    <d v="2026-02-18T08:50:45"/>
    <x v="16"/>
    <s v="Wednesday"/>
    <n v="8"/>
  </r>
  <r>
    <s v="13acf123-b426-4a2c-b732-9c6d94c79ed8"/>
    <s v="***"/>
    <d v="2026-02-18T17:01:22"/>
    <n v="15"/>
    <x v="46"/>
    <d v="2026-02-18T09:01:22"/>
    <x v="16"/>
    <s v="Wednesday"/>
    <n v="9"/>
  </r>
  <r>
    <s v="3e11a1e1-e939-4bc6-84d1-cbdbba19fed7"/>
    <s v="***"/>
    <d v="2026-02-19T01:03:19"/>
    <n v="1"/>
    <x v="47"/>
    <d v="2026-02-18T17:03:19"/>
    <x v="16"/>
    <s v="Wednesday"/>
    <n v="17"/>
  </r>
  <r>
    <s v="130965f1-2439-4b91-bfd6-7bdc02b2632c"/>
    <s v="***"/>
    <d v="2026-02-19T01:50:23"/>
    <n v="1"/>
    <x v="47"/>
    <d v="2026-02-18T17:50:23"/>
    <x v="16"/>
    <s v="Wednesday"/>
    <n v="17"/>
  </r>
  <r>
    <s v="1098bda8-64eb-4f74-bf1a-aae1b137389d"/>
    <s v="***"/>
    <d v="2026-02-19T02:03:50"/>
    <n v="1"/>
    <x v="47"/>
    <d v="2026-02-18T18:03:50"/>
    <x v="16"/>
    <s v="Wednesday"/>
    <n v="18"/>
  </r>
  <r>
    <s v="8dc90e60-dfd2-4bbf-be23-da36bd90d832"/>
    <s v="***"/>
    <d v="2026-02-19T03:12:44"/>
    <n v="1"/>
    <x v="47"/>
    <d v="2026-02-18T19:12:44"/>
    <x v="16"/>
    <s v="Wednesday"/>
    <n v="19"/>
  </r>
  <r>
    <s v="27792696-9227-406d-96fd-508c8f17cc68"/>
    <s v="***"/>
    <d v="2026-02-19T11:12:28"/>
    <n v="36"/>
    <x v="1"/>
    <d v="2026-02-19T03:12:28"/>
    <x v="17"/>
    <s v="Thursday"/>
    <n v="3"/>
  </r>
  <r>
    <s v="1562ad86-6225-40b0-89bd-fe20fe852238"/>
    <s v="***"/>
    <d v="2026-02-19T11:56:42"/>
    <n v="2"/>
    <x v="1"/>
    <d v="2026-02-19T03:56:42"/>
    <x v="17"/>
    <s v="Thursday"/>
    <n v="3"/>
  </r>
  <r>
    <s v="d77893bc-8123-4976-a54e-a515753300ef"/>
    <s v="***"/>
    <d v="2026-02-19T12:31:03"/>
    <n v="1"/>
    <x v="1"/>
    <d v="2026-02-19T04:31:03"/>
    <x v="17"/>
    <s v="Thursday"/>
    <n v="4"/>
  </r>
  <r>
    <s v="e01cde5a-be47-40bf-bed6-11830826b598"/>
    <s v="***"/>
    <d v="2026-02-19T12:53:42"/>
    <n v="15"/>
    <x v="1"/>
    <d v="2026-02-19T04:53:42"/>
    <x v="17"/>
    <s v="Thursday"/>
    <n v="4"/>
  </r>
  <r>
    <s v="152754d3-2d41-4d38-9b69-d248b73c5f2b"/>
    <s v="***"/>
    <d v="2026-02-19T13:02:16"/>
    <n v="1"/>
    <x v="1"/>
    <d v="2026-02-19T05:02:16"/>
    <x v="17"/>
    <s v="Thursday"/>
    <n v="5"/>
  </r>
  <r>
    <s v="4cb2cb53-2d91-4dfc-8bf8-56242ae0c749"/>
    <s v="***"/>
    <d v="2026-02-19T13:02:24"/>
    <n v="15"/>
    <x v="1"/>
    <d v="2026-02-19T05:02:24"/>
    <x v="17"/>
    <s v="Thursday"/>
    <n v="5"/>
  </r>
  <r>
    <s v="70e726bc-bf70-4809-bac8-a5bc7d543865"/>
    <s v="***"/>
    <d v="2026-02-19T13:03:29"/>
    <n v="41"/>
    <x v="1"/>
    <d v="2026-02-19T05:03:29"/>
    <x v="17"/>
    <s v="Thursday"/>
    <n v="5"/>
  </r>
  <r>
    <s v="e12bcb74-722d-4bc0-a809-78788e9f00fb"/>
    <s v="***"/>
    <d v="2026-02-19T13:07:45"/>
    <n v="3"/>
    <x v="48"/>
    <d v="2026-02-19T05:07:45"/>
    <x v="17"/>
    <s v="Thursday"/>
    <n v="5"/>
  </r>
  <r>
    <s v="1921ef51-4d6e-452b-89e7-f4dcfac384db"/>
    <s v="***"/>
    <d v="2026-02-19T13:10:13"/>
    <n v="1"/>
    <x v="1"/>
    <d v="2026-02-19T05:10:13"/>
    <x v="17"/>
    <s v="Thursday"/>
    <n v="5"/>
  </r>
  <r>
    <s v="c93860f1-94ab-4459-a8fc-aa3acddf673d"/>
    <s v="***"/>
    <d v="2026-02-19T13:25:34"/>
    <n v="15"/>
    <x v="1"/>
    <d v="2026-02-19T05:25:34"/>
    <x v="17"/>
    <s v="Thursday"/>
    <n v="5"/>
  </r>
  <r>
    <s v="6cae09f7-38bf-40fc-a60c-935e82917d2c"/>
    <s v="***"/>
    <d v="2026-02-19T13:32:13"/>
    <n v="2"/>
    <x v="1"/>
    <d v="2026-02-19T05:32:13"/>
    <x v="17"/>
    <s v="Thursday"/>
    <n v="5"/>
  </r>
  <r>
    <s v="d485c884-0cb6-418c-8e14-380594781989"/>
    <s v="***"/>
    <d v="2026-02-19T13:36:31"/>
    <n v="2"/>
    <x v="1"/>
    <d v="2026-02-19T05:36:31"/>
    <x v="17"/>
    <s v="Thursday"/>
    <n v="5"/>
  </r>
  <r>
    <s v="1ff1187a-e75d-4018-9cc5-1868e52417fb"/>
    <s v="***"/>
    <d v="2026-02-19T13:58:28"/>
    <n v="433"/>
    <x v="6"/>
    <d v="2026-02-19T05:58:28"/>
    <x v="17"/>
    <s v="Thursday"/>
    <n v="5"/>
  </r>
  <r>
    <s v="30565961-e8a8-448d-a764-0957a60a99a6"/>
    <s v="***"/>
    <d v="2026-02-19T14:10:33"/>
    <n v="2"/>
    <x v="1"/>
    <d v="2026-02-19T06:10:33"/>
    <x v="17"/>
    <s v="Thursday"/>
    <n v="6"/>
  </r>
  <r>
    <s v="01f6ceb5-1473-4f9a-a9ab-c6967a9c486a"/>
    <s v="***"/>
    <d v="2026-02-19T14:12:37"/>
    <n v="4"/>
    <x v="1"/>
    <d v="2026-02-19T06:12:37"/>
    <x v="17"/>
    <s v="Thursday"/>
    <n v="6"/>
  </r>
  <r>
    <s v="9320e0fd-bd84-4a3d-81f3-a9e93293f50d"/>
    <s v="***"/>
    <d v="2026-02-19T14:15:20"/>
    <n v="433"/>
    <x v="6"/>
    <d v="2026-02-19T06:15:20"/>
    <x v="17"/>
    <s v="Thursday"/>
    <n v="6"/>
  </r>
  <r>
    <s v="a73f0649-9d75-4d11-ab97-2c8a8041b5b4"/>
    <s v="***"/>
    <d v="2026-02-19T14:19:03"/>
    <n v="2"/>
    <x v="1"/>
    <d v="2026-02-19T06:19:03"/>
    <x v="17"/>
    <s v="Thursday"/>
    <n v="6"/>
  </r>
  <r>
    <s v="1637d5db-4053-416d-a11d-5c36d05b42f4"/>
    <s v="***"/>
    <d v="2026-02-19T15:07:49"/>
    <n v="433"/>
    <x v="6"/>
    <d v="2026-02-19T07:07:49"/>
    <x v="17"/>
    <s v="Thursday"/>
    <n v="7"/>
  </r>
  <r>
    <s v="b6cc4b59-fdec-40ff-912e-18d678ea9dda"/>
    <s v="***"/>
    <d v="2026-02-19T15:09:17"/>
    <n v="2"/>
    <x v="1"/>
    <d v="2026-02-19T07:09:17"/>
    <x v="17"/>
    <s v="Thursday"/>
    <n v="7"/>
  </r>
  <r>
    <s v="7f48e873-caab-4b19-987d-59cb51a9a58a"/>
    <s v="***"/>
    <d v="2026-02-19T17:14:37"/>
    <n v="15"/>
    <x v="1"/>
    <d v="2026-02-19T09:14:37"/>
    <x v="17"/>
    <s v="Thursday"/>
    <n v="9"/>
  </r>
  <r>
    <s v="0b2d404e-bbcd-4955-8850-4d7b280dfcfc"/>
    <s v="***"/>
    <d v="2026-02-20T00:34:52"/>
    <n v="1"/>
    <x v="47"/>
    <d v="2026-02-19T16:34:52"/>
    <x v="17"/>
    <s v="Thursday"/>
    <n v="16"/>
  </r>
  <r>
    <s v="5f2fc84e-ba45-4eec-bfff-ad8ab76a0fe1"/>
    <s v="***"/>
    <d v="2026-02-20T01:35:38"/>
    <n v="1"/>
    <x v="47"/>
    <d v="2026-02-19T17:35:38"/>
    <x v="17"/>
    <s v="Thursday"/>
    <n v="17"/>
  </r>
  <r>
    <s v="44b50672-9e41-4248-8ad9-e0f0b9880344"/>
    <s v="***"/>
    <d v="2026-02-20T07:09:04"/>
    <n v="4"/>
    <x v="1"/>
    <d v="2026-02-19T23:09:04"/>
    <x v="17"/>
    <s v="Thursday"/>
    <n v="23"/>
  </r>
  <r>
    <s v="136a66f6-8330-4e88-a0f4-edc5dd48bdfd"/>
    <s v="***"/>
    <d v="2026-02-20T08:19:40"/>
    <n v="15"/>
    <x v="1"/>
    <d v="2026-02-20T00:19:40"/>
    <x v="18"/>
    <s v="Friday"/>
    <n v="0"/>
  </r>
  <r>
    <s v="7a94ccb4-82c8-492d-8572-f267750c0e0c"/>
    <s v="***"/>
    <d v="2026-02-20T08:26:44"/>
    <n v="2"/>
    <x v="1"/>
    <d v="2026-02-20T00:26:44"/>
    <x v="18"/>
    <s v="Friday"/>
    <n v="0"/>
  </r>
  <r>
    <s v="8c6e3ca6-43e5-45c4-b854-0e0d2b935520"/>
    <s v="***"/>
    <d v="2026-02-20T08:58:35"/>
    <n v="3"/>
    <x v="6"/>
    <d v="2026-02-20T00:58:35"/>
    <x v="18"/>
    <s v="Friday"/>
    <n v="0"/>
  </r>
  <r>
    <s v="34e73dad-1aed-4516-a502-2d6658c42a76"/>
    <s v="***"/>
    <d v="2026-02-20T09:01:31"/>
    <n v="3"/>
    <x v="6"/>
    <d v="2026-02-20T01:01:31"/>
    <x v="18"/>
    <s v="Friday"/>
    <n v="1"/>
  </r>
  <r>
    <s v="c4f2ac43-8085-4bf7-9096-0831e27a5398"/>
    <s v="***"/>
    <d v="2026-02-20T10:24:47"/>
    <n v="15"/>
    <x v="1"/>
    <d v="2026-02-20T02:24:47"/>
    <x v="18"/>
    <s v="Friday"/>
    <n v="2"/>
  </r>
  <r>
    <s v="34de3eaa-04bb-40d3-a982-8585e1ec8ec3"/>
    <s v="***"/>
    <d v="2026-02-20T10:48:26"/>
    <n v="433"/>
    <x v="1"/>
    <d v="2026-02-20T02:48:26"/>
    <x v="18"/>
    <s v="Friday"/>
    <n v="2"/>
  </r>
  <r>
    <s v="d920927d-8131-4d78-ad12-6af4a1cf832d"/>
    <s v="***"/>
    <d v="2026-02-20T10:57:43"/>
    <n v="433"/>
    <x v="6"/>
    <d v="2026-02-20T02:57:43"/>
    <x v="18"/>
    <s v="Friday"/>
    <n v="2"/>
  </r>
  <r>
    <s v="4a60e6f4-9c20-45b4-a2cb-5c16d7c0653c"/>
    <s v="***"/>
    <d v="2026-02-20T11:02:19"/>
    <n v="2"/>
    <x v="1"/>
    <d v="2026-02-20T03:02:19"/>
    <x v="18"/>
    <s v="Friday"/>
    <n v="3"/>
  </r>
  <r>
    <s v="6b2c5631-1e6e-46cd-8023-6b59fb2044e5"/>
    <s v="***"/>
    <d v="2026-02-20T12:22:22"/>
    <n v="15"/>
    <x v="1"/>
    <d v="2026-02-20T04:22:22"/>
    <x v="18"/>
    <s v="Friday"/>
    <n v="4"/>
  </r>
  <r>
    <s v="4d9d8e16-2df7-4c6d-9580-930d1550a14a"/>
    <s v="***"/>
    <d v="2026-02-20T12:34:04"/>
    <n v="2"/>
    <x v="1"/>
    <d v="2026-02-20T04:34:04"/>
    <x v="18"/>
    <s v="Friday"/>
    <n v="4"/>
  </r>
  <r>
    <s v="482aadad-2c4c-4b78-9afd-8bc796859f7e"/>
    <s v="***"/>
    <d v="2026-02-20T12:50:09"/>
    <n v="1"/>
    <x v="49"/>
    <d v="2026-02-20T04:50:09"/>
    <x v="18"/>
    <s v="Friday"/>
    <n v="4"/>
  </r>
  <r>
    <s v="7f0db03e-256f-40c8-8cdb-de896640fcd6"/>
    <s v="***"/>
    <d v="2026-02-20T13:07:02"/>
    <n v="433"/>
    <x v="6"/>
    <d v="2026-02-20T05:07:02"/>
    <x v="18"/>
    <s v="Friday"/>
    <n v="5"/>
  </r>
  <r>
    <s v="3d163f9b-1c51-439e-b989-801893ed1e93"/>
    <s v="***"/>
    <d v="2026-02-20T14:11:47"/>
    <n v="15"/>
    <x v="1"/>
    <d v="2026-02-20T06:11:47"/>
    <x v="18"/>
    <s v="Friday"/>
    <n v="6"/>
  </r>
  <r>
    <s v="b4562326-7db8-4c3a-9787-061ef373f27a"/>
    <s v="***"/>
    <d v="2026-02-20T15:49:08"/>
    <n v="15"/>
    <x v="1"/>
    <d v="2026-02-20T07:49:08"/>
    <x v="18"/>
    <s v="Friday"/>
    <n v="7"/>
  </r>
  <r>
    <s v="8fa3685e-a409-4aed-9c20-9b82452859a9"/>
    <s v="***"/>
    <d v="2026-02-20T15:51:15"/>
    <n v="15"/>
    <x v="1"/>
    <d v="2026-02-20T07:51:15"/>
    <x v="18"/>
    <s v="Friday"/>
    <n v="7"/>
  </r>
  <r>
    <s v="f822128d-0851-40dc-a454-5306cb482877"/>
    <s v="***"/>
    <d v="2026-02-20T18:34:24"/>
    <n v="15"/>
    <x v="1"/>
    <d v="2026-02-20T10:34:24"/>
    <x v="18"/>
    <s v="Friday"/>
    <n v="10"/>
  </r>
  <r>
    <s v="fd673ea7-d1dc-4d73-bdb6-6ddb9d5f8dde"/>
    <s v="***"/>
    <d v="2026-02-20T19:22:23"/>
    <n v="2"/>
    <x v="50"/>
    <d v="2026-02-20T11:22:23"/>
    <x v="18"/>
    <s v="Friday"/>
    <n v="11"/>
  </r>
  <r>
    <s v="bd8cbdbc-925c-4dd0-9f6f-0147c9986180"/>
    <s v="***"/>
    <d v="2026-02-20T19:30:42"/>
    <n v="35"/>
    <x v="50"/>
    <d v="2026-02-20T11:30:42"/>
    <x v="18"/>
    <s v="Friday"/>
    <n v="11"/>
  </r>
  <r>
    <s v="9eff7026-fe25-4e01-8e90-f4ccf66f4e25"/>
    <s v="***"/>
    <d v="2026-02-20T19:56:07"/>
    <n v="2"/>
    <x v="21"/>
    <d v="2026-02-20T11:56:07"/>
    <x v="18"/>
    <s v="Friday"/>
    <n v="11"/>
  </r>
  <r>
    <s v="ba49a8af-0b1d-4d62-a4dc-598a11778073"/>
    <s v="***"/>
    <d v="2026-02-20T20:04:01"/>
    <n v="2"/>
    <x v="1"/>
    <d v="2026-02-20T12:04:01"/>
    <x v="18"/>
    <s v="Friday"/>
    <n v="12"/>
  </r>
  <r>
    <s v="544cf772-0aad-4ef6-9ce9-015df8832ff4"/>
    <s v="***"/>
    <d v="2026-02-20T21:22:26"/>
    <n v="35"/>
    <x v="50"/>
    <d v="2026-02-20T13:22:26"/>
    <x v="18"/>
    <s v="Friday"/>
    <n v="13"/>
  </r>
  <r>
    <s v="9971b825-1911-47ec-a87f-e93dc7285b4e"/>
    <s v="***"/>
    <d v="2026-02-20T23:32:44"/>
    <n v="2"/>
    <x v="1"/>
    <d v="2026-02-20T15:32:44"/>
    <x v="18"/>
    <s v="Friday"/>
    <n v="15"/>
  </r>
  <r>
    <s v="003a80b9-5241-4cb8-b407-91700d958bfb"/>
    <s v="***"/>
    <d v="2026-02-21T03:53:09"/>
    <n v="2"/>
    <x v="21"/>
    <d v="2026-02-20T19:53:09"/>
    <x v="18"/>
    <s v="Friday"/>
    <n v="19"/>
  </r>
  <r>
    <s v="cba86fea-8607-4160-8935-f66b35c27621"/>
    <s v="***"/>
    <d v="2026-02-21T08:11:34"/>
    <n v="2"/>
    <x v="1"/>
    <d v="2026-02-21T00:11:34"/>
    <x v="19"/>
    <s v="Saturday"/>
    <n v="0"/>
  </r>
  <r>
    <s v="37303d83-dd79-471c-98e3-4da89d798c09"/>
    <s v="***"/>
    <d v="2026-02-21T08:51:20"/>
    <n v="2"/>
    <x v="1"/>
    <d v="2026-02-21T00:51:20"/>
    <x v="19"/>
    <s v="Saturday"/>
    <n v="0"/>
  </r>
  <r>
    <s v="ac9a5864-9cbe-4b51-9c3e-dce6161496f1"/>
    <s v="***"/>
    <d v="2026-02-21T09:21:49"/>
    <n v="2"/>
    <x v="1"/>
    <d v="2026-02-21T01:21:49"/>
    <x v="19"/>
    <s v="Saturday"/>
    <n v="1"/>
  </r>
  <r>
    <s v="f20004a5-6644-4c44-8ef5-b98776cda89d"/>
    <s v="***"/>
    <d v="2026-02-21T10:56:59"/>
    <n v="2"/>
    <x v="1"/>
    <d v="2026-02-21T02:56:59"/>
    <x v="19"/>
    <s v="Saturday"/>
    <n v="2"/>
  </r>
  <r>
    <s v="360f178a-4598-42a2-97ff-1f7b8395474b"/>
    <s v="***"/>
    <d v="2026-02-21T11:23:37"/>
    <n v="15"/>
    <x v="1"/>
    <d v="2026-02-21T03:23:37"/>
    <x v="19"/>
    <s v="Saturday"/>
    <n v="3"/>
  </r>
  <r>
    <s v="e6a8181e-fd01-4857-991f-ece67a66ca65"/>
    <s v="***"/>
    <d v="2026-02-21T11:51:11"/>
    <n v="15"/>
    <x v="1"/>
    <d v="2026-02-21T03:51:11"/>
    <x v="19"/>
    <s v="Saturday"/>
    <n v="3"/>
  </r>
  <r>
    <s v="c75fb4cc-86b0-42c9-a495-f3f7b19c2b64"/>
    <s v="***"/>
    <d v="2026-02-21T13:15:39"/>
    <n v="433"/>
    <x v="5"/>
    <d v="2026-02-21T05:15:39"/>
    <x v="19"/>
    <s v="Saturday"/>
    <n v="5"/>
  </r>
  <r>
    <s v="867381b2-7d60-4a5f-a1de-83588ec9fed3"/>
    <s v="***"/>
    <d v="2026-02-21T13:36:22"/>
    <n v="15"/>
    <x v="1"/>
    <d v="2026-02-21T05:36:22"/>
    <x v="19"/>
    <s v="Saturday"/>
    <n v="5"/>
  </r>
  <r>
    <s v="83adff89-6630-4cfa-984a-7c9af53f372d"/>
    <s v="***"/>
    <d v="2026-02-21T13:37:47"/>
    <n v="433"/>
    <x v="5"/>
    <d v="2026-02-21T05:37:47"/>
    <x v="19"/>
    <s v="Saturday"/>
    <n v="5"/>
  </r>
  <r>
    <s v="5d95cbe5-08ea-41a7-a40d-3ef1d2386bca"/>
    <s v="***"/>
    <d v="2026-02-21T14:29:56"/>
    <n v="15"/>
    <x v="1"/>
    <d v="2026-02-21T06:29:56"/>
    <x v="19"/>
    <s v="Saturday"/>
    <n v="6"/>
  </r>
  <r>
    <s v="c63ddd1e-0b7e-42d9-a93f-60014f50674b"/>
    <s v="***"/>
    <d v="2026-02-21T16:24:17"/>
    <n v="2"/>
    <x v="51"/>
    <d v="2026-02-21T08:24:17"/>
    <x v="19"/>
    <s v="Saturday"/>
    <n v="8"/>
  </r>
  <r>
    <s v="db0d7bb7-1082-4c0f-bd82-8ed3cf8853d8"/>
    <s v="***"/>
    <d v="2026-02-21T21:05:16"/>
    <n v="2"/>
    <x v="6"/>
    <d v="2026-02-21T13:05:16"/>
    <x v="19"/>
    <s v="Saturday"/>
    <n v="13"/>
  </r>
  <r>
    <s v="f987da44-4265-4f14-87fd-a6c42752d01e"/>
    <s v="***"/>
    <d v="2026-02-22T01:43:16"/>
    <n v="2"/>
    <x v="10"/>
    <d v="2026-02-21T17:43:16"/>
    <x v="19"/>
    <s v="Saturday"/>
    <n v="17"/>
  </r>
  <r>
    <s v="0facf9c7-e57a-4506-8747-784f3791422e"/>
    <s v="***"/>
    <d v="2026-02-22T01:44:10"/>
    <n v="2"/>
    <x v="52"/>
    <d v="2026-02-21T17:44:10"/>
    <x v="19"/>
    <s v="Saturday"/>
    <n v="17"/>
  </r>
  <r>
    <s v="5c50898e-295d-43bd-bf72-785086255bd9"/>
    <s v="***"/>
    <d v="2026-02-22T07:50:28"/>
    <n v="3"/>
    <x v="1"/>
    <d v="2026-02-21T23:50:28"/>
    <x v="19"/>
    <s v="Saturday"/>
    <n v="23"/>
  </r>
  <r>
    <s v="65db4938-6294-4132-8d32-793255713d6b"/>
    <s v="***"/>
    <d v="2026-02-22T10:50:04"/>
    <n v="2"/>
    <x v="26"/>
    <d v="2026-02-22T02:50:04"/>
    <x v="20"/>
    <s v="Sunday"/>
    <n v="2"/>
  </r>
  <r>
    <s v="2206696e-25d7-43d0-896e-9eb79e211c0b"/>
    <s v="***"/>
    <d v="2026-02-22T12:30:22"/>
    <n v="2"/>
    <x v="6"/>
    <d v="2026-02-22T04:30:22"/>
    <x v="20"/>
    <s v="Sunday"/>
    <n v="4"/>
  </r>
  <r>
    <s v="3b2c2303-f12e-49e8-87a1-911c9712d823"/>
    <s v="***"/>
    <d v="2026-02-22T15:01:19"/>
    <n v="2"/>
    <x v="6"/>
    <d v="2026-02-22T07:01:19"/>
    <x v="20"/>
    <s v="Sunday"/>
    <n v="7"/>
  </r>
  <r>
    <s v="7983f2f1-d30d-4b55-bd84-4c6764ec8b59"/>
    <s v="***"/>
    <d v="2026-02-22T17:03:16"/>
    <n v="4"/>
    <x v="1"/>
    <d v="2026-02-22T09:03:16"/>
    <x v="20"/>
    <s v="Sunday"/>
    <n v="9"/>
  </r>
  <r>
    <s v="e488d20a-d905-4007-b388-c47570833ae7"/>
    <s v="***"/>
    <d v="2026-02-22T17:06:24"/>
    <n v="2"/>
    <x v="53"/>
    <d v="2026-02-22T09:06:24"/>
    <x v="20"/>
    <s v="Sunday"/>
    <n v="9"/>
  </r>
  <r>
    <s v="c1964046-3833-4e7c-b397-92fc0eb33bb8"/>
    <s v="***"/>
    <d v="2026-02-22T17:10:20"/>
    <n v="35"/>
    <x v="1"/>
    <d v="2026-02-22T09:10:20"/>
    <x v="20"/>
    <s v="Sunday"/>
    <n v="9"/>
  </r>
  <r>
    <s v="7932f814-8887-4665-9129-f1075116a654"/>
    <s v="***"/>
    <d v="2026-02-22T17:15:33"/>
    <n v="2"/>
    <x v="54"/>
    <d v="2026-02-22T09:15:33"/>
    <x v="20"/>
    <s v="Sunday"/>
    <n v="9"/>
  </r>
  <r>
    <s v="52a75a50-c635-4b30-a2af-ae6beb701cc6"/>
    <s v="***"/>
    <d v="2026-02-23T10:01:19"/>
    <n v="2"/>
    <x v="1"/>
    <d v="2026-02-23T02:01:19"/>
    <x v="21"/>
    <s v="Monday"/>
    <n v="2"/>
  </r>
  <r>
    <s v="19a405c2-4db8-40f8-88b6-af412d4f5b75"/>
    <s v="***"/>
    <d v="2026-02-23T10:14:46"/>
    <n v="2"/>
    <x v="1"/>
    <d v="2026-02-23T02:14:46"/>
    <x v="21"/>
    <s v="Monday"/>
    <n v="2"/>
  </r>
  <r>
    <s v="1d0a05cc-36fa-4c99-8f84-b2ef32e97d49"/>
    <s v="***"/>
    <d v="2026-02-23T10:45:09"/>
    <n v="2"/>
    <x v="55"/>
    <d v="2026-02-23T02:45:09"/>
    <x v="21"/>
    <s v="Monday"/>
    <n v="2"/>
  </r>
  <r>
    <s v="511197ff-f983-4270-a4ba-5684c42ec3ec"/>
    <s v="***"/>
    <d v="2026-02-23T11:01:00"/>
    <n v="40"/>
    <x v="55"/>
    <d v="2026-02-23T03:01:00"/>
    <x v="21"/>
    <s v="Monday"/>
    <n v="3"/>
  </r>
  <r>
    <s v="46874d34-a883-41c4-9e17-5296b44d4c63"/>
    <s v="***"/>
    <d v="2026-02-23T11:11:33"/>
    <n v="2"/>
    <x v="17"/>
    <d v="2026-02-23T03:11:33"/>
    <x v="21"/>
    <s v="Monday"/>
    <n v="3"/>
  </r>
  <r>
    <s v="d6be33a2-86c4-468e-88f9-f869260cd918"/>
    <s v="***"/>
    <d v="2026-02-23T11:21:48"/>
    <n v="15"/>
    <x v="17"/>
    <d v="2026-02-23T03:21:48"/>
    <x v="21"/>
    <s v="Monday"/>
    <n v="3"/>
  </r>
  <r>
    <s v="040e67b9-5f4d-4111-9227-f8e7a147669e"/>
    <s v="***"/>
    <d v="2026-02-23T11:22:01"/>
    <n v="40"/>
    <x v="55"/>
    <d v="2026-02-23T03:22:01"/>
    <x v="21"/>
    <s v="Monday"/>
    <n v="3"/>
  </r>
  <r>
    <s v="12df24ea-c50e-4ddd-8e94-374a6dc18cb0"/>
    <s v="***"/>
    <d v="2026-02-23T11:50:31"/>
    <n v="36"/>
    <x v="1"/>
    <d v="2026-02-23T03:50:31"/>
    <x v="21"/>
    <s v="Monday"/>
    <n v="3"/>
  </r>
  <r>
    <s v="3938c007-414a-4f5e-91b9-f17f904d4518"/>
    <s v="***"/>
    <d v="2026-02-23T12:01:46"/>
    <n v="15"/>
    <x v="17"/>
    <d v="2026-02-23T04:01:46"/>
    <x v="21"/>
    <s v="Monday"/>
    <n v="4"/>
  </r>
  <r>
    <s v="c3b67a24-0d6c-4df0-9a61-060b1bf28086"/>
    <s v="***"/>
    <d v="2026-02-23T12:09:30"/>
    <n v="36"/>
    <x v="1"/>
    <d v="2026-02-23T04:09:30"/>
    <x v="21"/>
    <s v="Monday"/>
    <n v="4"/>
  </r>
  <r>
    <s v="51025cdc-1dc8-40a1-be7b-84ae6cb93f19"/>
    <s v="***"/>
    <d v="2026-02-23T12:11:22"/>
    <n v="40"/>
    <x v="55"/>
    <d v="2026-02-23T04:11:22"/>
    <x v="21"/>
    <s v="Monday"/>
    <n v="4"/>
  </r>
  <r>
    <s v="197b3b9c-4f4c-48e9-9788-1507299cb1ab"/>
    <s v="***"/>
    <d v="2026-02-23T12:11:30"/>
    <n v="36"/>
    <x v="1"/>
    <d v="2026-02-23T04:11:30"/>
    <x v="21"/>
    <s v="Monday"/>
    <n v="4"/>
  </r>
  <r>
    <s v="ca7ba16e-983f-45d8-ba72-1f20b68f80f3"/>
    <s v="***"/>
    <d v="2026-02-23T12:12:02"/>
    <n v="15"/>
    <x v="17"/>
    <d v="2026-02-23T04:12:02"/>
    <x v="21"/>
    <s v="Monday"/>
    <n v="4"/>
  </r>
  <r>
    <s v="0396aa9f-a349-49d0-a449-291447cbe024"/>
    <s v="***"/>
    <d v="2026-02-23T12:16:29"/>
    <n v="40"/>
    <x v="55"/>
    <d v="2026-02-23T04:16:29"/>
    <x v="21"/>
    <s v="Monday"/>
    <n v="4"/>
  </r>
  <r>
    <s v="30fda260-c593-4a37-b326-bca4f6637545"/>
    <s v="***"/>
    <d v="2026-02-23T12:18:32"/>
    <n v="15"/>
    <x v="17"/>
    <d v="2026-02-23T04:18:32"/>
    <x v="21"/>
    <s v="Monday"/>
    <n v="4"/>
  </r>
  <r>
    <s v="bd9020db-861a-45b8-bc2b-48f8e9062c10"/>
    <s v="***"/>
    <d v="2026-02-23T12:35:19"/>
    <n v="36"/>
    <x v="1"/>
    <d v="2026-02-23T04:35:19"/>
    <x v="21"/>
    <s v="Monday"/>
    <n v="4"/>
  </r>
  <r>
    <s v="7bf00b8c-ed3d-4ee2-ade2-421489ce95f6"/>
    <s v="***"/>
    <d v="2026-02-23T12:38:08"/>
    <n v="634"/>
    <x v="56"/>
    <d v="2026-02-23T04:38:08"/>
    <x v="21"/>
    <s v="Monday"/>
    <n v="4"/>
  </r>
  <r>
    <s v="b4f6d980-3beb-4ebb-bbb4-6260f0970432"/>
    <s v="***"/>
    <d v="2026-02-23T12:58:47"/>
    <n v="15"/>
    <x v="17"/>
    <d v="2026-02-23T04:58:47"/>
    <x v="21"/>
    <s v="Monday"/>
    <n v="4"/>
  </r>
  <r>
    <s v="55854c92-053d-4660-9a11-a012479ac9e3"/>
    <s v="***"/>
    <d v="2026-02-23T12:59:34"/>
    <n v="40"/>
    <x v="55"/>
    <d v="2026-02-23T04:59:34"/>
    <x v="21"/>
    <s v="Monday"/>
    <n v="4"/>
  </r>
  <r>
    <s v="430b50df-bddc-483a-b17f-b114eb14b7aa"/>
    <s v="***"/>
    <d v="2026-02-23T13:01:16"/>
    <n v="40"/>
    <x v="55"/>
    <d v="2026-02-23T05:01:16"/>
    <x v="21"/>
    <s v="Monday"/>
    <n v="5"/>
  </r>
  <r>
    <s v="12334cb5-55ee-4ed2-b686-76bfba5b7f08"/>
    <s v="***"/>
    <d v="2026-02-23T13:05:03"/>
    <n v="15"/>
    <x v="17"/>
    <d v="2026-02-23T05:05:03"/>
    <x v="21"/>
    <s v="Monday"/>
    <n v="5"/>
  </r>
  <r>
    <s v="263c5cc4-eb68-47aa-a991-f8195ea5ab88"/>
    <s v="***"/>
    <d v="2026-02-23T13:11:00"/>
    <n v="40"/>
    <x v="55"/>
    <d v="2026-02-23T05:11:00"/>
    <x v="21"/>
    <s v="Monday"/>
    <n v="5"/>
  </r>
  <r>
    <s v="d797d414-fd74-4a9e-a5f3-2d8d9077aadb"/>
    <s v="***"/>
    <d v="2026-02-23T13:19:05"/>
    <n v="15"/>
    <x v="17"/>
    <d v="2026-02-23T05:19:05"/>
    <x v="21"/>
    <s v="Monday"/>
    <n v="5"/>
  </r>
  <r>
    <s v="4a7ec7d6-10a6-40ee-90bb-0a3e86fce4c5"/>
    <s v="***"/>
    <d v="2026-02-23T13:20:46"/>
    <n v="40"/>
    <x v="55"/>
    <d v="2026-02-23T05:20:46"/>
    <x v="21"/>
    <s v="Monday"/>
    <n v="5"/>
  </r>
  <r>
    <s v="c4fce92e-1f21-4271-b17d-9ad34572bf62"/>
    <s v="***"/>
    <d v="2026-02-23T13:24:08"/>
    <n v="36"/>
    <x v="1"/>
    <d v="2026-02-23T05:24:08"/>
    <x v="21"/>
    <s v="Monday"/>
    <n v="5"/>
  </r>
  <r>
    <s v="11c2580b-987c-445c-be62-1ef13c0b32fc"/>
    <s v="***"/>
    <d v="2026-02-23T14:04:10"/>
    <n v="40"/>
    <x v="55"/>
    <d v="2026-02-23T06:04:10"/>
    <x v="21"/>
    <s v="Monday"/>
    <n v="6"/>
  </r>
  <r>
    <s v="03534600-aaee-4a79-a5bb-1596afe92c7e"/>
    <s v="***"/>
    <d v="2026-02-23T14:04:29"/>
    <n v="15"/>
    <x v="17"/>
    <d v="2026-02-23T06:04:29"/>
    <x v="21"/>
    <s v="Monday"/>
    <n v="6"/>
  </r>
  <r>
    <s v="2a5a4a70-9ce3-4d4d-9f92-a34ce29be749"/>
    <s v="***"/>
    <d v="2026-02-23T14:10:32"/>
    <n v="36"/>
    <x v="1"/>
    <d v="2026-02-23T06:10:32"/>
    <x v="21"/>
    <s v="Monday"/>
    <n v="6"/>
  </r>
  <r>
    <s v="f0ede450-a881-42b1-b28e-882cb9f12371"/>
    <s v="***"/>
    <d v="2026-02-23T14:16:09"/>
    <n v="2"/>
    <x v="1"/>
    <d v="2026-02-23T06:16:09"/>
    <x v="21"/>
    <s v="Monday"/>
    <n v="6"/>
  </r>
  <r>
    <s v="94305b82-776e-4e0b-a71a-46a8ce7fd49e"/>
    <s v="***"/>
    <d v="2026-02-23T14:19:14"/>
    <n v="15"/>
    <x v="1"/>
    <d v="2026-02-23T06:19:14"/>
    <x v="21"/>
    <s v="Monday"/>
    <n v="6"/>
  </r>
  <r>
    <s v="4c5a606a-5d9f-4f2c-9ea3-0e25af36ac43"/>
    <s v="***"/>
    <d v="2026-02-23T14:19:59"/>
    <n v="2"/>
    <x v="57"/>
    <d v="2026-02-23T06:19:59"/>
    <x v="21"/>
    <s v="Monday"/>
    <n v="6"/>
  </r>
  <r>
    <s v="3aef734d-5a97-4fa3-ada9-e781398100ee"/>
    <s v="***"/>
    <d v="2026-02-23T14:41:03"/>
    <n v="15"/>
    <x v="17"/>
    <d v="2026-02-23T06:41:03"/>
    <x v="21"/>
    <s v="Monday"/>
    <n v="6"/>
  </r>
  <r>
    <s v="481a660d-a2de-4173-8e29-79e48c0d4f6b"/>
    <s v="***"/>
    <d v="2026-02-23T14:42:08"/>
    <n v="36"/>
    <x v="1"/>
    <d v="2026-02-23T06:42:08"/>
    <x v="21"/>
    <s v="Monday"/>
    <n v="6"/>
  </r>
  <r>
    <s v="75d3e2c2-8425-4ee0-854e-fff5ebfe6287"/>
    <s v="***"/>
    <d v="2026-02-23T14:42:27"/>
    <n v="40"/>
    <x v="55"/>
    <d v="2026-02-23T06:42:27"/>
    <x v="21"/>
    <s v="Monday"/>
    <n v="6"/>
  </r>
  <r>
    <s v="20e842eb-af2c-43d5-a145-4e4f4023a1fc"/>
    <s v="***"/>
    <d v="2026-02-23T14:42:47"/>
    <n v="15"/>
    <x v="1"/>
    <d v="2026-02-23T06:42:47"/>
    <x v="21"/>
    <s v="Monday"/>
    <n v="6"/>
  </r>
  <r>
    <s v="f1333cc7-96bb-4f69-97fc-bed717ed0c98"/>
    <s v="***"/>
    <d v="2026-02-23T14:44:24"/>
    <n v="2"/>
    <x v="58"/>
    <d v="2026-02-23T06:44:24"/>
    <x v="21"/>
    <s v="Monday"/>
    <n v="6"/>
  </r>
  <r>
    <s v="c5ded555-88ef-4871-93a1-ea8e6c690c1f"/>
    <s v="***"/>
    <d v="2026-02-23T14:46:25"/>
    <n v="2"/>
    <x v="1"/>
    <d v="2026-02-23T06:46:25"/>
    <x v="21"/>
    <s v="Monday"/>
    <n v="6"/>
  </r>
  <r>
    <s v="30345e5f-0bb9-4b6b-a18f-3e930eaf8b8f"/>
    <s v="***"/>
    <d v="2026-02-23T14:49:57"/>
    <n v="35"/>
    <x v="1"/>
    <d v="2026-02-23T06:49:57"/>
    <x v="21"/>
    <s v="Monday"/>
    <n v="6"/>
  </r>
  <r>
    <s v="415f1a36-501c-419a-838d-307cd88da5ec"/>
    <s v="***"/>
    <d v="2026-02-23T14:51:52"/>
    <n v="2"/>
    <x v="12"/>
    <d v="2026-02-23T06:51:52"/>
    <x v="21"/>
    <s v="Monday"/>
    <n v="6"/>
  </r>
  <r>
    <s v="28ccf785-8418-41a7-973c-31128d8e7c54"/>
    <s v="***"/>
    <d v="2026-02-23T14:58:36"/>
    <n v="2"/>
    <x v="10"/>
    <d v="2026-02-23T06:58:36"/>
    <x v="21"/>
    <s v="Monday"/>
    <n v="6"/>
  </r>
  <r>
    <s v="e4a3d78a-fe85-407b-8472-2a5e736b2ef0"/>
    <s v="***"/>
    <d v="2026-02-23T15:03:03"/>
    <n v="15"/>
    <x v="1"/>
    <d v="2026-02-23T07:03:03"/>
    <x v="21"/>
    <s v="Monday"/>
    <n v="7"/>
  </r>
  <r>
    <s v="939bcfdd-2aee-4057-b107-b1d85c1f6c89"/>
    <s v="***"/>
    <d v="2026-02-23T15:03:14"/>
    <n v="35"/>
    <x v="1"/>
    <d v="2026-02-23T07:03:14"/>
    <x v="21"/>
    <s v="Monday"/>
    <n v="7"/>
  </r>
  <r>
    <s v="3703abdb-7437-4c93-b7b7-0fa659d51c03"/>
    <s v="***"/>
    <d v="2026-02-23T15:10:45"/>
    <n v="2"/>
    <x v="57"/>
    <d v="2026-02-23T07:10:45"/>
    <x v="21"/>
    <s v="Monday"/>
    <n v="7"/>
  </r>
  <r>
    <s v="63213d18-57c3-46ee-92e9-91d3f6517237"/>
    <s v="***"/>
    <d v="2026-02-23T15:13:34"/>
    <n v="2"/>
    <x v="1"/>
    <d v="2026-02-23T07:13:34"/>
    <x v="21"/>
    <s v="Monday"/>
    <n v="7"/>
  </r>
  <r>
    <s v="10759f22-b977-45cc-a0da-598f36339d09"/>
    <s v="***"/>
    <d v="2026-02-23T15:13:45"/>
    <n v="35"/>
    <x v="1"/>
    <d v="2026-02-23T07:13:45"/>
    <x v="21"/>
    <s v="Monday"/>
    <n v="7"/>
  </r>
  <r>
    <s v="2f43964b-41ba-41e8-ac30-fad8fa4a4f92"/>
    <s v="***"/>
    <d v="2026-02-23T15:14:46"/>
    <n v="15"/>
    <x v="17"/>
    <d v="2026-02-23T07:14:46"/>
    <x v="21"/>
    <s v="Monday"/>
    <n v="7"/>
  </r>
  <r>
    <s v="56e4e8c0-0e17-41fc-aa87-97200936374c"/>
    <s v="***"/>
    <d v="2026-02-23T15:16:22"/>
    <n v="2"/>
    <x v="1"/>
    <d v="2026-02-23T07:16:22"/>
    <x v="21"/>
    <s v="Monday"/>
    <n v="7"/>
  </r>
  <r>
    <s v="c019f66a-20b0-43aa-ae80-ed938941a42f"/>
    <s v="***"/>
    <d v="2026-02-23T15:24:23"/>
    <n v="2"/>
    <x v="58"/>
    <d v="2026-02-23T07:24:23"/>
    <x v="21"/>
    <s v="Monday"/>
    <n v="7"/>
  </r>
  <r>
    <s v="3f045ac3-4ae6-4e7a-8060-544142bb54bf"/>
    <s v="***"/>
    <d v="2026-02-23T15:31:42"/>
    <n v="15"/>
    <x v="1"/>
    <d v="2026-02-23T07:31:42"/>
    <x v="21"/>
    <s v="Monday"/>
    <n v="7"/>
  </r>
  <r>
    <s v="62d376d8-4e84-47ca-83f8-881cc5d3b8d8"/>
    <s v="***"/>
    <d v="2026-02-23T15:45:11"/>
    <n v="36"/>
    <x v="1"/>
    <d v="2026-02-23T07:45:11"/>
    <x v="21"/>
    <s v="Monday"/>
    <n v="7"/>
  </r>
  <r>
    <s v="5099080b-e66b-43d2-918e-4b40042c5a43"/>
    <s v="***"/>
    <d v="2026-02-23T15:57:19"/>
    <n v="15"/>
    <x v="17"/>
    <d v="2026-02-23T07:57:19"/>
    <x v="21"/>
    <s v="Monday"/>
    <n v="7"/>
  </r>
  <r>
    <s v="adaf9d26-996b-4501-a0b6-9a3843c3128e"/>
    <s v="***"/>
    <d v="2026-02-23T16:15:17"/>
    <n v="634"/>
    <x v="5"/>
    <d v="2026-02-23T08:15:17"/>
    <x v="21"/>
    <s v="Monday"/>
    <n v="8"/>
  </r>
  <r>
    <s v="abe73f9e-84b2-4e32-b9d5-7d283ef1919c"/>
    <s v="***"/>
    <d v="2026-02-23T16:24:04"/>
    <n v="15"/>
    <x v="17"/>
    <d v="2026-02-23T08:24:04"/>
    <x v="21"/>
    <s v="Monday"/>
    <n v="8"/>
  </r>
  <r>
    <s v="b6bb0f95-4f9a-44ae-a408-ecf6cd8bd654"/>
    <s v="***"/>
    <d v="2026-02-23T16:26:20"/>
    <n v="15"/>
    <x v="1"/>
    <d v="2026-02-23T08:26:20"/>
    <x v="21"/>
    <s v="Monday"/>
    <n v="8"/>
  </r>
  <r>
    <s v="4f67e078-1da4-4722-89c3-a462b36d377b"/>
    <s v="***"/>
    <d v="2026-02-23T16:27:19"/>
    <n v="36"/>
    <x v="1"/>
    <d v="2026-02-23T08:27:19"/>
    <x v="21"/>
    <s v="Monday"/>
    <n v="8"/>
  </r>
  <r>
    <s v="dd812106-98ba-40a2-b8b1-aa7207a8c365"/>
    <s v="***"/>
    <d v="2026-02-23T17:03:20"/>
    <n v="15"/>
    <x v="17"/>
    <d v="2026-02-23T09:03:20"/>
    <x v="21"/>
    <s v="Monday"/>
    <n v="9"/>
  </r>
  <r>
    <s v="d43ce19d-7770-44c9-ae3d-3bc58eb53c4d"/>
    <s v="***"/>
    <d v="2026-02-23T17:03:21"/>
    <n v="35"/>
    <x v="1"/>
    <d v="2026-02-23T09:03:21"/>
    <x v="21"/>
    <s v="Monday"/>
    <n v="9"/>
  </r>
  <r>
    <s v="3a2572b9-bf3b-42d7-b9e0-e73434a9c89f"/>
    <s v="***"/>
    <d v="2026-02-23T17:17:40"/>
    <n v="2"/>
    <x v="1"/>
    <d v="2026-02-23T09:17:40"/>
    <x v="21"/>
    <s v="Monday"/>
    <n v="9"/>
  </r>
  <r>
    <s v="bbbc8ea2-6606-4020-9eda-2565cfbd98b1"/>
    <s v="***"/>
    <d v="2026-02-23T17:18:02"/>
    <n v="433"/>
    <x v="1"/>
    <d v="2026-02-23T09:18:02"/>
    <x v="21"/>
    <s v="Monday"/>
    <n v="9"/>
  </r>
  <r>
    <s v="14a91ab2-c225-4e6c-b4f1-38cbd5aba211"/>
    <s v="***"/>
    <d v="2026-02-23T17:34:18"/>
    <n v="36"/>
    <x v="1"/>
    <d v="2026-02-23T09:34:18"/>
    <x v="21"/>
    <s v="Monday"/>
    <n v="9"/>
  </r>
  <r>
    <s v="ac67407c-72f5-4c01-92ad-6cbc1d8a6f22"/>
    <s v="***"/>
    <d v="2026-02-23T17:56:19"/>
    <n v="2"/>
    <x v="10"/>
    <d v="2026-02-23T09:56:19"/>
    <x v="21"/>
    <s v="Monday"/>
    <n v="9"/>
  </r>
  <r>
    <s v="57bc8237-d7b5-4fb8-94ab-385540092b6a"/>
    <s v="***"/>
    <d v="2026-02-23T18:03:47"/>
    <n v="2"/>
    <x v="1"/>
    <d v="2026-02-23T10:03:47"/>
    <x v="21"/>
    <s v="Monday"/>
    <n v="10"/>
  </r>
  <r>
    <s v="f50055f6-5d81-4af5-9fe3-30519edbae74"/>
    <s v="***"/>
    <d v="2026-02-23T18:04:45"/>
    <n v="15"/>
    <x v="1"/>
    <d v="2026-02-23T10:04:45"/>
    <x v="21"/>
    <s v="Monday"/>
    <n v="10"/>
  </r>
  <r>
    <s v="d0e5f62f-bd88-43bb-a449-710d8f6bd01a"/>
    <s v="***"/>
    <d v="2026-02-23T18:07:53"/>
    <n v="2"/>
    <x v="10"/>
    <d v="2026-02-23T10:07:53"/>
    <x v="21"/>
    <s v="Monday"/>
    <n v="10"/>
  </r>
  <r>
    <s v="55ea3eb2-17a1-42b1-8fff-94f6f287cab7"/>
    <s v="***"/>
    <d v="2026-02-23T18:14:25"/>
    <n v="2"/>
    <x v="1"/>
    <d v="2026-02-23T10:14:25"/>
    <x v="21"/>
    <s v="Monday"/>
    <n v="10"/>
  </r>
  <r>
    <s v="97b907d3-31b8-40fc-ab12-da397df5a2f7"/>
    <s v="***"/>
    <d v="2026-02-23T18:17:02"/>
    <n v="35"/>
    <x v="1"/>
    <d v="2026-02-23T10:17:02"/>
    <x v="21"/>
    <s v="Monday"/>
    <n v="10"/>
  </r>
  <r>
    <s v="75dc3ce8-0e80-4eb6-8ec0-5b4f4094ae44"/>
    <s v="***"/>
    <d v="2026-02-23T18:53:09"/>
    <n v="36"/>
    <x v="1"/>
    <d v="2026-02-23T10:53:09"/>
    <x v="21"/>
    <s v="Monday"/>
    <n v="10"/>
  </r>
  <r>
    <s v="6ef9ed3f-f6db-4c1c-8499-2d1aa5a1e95e"/>
    <s v="***"/>
    <d v="2026-02-23T19:03:24"/>
    <n v="15"/>
    <x v="1"/>
    <d v="2026-02-23T11:03:24"/>
    <x v="21"/>
    <s v="Monday"/>
    <n v="11"/>
  </r>
  <r>
    <s v="54c444d8-d01c-4ee2-9899-b6d9bb75dafb"/>
    <s v="***"/>
    <d v="2026-02-23T20:00:18"/>
    <n v="35"/>
    <x v="1"/>
    <d v="2026-02-23T12:00:18"/>
    <x v="21"/>
    <s v="Monday"/>
    <n v="12"/>
  </r>
  <r>
    <s v="526067a4-ba1b-4a7d-9151-bda75d70ea16"/>
    <s v="***"/>
    <d v="2026-02-23T20:38:35"/>
    <n v="15"/>
    <x v="1"/>
    <d v="2026-02-23T12:38:35"/>
    <x v="21"/>
    <s v="Monday"/>
    <n v="12"/>
  </r>
  <r>
    <s v="57ad5e0e-02b9-445c-85fb-72fc0d249d14"/>
    <s v="***"/>
    <d v="2026-02-23T21:23:04"/>
    <n v="15"/>
    <x v="1"/>
    <d v="2026-02-23T13:23:04"/>
    <x v="21"/>
    <s v="Monday"/>
    <n v="13"/>
  </r>
  <r>
    <s v="b4fbfab7-aa96-4fcb-80c2-49a67e0262b8"/>
    <s v="***"/>
    <d v="2026-02-23T22:04:58"/>
    <n v="15"/>
    <x v="1"/>
    <d v="2026-02-23T14:04:58"/>
    <x v="21"/>
    <s v="Monday"/>
    <n v="14"/>
  </r>
  <r>
    <s v="c5750016-ea62-4265-adfe-8e8877d05eba"/>
    <s v="***"/>
    <d v="2026-02-23T23:45:56"/>
    <n v="15"/>
    <x v="1"/>
    <d v="2026-02-23T15:45:56"/>
    <x v="21"/>
    <s v="Monday"/>
    <n v="15"/>
  </r>
  <r>
    <s v="0859c25a-c676-4c25-b3e6-b4a27a0b07a0"/>
    <s v="***"/>
    <d v="2026-02-23T23:58:29"/>
    <n v="2"/>
    <x v="6"/>
    <d v="2026-02-23T15:58:29"/>
    <x v="21"/>
    <s v="Monday"/>
    <n v="15"/>
  </r>
  <r>
    <s v="1444205f-eb3a-4375-a04c-01d1cd72a98d"/>
    <s v="***"/>
    <d v="2026-02-24T00:06:55"/>
    <n v="2"/>
    <x v="6"/>
    <d v="2026-02-23T16:06:55"/>
    <x v="21"/>
    <s v="Monday"/>
    <n v="16"/>
  </r>
  <r>
    <s v="e5d72f98-ae47-4608-987c-204a6974ca74"/>
    <s v="***"/>
    <d v="2026-02-24T00:07:27"/>
    <n v="15"/>
    <x v="1"/>
    <d v="2026-02-23T16:07:27"/>
    <x v="21"/>
    <s v="Monday"/>
    <n v="16"/>
  </r>
  <r>
    <s v="315c7494-df00-47af-9ad0-875b9a1bb833"/>
    <s v="***"/>
    <d v="2026-02-24T01:05:48"/>
    <n v="2"/>
    <x v="6"/>
    <d v="2026-02-23T17:05:48"/>
    <x v="21"/>
    <s v="Monday"/>
    <n v="17"/>
  </r>
  <r>
    <s v="2a625dac-9000-4ce2-8df2-64fa74ac2247"/>
    <s v="***"/>
    <d v="2026-02-24T01:09:49"/>
    <n v="15"/>
    <x v="1"/>
    <d v="2026-02-23T17:09:49"/>
    <x v="21"/>
    <s v="Monday"/>
    <n v="17"/>
  </r>
  <r>
    <s v="e7069794-1198-4f81-ad36-00a6a5ea318a"/>
    <s v="***"/>
    <d v="2026-02-24T01:13:57"/>
    <n v="15"/>
    <x v="1"/>
    <d v="2026-02-23T17:13:57"/>
    <x v="21"/>
    <s v="Monday"/>
    <n v="17"/>
  </r>
  <r>
    <s v="e3b5ee82-73ac-4142-bb6d-8e255fed26ac"/>
    <s v="***"/>
    <d v="2026-02-24T03:04:57"/>
    <n v="15"/>
    <x v="1"/>
    <d v="2026-02-23T19:04:57"/>
    <x v="21"/>
    <s v="Monday"/>
    <n v="19"/>
  </r>
  <r>
    <s v="347e46af-1375-48ec-89d5-a7ead8ea2a18"/>
    <s v="***"/>
    <d v="2026-02-24T04:04:01"/>
    <n v="2"/>
    <x v="6"/>
    <d v="2026-02-23T20:04:01"/>
    <x v="21"/>
    <s v="Monday"/>
    <n v="20"/>
  </r>
  <r>
    <s v="d234b195-e0ee-4be8-9ac7-250b763ec178"/>
    <s v="***"/>
    <d v="2026-02-24T04:16:12"/>
    <n v="15"/>
    <x v="1"/>
    <d v="2026-02-23T20:16:12"/>
    <x v="21"/>
    <s v="Monday"/>
    <n v="20"/>
  </r>
  <r>
    <s v="1078fb76-2e7d-47bd-984c-5a06dac65f4f"/>
    <s v="***"/>
    <d v="2026-02-24T05:21:16"/>
    <n v="35"/>
    <x v="1"/>
    <d v="2026-02-23T21:21:16"/>
    <x v="21"/>
    <s v="Monday"/>
    <n v="21"/>
  </r>
  <r>
    <s v="e7ce41d5-770e-454e-b177-8b2f0fb004ad"/>
    <s v="***"/>
    <d v="2026-02-24T05:32:08"/>
    <n v="15"/>
    <x v="1"/>
    <d v="2026-02-23T21:32:08"/>
    <x v="21"/>
    <s v="Monday"/>
    <n v="21"/>
  </r>
  <r>
    <s v="85c8c481-4c69-49f2-b3aa-0c5688f5c841"/>
    <s v="***"/>
    <d v="2026-02-24T05:50:59"/>
    <n v="36"/>
    <x v="1"/>
    <d v="2026-02-23T21:50:59"/>
    <x v="21"/>
    <s v="Monday"/>
    <n v="21"/>
  </r>
  <r>
    <s v="6324e3e3-57ed-4d70-b24e-44ca141e0ef9"/>
    <s v="***"/>
    <d v="2026-02-24T06:39:01"/>
    <n v="634"/>
    <x v="5"/>
    <d v="2026-02-23T22:39:01"/>
    <x v="21"/>
    <s v="Monday"/>
    <n v="22"/>
  </r>
  <r>
    <s v="48215c63-7e93-44dd-9035-602ec652837c"/>
    <s v="***"/>
    <d v="2026-02-24T07:25:47"/>
    <n v="4"/>
    <x v="1"/>
    <d v="2026-02-23T23:25:47"/>
    <x v="21"/>
    <s v="Monday"/>
    <n v="23"/>
  </r>
  <r>
    <s v="d4247fa8-050f-4d08-a22a-6137badb0888"/>
    <s v="***"/>
    <d v="2026-02-24T08:24:52"/>
    <n v="3"/>
    <x v="1"/>
    <d v="2026-02-24T00:24:52"/>
    <x v="22"/>
    <s v="Tuesday"/>
    <n v="0"/>
  </r>
  <r>
    <s v="bc576333-25ed-46a8-89f5-6c934241117e"/>
    <s v="***"/>
    <d v="2026-02-24T08:38:58"/>
    <n v="2"/>
    <x v="16"/>
    <d v="2026-02-24T00:38:58"/>
    <x v="22"/>
    <s v="Tuesday"/>
    <n v="0"/>
  </r>
  <r>
    <s v="4e4ea514-536a-470b-8241-c8ad1bb3ed1d"/>
    <s v="***"/>
    <d v="2026-02-24T08:42:49"/>
    <n v="3"/>
    <x v="59"/>
    <d v="2026-02-24T00:42:49"/>
    <x v="22"/>
    <s v="Tuesday"/>
    <n v="0"/>
  </r>
  <r>
    <s v="617ad87e-b105-4389-b328-ecc350c51165"/>
    <s v="***"/>
    <d v="2026-02-24T08:51:15"/>
    <n v="2"/>
    <x v="1"/>
    <d v="2026-02-24T00:51:15"/>
    <x v="22"/>
    <s v="Tuesday"/>
    <n v="0"/>
  </r>
  <r>
    <s v="b60ba415-35dd-4171-944d-4d81bd83bd7a"/>
    <s v="***"/>
    <d v="2026-02-24T08:58:29"/>
    <n v="36"/>
    <x v="1"/>
    <d v="2026-02-24T00:58:29"/>
    <x v="22"/>
    <s v="Tuesday"/>
    <n v="0"/>
  </r>
  <r>
    <s v="ea56eee8-47c6-4075-a5da-c4034c09b34e"/>
    <s v="***"/>
    <d v="2026-02-24T09:09:47"/>
    <n v="2"/>
    <x v="1"/>
    <d v="2026-02-24T01:09:47"/>
    <x v="22"/>
    <s v="Tuesday"/>
    <n v="1"/>
  </r>
  <r>
    <s v="58ae440f-cd8b-4125-8d23-4fb41453209a"/>
    <s v="***"/>
    <d v="2026-02-24T09:10:17"/>
    <n v="2"/>
    <x v="1"/>
    <d v="2026-02-24T01:10:17"/>
    <x v="22"/>
    <s v="Tuesday"/>
    <n v="1"/>
  </r>
  <r>
    <s v="15e1af90-a20c-4d1c-99fe-a6082897dc7b"/>
    <s v="***"/>
    <d v="2026-02-24T09:27:19"/>
    <n v="3"/>
    <x v="1"/>
    <d v="2026-02-24T01:27:19"/>
    <x v="22"/>
    <s v="Tuesday"/>
    <n v="1"/>
  </r>
  <r>
    <s v="49af84df-1ab3-440b-a562-dfbae8d114f6"/>
    <s v="***"/>
    <d v="2026-02-24T09:30:17"/>
    <n v="2"/>
    <x v="1"/>
    <d v="2026-02-24T01:30:17"/>
    <x v="22"/>
    <s v="Tuesday"/>
    <n v="1"/>
  </r>
  <r>
    <s v="a4b4399c-cc40-49d6-894b-1faa2f9da8f4"/>
    <s v="***"/>
    <d v="2026-02-24T10:29:37"/>
    <n v="36"/>
    <x v="60"/>
    <d v="2026-02-24T02:29:37"/>
    <x v="22"/>
    <s v="Tuesday"/>
    <n v="2"/>
  </r>
  <r>
    <s v="d6447d2c-a2d6-4784-888d-7e206a5c8075"/>
    <s v="***"/>
    <d v="2026-02-24T10:30:31"/>
    <n v="36"/>
    <x v="1"/>
    <d v="2026-02-24T02:30:31"/>
    <x v="22"/>
    <s v="Tuesday"/>
    <n v="2"/>
  </r>
  <r>
    <s v="b5800111-47f2-4d7b-9317-804a194b9325"/>
    <s v="***"/>
    <d v="2026-02-24T10:32:14"/>
    <n v="36"/>
    <x v="1"/>
    <d v="2026-02-24T02:32:14"/>
    <x v="22"/>
    <s v="Tuesday"/>
    <n v="2"/>
  </r>
  <r>
    <s v="b4b48dec-2752-4966-a7d6-ebcda39ed903"/>
    <s v="***"/>
    <d v="2026-02-24T10:33:39"/>
    <n v="3"/>
    <x v="6"/>
    <d v="2026-02-24T02:33:39"/>
    <x v="22"/>
    <s v="Tuesday"/>
    <n v="2"/>
  </r>
  <r>
    <s v="b34cd478-0298-43b4-bc58-674f32a73202"/>
    <s v="***"/>
    <d v="2026-02-24T10:50:01"/>
    <n v="1"/>
    <x v="1"/>
    <d v="2026-02-24T02:50:01"/>
    <x v="22"/>
    <s v="Tuesday"/>
    <n v="2"/>
  </r>
  <r>
    <s v="b44d85df-fa0b-4fe7-b7b9-8cb7f5821c55"/>
    <s v="***"/>
    <d v="2026-02-24T10:50:18"/>
    <n v="1"/>
    <x v="1"/>
    <d v="2026-02-24T02:50:18"/>
    <x v="22"/>
    <s v="Tuesday"/>
    <n v="2"/>
  </r>
  <r>
    <s v="f3a34cd5-0b11-46ed-a739-0adeb51d13c5"/>
    <s v="***"/>
    <d v="2026-02-24T11:16:04"/>
    <n v="3"/>
    <x v="1"/>
    <d v="2026-02-24T03:16:04"/>
    <x v="22"/>
    <s v="Tuesday"/>
    <n v="3"/>
  </r>
  <r>
    <s v="18357777-71dc-490f-ba4e-6850cff20539"/>
    <s v="***"/>
    <d v="2026-02-24T11:47:09"/>
    <n v="36"/>
    <x v="1"/>
    <d v="2026-02-24T03:47:09"/>
    <x v="22"/>
    <s v="Tuesday"/>
    <n v="3"/>
  </r>
  <r>
    <s v="6aaae361-6ca1-4f3e-b624-a7289bbbaca5"/>
    <s v="***"/>
    <d v="2026-02-24T11:48:28"/>
    <n v="36"/>
    <x v="1"/>
    <d v="2026-02-24T03:48:28"/>
    <x v="22"/>
    <s v="Tuesday"/>
    <n v="3"/>
  </r>
  <r>
    <s v="532ebef0-4390-4a3a-a0c8-060edecc6bb8"/>
    <s v="***"/>
    <d v="2026-02-24T11:51:39"/>
    <n v="433"/>
    <x v="6"/>
    <d v="2026-02-24T03:51:39"/>
    <x v="22"/>
    <s v="Tuesday"/>
    <n v="3"/>
  </r>
  <r>
    <s v="7602bb6c-3f23-43a5-a159-56ddd273b6a2"/>
    <s v="***"/>
    <d v="2026-02-24T12:08:14"/>
    <n v="36"/>
    <x v="1"/>
    <d v="2026-02-24T04:08:14"/>
    <x v="22"/>
    <s v="Tuesday"/>
    <n v="4"/>
  </r>
  <r>
    <s v="f4a38f9d-4cff-4896-9a4a-9572ef970a4b"/>
    <s v="***"/>
    <d v="2026-02-24T12:20:24"/>
    <n v="2"/>
    <x v="1"/>
    <d v="2026-02-24T04:20:24"/>
    <x v="22"/>
    <s v="Tuesday"/>
    <n v="4"/>
  </r>
  <r>
    <s v="9d068b18-17a0-4dbb-a67d-549b82324574"/>
    <s v="***"/>
    <d v="2026-02-24T12:53:20"/>
    <n v="433"/>
    <x v="1"/>
    <d v="2026-02-24T04:53:20"/>
    <x v="22"/>
    <s v="Tuesday"/>
    <n v="4"/>
  </r>
  <r>
    <s v="b8e2bfae-08dd-4e97-a021-b88974aabf69"/>
    <s v="***"/>
    <d v="2026-02-24T13:32:54"/>
    <n v="15"/>
    <x v="1"/>
    <d v="2026-02-24T05:32:54"/>
    <x v="22"/>
    <s v="Tuesday"/>
    <n v="5"/>
  </r>
  <r>
    <s v="38bbfe86-670e-43d5-abb3-182c5ac0b534"/>
    <s v="***"/>
    <d v="2026-02-24T13:32:56"/>
    <n v="40"/>
    <x v="1"/>
    <d v="2026-02-24T05:32:56"/>
    <x v="22"/>
    <s v="Tuesday"/>
    <n v="5"/>
  </r>
  <r>
    <s v="8d1bb23f-c746-4538-bbd7-601791cf35c5"/>
    <s v="***"/>
    <d v="2026-02-24T15:34:34"/>
    <n v="36"/>
    <x v="1"/>
    <d v="2026-02-24T07:34:34"/>
    <x v="22"/>
    <s v="Tuesday"/>
    <n v="7"/>
  </r>
  <r>
    <s v="f78f37fa-d522-4912-83a1-cd82920727a7"/>
    <s v="***"/>
    <d v="2026-02-24T15:46:44"/>
    <n v="36"/>
    <x v="1"/>
    <d v="2026-02-24T07:46:44"/>
    <x v="22"/>
    <s v="Tuesday"/>
    <n v="7"/>
  </r>
  <r>
    <s v="914f29fe-562d-41e9-a452-1ff67b5ba51f"/>
    <s v="***"/>
    <d v="2026-02-24T16:01:18"/>
    <n v="3"/>
    <x v="1"/>
    <d v="2026-02-24T08:01:18"/>
    <x v="22"/>
    <s v="Tuesday"/>
    <n v="8"/>
  </r>
  <r>
    <s v="09e83b10-9f4f-41e1-b2e6-42a286ede2fd"/>
    <s v="***"/>
    <d v="2026-02-24T16:12:31"/>
    <n v="36"/>
    <x v="1"/>
    <d v="2026-02-24T08:12:31"/>
    <x v="22"/>
    <s v="Tuesday"/>
    <n v="8"/>
  </r>
  <r>
    <s v="02ab72d3-e5ee-464e-b0d3-d45920429bb0"/>
    <s v="***"/>
    <d v="2026-02-25T06:35:19"/>
    <n v="2"/>
    <x v="1"/>
    <d v="2026-02-24T22:35:19"/>
    <x v="22"/>
    <s v="Tuesday"/>
    <n v="22"/>
  </r>
  <r>
    <s v="eaea8b9f-f4db-454f-be00-287808d49daa"/>
    <s v="***"/>
    <d v="2026-02-25T07:20:59"/>
    <n v="36"/>
    <x v="1"/>
    <d v="2026-02-24T23:20:59"/>
    <x v="22"/>
    <s v="Tuesday"/>
    <n v="23"/>
  </r>
  <r>
    <s v="e67fc6f1-2b80-4f74-a4ce-c70e1a9415be"/>
    <s v="***"/>
    <d v="2026-02-25T07:41:01"/>
    <n v="2"/>
    <x v="1"/>
    <d v="2026-02-24T23:41:01"/>
    <x v="22"/>
    <s v="Tuesday"/>
    <n v="23"/>
  </r>
  <r>
    <s v="6a4c81d3-3c21-4faa-a1f0-48eae31aaa1a"/>
    <s v="***"/>
    <d v="2026-02-25T07:43:34"/>
    <n v="36"/>
    <x v="1"/>
    <d v="2026-02-24T23:43:34"/>
    <x v="22"/>
    <s v="Tuesday"/>
    <n v="23"/>
  </r>
  <r>
    <s v="2598b917-95c3-4705-9e2e-7d70a44445df"/>
    <s v="***"/>
    <d v="2026-02-25T07:53:30"/>
    <n v="36"/>
    <x v="1"/>
    <d v="2026-02-24T23:53:30"/>
    <x v="22"/>
    <s v="Tuesday"/>
    <n v="23"/>
  </r>
  <r>
    <s v="519b67d2-37d6-4e5a-82e0-b3c6b8b1e7ba"/>
    <s v="***"/>
    <d v="2026-02-25T07:58:07"/>
    <n v="2"/>
    <x v="1"/>
    <d v="2026-02-24T23:58:07"/>
    <x v="22"/>
    <s v="Tuesday"/>
    <n v="23"/>
  </r>
  <r>
    <s v="f6a0127c-af4f-4a46-b011-e6adab48d0b2"/>
    <s v="***"/>
    <d v="2026-02-25T08:00:09"/>
    <n v="36"/>
    <x v="1"/>
    <d v="2026-02-25T00:00:09"/>
    <x v="23"/>
    <s v="Wednesday"/>
    <n v="0"/>
  </r>
  <r>
    <s v="1671ed54-283e-4814-ad90-d8eefb39b8c9"/>
    <s v="***"/>
    <d v="2026-02-25T11:32:06"/>
    <n v="4"/>
    <x v="1"/>
    <d v="2026-02-25T03:32:06"/>
    <x v="23"/>
    <s v="Wednesday"/>
    <n v="3"/>
  </r>
  <r>
    <s v="dd24751a-56c0-4583-a811-289eca95e723"/>
    <s v="***"/>
    <d v="2026-02-26T07:06:35"/>
    <n v="632"/>
    <x v="5"/>
    <d v="2026-02-25T23:06:35"/>
    <x v="23"/>
    <s v="Wednesday"/>
    <n v="23"/>
  </r>
  <r>
    <s v="100ba8b2-3986-48b3-9c06-b2c057c02f39"/>
    <s v="***"/>
    <d v="2026-02-26T09:18:00"/>
    <n v="2"/>
    <x v="1"/>
    <d v="2026-02-26T01:18:00"/>
    <x v="24"/>
    <s v="Thursday"/>
    <n v="1"/>
  </r>
  <r>
    <s v="c938f393-052c-4ffb-9e75-b738102bf096"/>
    <s v="***"/>
    <d v="2026-02-26T09:21:12"/>
    <n v="16"/>
    <x v="1"/>
    <d v="2026-02-26T01:21:12"/>
    <x v="24"/>
    <s v="Thursday"/>
    <n v="1"/>
  </r>
  <r>
    <s v="38318297-a10e-4f5f-b249-0251d818777e"/>
    <s v="***"/>
    <d v="2026-02-26T09:32:40"/>
    <n v="6"/>
    <x v="1"/>
    <d v="2026-02-26T01:32:40"/>
    <x v="24"/>
    <s v="Thursday"/>
    <n v="1"/>
  </r>
  <r>
    <s v="d21fb204-3578-4ad4-ae6c-03cfb9c86b99"/>
    <s v="***"/>
    <d v="2026-02-26T16:26:23"/>
    <n v="433"/>
    <x v="6"/>
    <d v="2026-02-26T08:26:23"/>
    <x v="24"/>
    <s v="Thursday"/>
    <n v="8"/>
  </r>
  <r>
    <s v="1ff654c2-ba6b-4262-8711-fb3c1588c3ca"/>
    <s v="***"/>
    <d v="2026-02-26T17:58:33"/>
    <n v="1"/>
    <x v="61"/>
    <d v="2026-02-26T09:58:33"/>
    <x v="24"/>
    <s v="Thursday"/>
    <n v="9"/>
  </r>
  <r>
    <s v="91bcd0b2-7193-411b-b73a-26900ad8e00b"/>
    <s v="***"/>
    <d v="2026-02-26T18:00:54"/>
    <n v="1"/>
    <x v="61"/>
    <d v="2026-02-26T10:00:54"/>
    <x v="24"/>
    <s v="Thursday"/>
    <n v="10"/>
  </r>
  <r>
    <s v="fff64b2c-3da9-4b52-a897-5435a5503b79"/>
    <s v="***"/>
    <d v="2026-02-26T18:04:17"/>
    <n v="1"/>
    <x v="62"/>
    <d v="2026-02-26T10:04:17"/>
    <x v="24"/>
    <s v="Thursday"/>
    <n v="10"/>
  </r>
  <r>
    <s v="3371e68e-af28-4e13-9b96-4d3ca1a106fd"/>
    <s v="***"/>
    <d v="2026-02-26T18:08:07"/>
    <n v="1"/>
    <x v="1"/>
    <d v="2026-02-26T10:08:07"/>
    <x v="24"/>
    <s v="Thursday"/>
    <n v="10"/>
  </r>
  <r>
    <s v="b82ed1fe-d1bb-4fa6-8d6a-e6749224eb6a"/>
    <s v="***"/>
    <d v="2026-02-27T07:56:34"/>
    <n v="1"/>
    <x v="1"/>
    <d v="2026-02-26T23:56:34"/>
    <x v="24"/>
    <s v="Thursday"/>
    <n v="23"/>
  </r>
  <r>
    <s v="0c167ded-1dd0-4550-bea7-da0d9ab260d9"/>
    <s v="***"/>
    <d v="2026-02-27T08:03:13"/>
    <n v="1"/>
    <x v="1"/>
    <d v="2026-02-27T00:03:13"/>
    <x v="25"/>
    <s v="Friday"/>
    <n v="0"/>
  </r>
  <r>
    <s v="1f65188a-bbf6-4f04-9a0c-59f9fd259c47"/>
    <s v="***"/>
    <d v="2026-02-28T03:00:44"/>
    <n v="1"/>
    <x v="1"/>
    <d v="2026-02-27T19:00:44"/>
    <x v="25"/>
    <s v="Friday"/>
    <n v="19"/>
  </r>
  <r>
    <s v="288bbc5a-77f9-4da4-b317-0653116cf344"/>
    <s v="***"/>
    <d v="2026-02-28T09:43:32"/>
    <n v="2"/>
    <x v="1"/>
    <d v="2026-02-28T01:43:32"/>
    <x v="26"/>
    <s v="Saturday"/>
    <n v="1"/>
  </r>
  <r>
    <s v="a90ce5c9-cd29-496f-8e40-fa84dbc494c3"/>
    <s v="***"/>
    <d v="2026-02-28T11:46:33"/>
    <n v="15"/>
    <x v="1"/>
    <d v="2026-02-28T03:46:33"/>
    <x v="26"/>
    <s v="Saturday"/>
    <n v="3"/>
  </r>
  <r>
    <s v="9813ff00-0ee1-4ade-b4f7-cd3c5ed17844"/>
    <s v="***"/>
    <d v="2026-02-28T15:04:10"/>
    <n v="2"/>
    <x v="1"/>
    <d v="2026-02-28T07:04:10"/>
    <x v="26"/>
    <s v="Saturday"/>
    <n v="7"/>
  </r>
  <r>
    <s v="4d7fd1b4-8810-4a28-8e31-99c7f58827a3"/>
    <s v="***"/>
    <d v="2026-03-01T05:46:17"/>
    <n v="1"/>
    <x v="1"/>
    <d v="2026-02-28T21:46:17"/>
    <x v="26"/>
    <s v="Saturday"/>
    <n v="21"/>
  </r>
  <r>
    <s v="26af75bf-d843-4e0c-8006-362746a55d95"/>
    <s v="***"/>
    <d v="2026-03-01T08:22:45"/>
    <n v="2"/>
    <x v="63"/>
    <d v="2026-03-01T00:22:45"/>
    <x v="27"/>
    <s v="Sunday"/>
    <n v="0"/>
  </r>
  <r>
    <s v="29c8eb28-1822-4c02-82bf-2e9f1c7ff477"/>
    <s v="***"/>
    <d v="2026-03-01T10:46:47"/>
    <n v="35"/>
    <x v="1"/>
    <d v="2026-03-01T02:46:47"/>
    <x v="27"/>
    <s v="Sunday"/>
    <n v="2"/>
  </r>
  <r>
    <s v="129f6af1-ba5a-47b3-81f9-5dd9819170b8"/>
    <s v="***"/>
    <d v="2026-03-01T12:29:27"/>
    <n v="2"/>
    <x v="1"/>
    <d v="2026-03-01T04:29:27"/>
    <x v="27"/>
    <s v="Sunday"/>
    <n v="4"/>
  </r>
  <r>
    <s v="675ac5c6-c7ee-4294-908a-d67af61c9e01"/>
    <s v="***"/>
    <d v="2026-03-01T18:26:53"/>
    <n v="2"/>
    <x v="9"/>
    <d v="2026-03-01T10:26:53"/>
    <x v="27"/>
    <s v="Sunday"/>
    <n v="10"/>
  </r>
  <r>
    <s v="37d609d5-bf39-4644-a40e-1f610454285a"/>
    <s v="***"/>
    <d v="2026-03-01T20:47:31"/>
    <n v="15"/>
    <x v="64"/>
    <d v="2026-03-01T12:47:31"/>
    <x v="27"/>
    <s v="Sunday"/>
    <n v="12"/>
  </r>
  <r>
    <s v="b169ecc3-fcf3-4351-a425-ec004c7aa78b"/>
    <s v="***"/>
    <d v="2026-03-02T11:16:00"/>
    <n v="36"/>
    <x v="1"/>
    <d v="2026-03-02T03:16:00"/>
    <x v="28"/>
    <s v="Monday"/>
    <n v="3"/>
  </r>
  <r>
    <s v="8882f499-1d61-4704-ba9e-75a288a9d80e"/>
    <s v="***"/>
    <d v="2026-03-02T12:17:37"/>
    <n v="3"/>
    <x v="5"/>
    <d v="2026-03-02T04:17:37"/>
    <x v="28"/>
    <s v="Monday"/>
    <n v="4"/>
  </r>
  <r>
    <s v="d37b2958-1315-4d50-a41b-439ddc4c8086"/>
    <s v="***"/>
    <d v="2026-03-02T13:17:15"/>
    <n v="471"/>
    <x v="65"/>
    <d v="2026-03-02T05:17:15"/>
    <x v="28"/>
    <s v="Monday"/>
    <n v="5"/>
  </r>
  <r>
    <s v="20e02e0a-0f56-4f91-a279-1ae21026d04b"/>
    <s v="***"/>
    <d v="2026-03-02T14:14:42"/>
    <n v="2"/>
    <x v="1"/>
    <d v="2026-03-02T06:14:42"/>
    <x v="28"/>
    <s v="Monday"/>
    <n v="6"/>
  </r>
  <r>
    <s v="806979c7-0fdd-4612-ba37-1a95fee8fe67"/>
    <s v="***"/>
    <d v="2026-03-02T15:08:04"/>
    <n v="471"/>
    <x v="65"/>
    <d v="2026-03-02T07:08:04"/>
    <x v="28"/>
    <s v="Monday"/>
    <n v="7"/>
  </r>
  <r>
    <s v="b3f02c00-2b6b-4290-83b3-5f036220240c"/>
    <s v="***"/>
    <d v="2026-03-02T15:49:11"/>
    <n v="471"/>
    <x v="65"/>
    <d v="2026-03-02T07:49:11"/>
    <x v="28"/>
    <s v="Monday"/>
    <n v="7"/>
  </r>
  <r>
    <s v="09598fae-2e7d-4969-afe0-0e63ad0df07a"/>
    <s v="***"/>
    <d v="2026-03-02T16:05:51"/>
    <n v="471"/>
    <x v="65"/>
    <d v="2026-03-02T08:05:51"/>
    <x v="28"/>
    <s v="Monday"/>
    <n v="8"/>
  </r>
  <r>
    <s v="b5a94edb-6d5f-4eb4-8b52-018642520655"/>
    <s v="***"/>
    <d v="2026-03-02T17:11:44"/>
    <n v="471"/>
    <x v="65"/>
    <d v="2026-03-02T09:11:44"/>
    <x v="28"/>
    <s v="Monday"/>
    <n v="9"/>
  </r>
  <r>
    <s v="46f99116-51ec-47b6-aad6-cb2b4adea2ac"/>
    <s v="***"/>
    <d v="2026-03-02T18:14:05"/>
    <n v="432"/>
    <x v="5"/>
    <d v="2026-03-02T10:14:05"/>
    <x v="28"/>
    <s v="Monday"/>
    <n v="10"/>
  </r>
  <r>
    <s v="0cfe8357-c6bc-486d-bf5c-33c5e97268b2"/>
    <s v="***"/>
    <d v="2026-03-02T18:55:03"/>
    <n v="432"/>
    <x v="5"/>
    <d v="2026-03-02T10:55:03"/>
    <x v="28"/>
    <s v="Monday"/>
    <n v="10"/>
  </r>
  <r>
    <s v="c8592711-173d-458b-a383-6a5aadfbc3dd"/>
    <s v="***"/>
    <d v="2026-03-02T19:00:12"/>
    <n v="432"/>
    <x v="5"/>
    <d v="2026-03-02T11:00:12"/>
    <x v="28"/>
    <s v="Monday"/>
    <n v="11"/>
  </r>
  <r>
    <s v="a748931d-4102-44fa-99a5-94daff18f71f"/>
    <s v="***"/>
    <d v="2026-03-02T19:01:13"/>
    <n v="432"/>
    <x v="5"/>
    <d v="2026-03-02T11:01:13"/>
    <x v="28"/>
    <s v="Monday"/>
    <n v="11"/>
  </r>
  <r>
    <s v="910041c7-80a8-419f-9e4c-c280a4c4046b"/>
    <s v="***"/>
    <d v="2026-03-02T19:22:47"/>
    <n v="432"/>
    <x v="66"/>
    <d v="2026-03-02T11:22:47"/>
    <x v="28"/>
    <s v="Monday"/>
    <n v="11"/>
  </r>
  <r>
    <s v="6536f4dc-7be9-46bc-aac3-336a1dd92a11"/>
    <s v="***"/>
    <d v="2026-03-02T19:23:42"/>
    <n v="432"/>
    <x v="5"/>
    <d v="2026-03-02T11:23:42"/>
    <x v="28"/>
    <s v="Monday"/>
    <n v="11"/>
  </r>
  <r>
    <s v="489ac29d-5127-4e85-8c9a-c4e4b03c4e20"/>
    <s v="***"/>
    <d v="2026-03-02T20:39:17"/>
    <n v="432"/>
    <x v="5"/>
    <d v="2026-03-02T12:39:17"/>
    <x v="28"/>
    <s v="Monday"/>
    <n v="12"/>
  </r>
  <r>
    <s v="84d05156-a757-496f-a969-e0aafd3bff1b"/>
    <s v="***"/>
    <d v="2026-03-02T20:45:07"/>
    <n v="432"/>
    <x v="5"/>
    <d v="2026-03-02T12:45:07"/>
    <x v="28"/>
    <s v="Monday"/>
    <n v="12"/>
  </r>
  <r>
    <s v="c309cf4b-5bf6-4edf-8ba2-48307d12f0d3"/>
    <s v="***"/>
    <d v="2026-03-02T20:48:44"/>
    <n v="432"/>
    <x v="1"/>
    <d v="2026-03-02T12:48:44"/>
    <x v="28"/>
    <s v="Monday"/>
    <n v="12"/>
  </r>
  <r>
    <s v="c67632a4-ecf5-414b-84f7-633c9ccedcf2"/>
    <s v="***"/>
    <d v="2026-03-02T22:49:01"/>
    <n v="432"/>
    <x v="5"/>
    <d v="2026-03-02T14:49:01"/>
    <x v="28"/>
    <s v="Monday"/>
    <n v="14"/>
  </r>
  <r>
    <s v="195ab0a4-2dd8-4737-ad04-d5b7720859e0"/>
    <s v="***"/>
    <d v="2026-03-03T07:09:07"/>
    <n v="432"/>
    <x v="1"/>
    <d v="2026-03-02T23:09:07"/>
    <x v="28"/>
    <s v="Monday"/>
    <n v="23"/>
  </r>
  <r>
    <s v="65f17e6f-74d3-472f-8e32-03b585c883fc"/>
    <s v="***"/>
    <d v="2026-03-03T07:52:47"/>
    <n v="2"/>
    <x v="1"/>
    <d v="2026-03-02T23:52:47"/>
    <x v="28"/>
    <s v="Monday"/>
    <n v="23"/>
  </r>
  <r>
    <s v="0ead478a-9196-4495-99b4-6d5d7bb5f2b8"/>
    <s v="***"/>
    <d v="2026-03-03T08:13:39"/>
    <n v="432"/>
    <x v="6"/>
    <d v="2026-03-03T00:13:39"/>
    <x v="29"/>
    <s v="Tuesday"/>
    <n v="0"/>
  </r>
  <r>
    <s v="3ed0a3b7-fc2f-4b41-94a9-7ccf7b228c74"/>
    <s v="***"/>
    <d v="2026-03-03T09:56:07"/>
    <n v="432"/>
    <x v="5"/>
    <d v="2026-03-03T01:56:07"/>
    <x v="29"/>
    <s v="Tuesday"/>
    <n v="1"/>
  </r>
  <r>
    <s v="e4dfce3d-5c3d-4c19-8c4e-4a5515be7941"/>
    <s v="***"/>
    <d v="2026-03-03T11:21:17"/>
    <n v="471"/>
    <x v="66"/>
    <d v="2026-03-03T03:21:17"/>
    <x v="29"/>
    <s v="Tuesday"/>
    <n v="3"/>
  </r>
  <r>
    <s v="0c9a206d-f42f-4d6d-a200-260808e4a5fc"/>
    <s v="***"/>
    <d v="2026-03-03T11:50:36"/>
    <n v="36"/>
    <x v="1"/>
    <d v="2026-03-03T03:50:36"/>
    <x v="29"/>
    <s v="Tuesday"/>
    <n v="3"/>
  </r>
  <r>
    <s v="50f8b721-792e-4ea1-acf2-a3deedec7f3b"/>
    <s v="***"/>
    <d v="2026-03-03T11:53:18"/>
    <n v="36"/>
    <x v="1"/>
    <d v="2026-03-03T03:53:18"/>
    <x v="29"/>
    <s v="Tuesday"/>
    <n v="3"/>
  </r>
  <r>
    <s v="752ad235-a898-4f25-ab02-11c0a8e61513"/>
    <s v="***"/>
    <d v="2026-03-03T12:17:38"/>
    <n v="432"/>
    <x v="6"/>
    <d v="2026-03-03T04:17:38"/>
    <x v="29"/>
    <s v="Tuesday"/>
    <n v="4"/>
  </r>
  <r>
    <s v="e9a11c51-ef9f-48e5-a0c0-f2d56a08adc0"/>
    <s v="***"/>
    <d v="2026-03-03T13:09:12"/>
    <n v="36"/>
    <x v="1"/>
    <d v="2026-03-03T05:09:12"/>
    <x v="29"/>
    <s v="Tuesday"/>
    <n v="5"/>
  </r>
  <r>
    <s v="60f56d51-a15c-4510-bf92-3084eea20afa"/>
    <s v="***"/>
    <d v="2026-03-03T13:42:57"/>
    <n v="2"/>
    <x v="1"/>
    <d v="2026-03-03T05:42:57"/>
    <x v="29"/>
    <s v="Tuesday"/>
    <n v="5"/>
  </r>
  <r>
    <s v="7f84e5a2-b9c8-438d-84fb-3eae31885002"/>
    <s v="***"/>
    <d v="2026-03-03T14:47:33"/>
    <n v="3"/>
    <x v="6"/>
    <d v="2026-03-03T06:47:33"/>
    <x v="29"/>
    <s v="Tuesday"/>
    <n v="6"/>
  </r>
  <r>
    <s v="ad3c21c6-1e23-4fa1-a066-a6b07d5bcbe5"/>
    <s v="***"/>
    <d v="2026-03-03T14:57:48"/>
    <n v="35"/>
    <x v="67"/>
    <d v="2026-03-03T06:57:48"/>
    <x v="29"/>
    <s v="Tuesday"/>
    <n v="6"/>
  </r>
  <r>
    <s v="5f6c701d-4b08-4da2-9ddc-b4c1c0949fc6"/>
    <s v="***"/>
    <d v="2026-03-03T14:59:08"/>
    <n v="35"/>
    <x v="68"/>
    <d v="2026-03-03T06:59:08"/>
    <x v="29"/>
    <s v="Tuesday"/>
    <n v="6"/>
  </r>
  <r>
    <s v="e3a412a3-2de0-47c1-85ef-05eb8ee3fd79"/>
    <s v="***"/>
    <d v="2026-03-03T14:59:38"/>
    <n v="16"/>
    <x v="1"/>
    <d v="2026-03-03T06:59:38"/>
    <x v="29"/>
    <s v="Tuesday"/>
    <n v="6"/>
  </r>
  <r>
    <s v="5625deb4-8ba3-4c77-b2e5-98f164342507"/>
    <s v="***"/>
    <d v="2026-03-03T15:00:23"/>
    <n v="471"/>
    <x v="66"/>
    <d v="2026-03-03T07:00:23"/>
    <x v="29"/>
    <s v="Tuesday"/>
    <n v="7"/>
  </r>
  <r>
    <s v="ac3a8211-1189-401f-a936-ee7622da3542"/>
    <s v="***"/>
    <d v="2026-03-03T15:02:38"/>
    <n v="16"/>
    <x v="1"/>
    <d v="2026-03-03T07:02:38"/>
    <x v="29"/>
    <s v="Tuesday"/>
    <n v="7"/>
  </r>
  <r>
    <s v="6bd08f1b-4a3d-4bc6-bd46-e98c956182a0"/>
    <s v="***"/>
    <d v="2026-03-03T15:23:13"/>
    <n v="471"/>
    <x v="6"/>
    <d v="2026-03-03T07:23:13"/>
    <x v="29"/>
    <s v="Tuesday"/>
    <n v="7"/>
  </r>
  <r>
    <s v="139a7ba1-285b-4d14-8ea5-825dc7bcd57f"/>
    <s v="***"/>
    <d v="2026-03-03T16:28:22"/>
    <n v="1"/>
    <x v="1"/>
    <d v="2026-03-03T08:28:22"/>
    <x v="29"/>
    <s v="Tuesday"/>
    <n v="8"/>
  </r>
  <r>
    <s v="cf1027c2-0664-4b9b-8d9f-2ecfaebf131a"/>
    <s v="***"/>
    <d v="2026-03-03T16:42:31"/>
    <n v="1"/>
    <x v="26"/>
    <d v="2026-03-03T08:42:31"/>
    <x v="29"/>
    <s v="Tuesday"/>
    <n v="8"/>
  </r>
  <r>
    <s v="e1126aea-b07c-48c3-a008-393efdf8cbec"/>
    <s v="***"/>
    <d v="2026-03-03T18:42:11"/>
    <n v="432"/>
    <x v="69"/>
    <d v="2026-03-03T10:42:11"/>
    <x v="29"/>
    <s v="Tuesday"/>
    <n v="10"/>
  </r>
  <r>
    <s v="ec6a948d-1e25-4ec4-8541-7feb68c83947"/>
    <s v="***"/>
    <d v="2026-03-03T21:05:48"/>
    <n v="3"/>
    <x v="66"/>
    <d v="2026-03-03T13:05:48"/>
    <x v="29"/>
    <s v="Tuesday"/>
    <n v="13"/>
  </r>
  <r>
    <s v="688f6eeb-69ff-44a2-9c4e-17d70863f777"/>
    <s v="***"/>
    <d v="2026-03-04T07:32:09"/>
    <n v="432"/>
    <x v="1"/>
    <d v="2026-03-03T23:32:09"/>
    <x v="29"/>
    <s v="Tuesday"/>
    <n v="23"/>
  </r>
  <r>
    <s v="b0e99442-ffd6-4a1e-8b51-36b5f2a0b766"/>
    <s v="***"/>
    <d v="2026-03-04T08:24:47"/>
    <n v="2"/>
    <x v="1"/>
    <d v="2026-03-04T00:24:47"/>
    <x v="30"/>
    <s v="Wednesday"/>
    <n v="0"/>
  </r>
  <r>
    <s v="b30ab02d-b2b9-4877-8860-eea86a816eb6"/>
    <s v="***"/>
    <d v="2026-03-04T09:27:42"/>
    <n v="471"/>
    <x v="69"/>
    <d v="2026-03-04T01:27:42"/>
    <x v="30"/>
    <s v="Wednesday"/>
    <n v="1"/>
  </r>
  <r>
    <s v="73722c23-2750-46f4-9b46-4f79b9118550"/>
    <s v="***"/>
    <d v="2026-03-04T09:40:11"/>
    <n v="471"/>
    <x v="69"/>
    <d v="2026-03-04T01:40:11"/>
    <x v="30"/>
    <s v="Wednesday"/>
    <n v="1"/>
  </r>
  <r>
    <s v="bea1acb9-fa23-448c-b5fd-2dc00ba5ce2a"/>
    <s v="***"/>
    <d v="2026-03-04T10:16:51"/>
    <n v="471"/>
    <x v="69"/>
    <d v="2026-03-04T02:16:51"/>
    <x v="30"/>
    <s v="Wednesday"/>
    <n v="2"/>
  </r>
  <r>
    <s v="57c9d9c0-a44d-4233-8aa7-f9d50ba81a61"/>
    <s v="***"/>
    <d v="2026-03-04T10:59:02"/>
    <n v="471"/>
    <x v="69"/>
    <d v="2026-03-04T02:59:02"/>
    <x v="30"/>
    <s v="Wednesday"/>
    <n v="2"/>
  </r>
  <r>
    <s v="d45c05be-e361-4ada-9eb9-2efe6f6e210c"/>
    <s v="***"/>
    <d v="2026-03-04T11:01:28"/>
    <n v="432"/>
    <x v="6"/>
    <d v="2026-03-04T03:01:28"/>
    <x v="30"/>
    <s v="Wednesday"/>
    <n v="3"/>
  </r>
  <r>
    <s v="d6c1dab8-4900-46f3-8421-c6c5f48c4ded"/>
    <s v="***"/>
    <d v="2026-03-04T12:42:05"/>
    <n v="3"/>
    <x v="1"/>
    <d v="2026-03-04T04:42:05"/>
    <x v="30"/>
    <s v="Wednesday"/>
    <n v="4"/>
  </r>
  <r>
    <s v="7dba5405-e312-4fc1-954e-dc7d9a850453"/>
    <s v="***"/>
    <d v="2026-03-04T12:44:04"/>
    <n v="432"/>
    <x v="6"/>
    <d v="2026-03-04T04:44:04"/>
    <x v="30"/>
    <s v="Wednesday"/>
    <n v="4"/>
  </r>
  <r>
    <s v="d721752b-76ac-48c2-8bed-77a0e98907fc"/>
    <s v="***"/>
    <d v="2026-03-04T13:01:36"/>
    <n v="429"/>
    <x v="1"/>
    <d v="2026-03-04T05:01:36"/>
    <x v="30"/>
    <s v="Wednesday"/>
    <n v="5"/>
  </r>
  <r>
    <s v="d18ad51a-cd56-4459-801d-49b78426f9a4"/>
    <s v="***"/>
    <d v="2026-03-04T13:54:51"/>
    <n v="3"/>
    <x v="6"/>
    <d v="2026-03-04T05:54:51"/>
    <x v="30"/>
    <s v="Wednesday"/>
    <n v="5"/>
  </r>
  <r>
    <s v="100b55af-2728-49aa-9688-c968b73fd850"/>
    <s v="***"/>
    <d v="2026-03-04T14:54:56"/>
    <n v="432"/>
    <x v="1"/>
    <d v="2026-03-04T06:54:56"/>
    <x v="30"/>
    <s v="Wednesday"/>
    <n v="6"/>
  </r>
  <r>
    <s v="a5950a4d-5137-40b2-a5c4-78e640c00923"/>
    <s v="***"/>
    <d v="2026-03-04T16:42:48"/>
    <n v="3"/>
    <x v="1"/>
    <d v="2026-03-04T08:42:48"/>
    <x v="30"/>
    <s v="Wednesday"/>
    <n v="8"/>
  </r>
  <r>
    <s v="d2fa2e1e-c57b-4985-81c9-90ed49119dc1"/>
    <s v="***"/>
    <d v="2026-03-04T19:26:37"/>
    <n v="432"/>
    <x v="1"/>
    <d v="2026-03-04T11:26:37"/>
    <x v="30"/>
    <s v="Wednesday"/>
    <n v="11"/>
  </r>
  <r>
    <s v="80538a20-a5a9-4d86-9b90-0e17102a6d56"/>
    <s v="***"/>
    <d v="2026-03-05T04:55:53"/>
    <n v="2"/>
    <x v="1"/>
    <d v="2026-03-04T20:55:53"/>
    <x v="30"/>
    <s v="Wednesday"/>
    <n v="20"/>
  </r>
  <r>
    <s v="af1a672c-fb2e-4c63-8ff8-9c913be87f73"/>
    <s v="***"/>
    <d v="2026-03-05T05:06:59"/>
    <n v="1"/>
    <x v="70"/>
    <d v="2026-03-04T21:06:59"/>
    <x v="30"/>
    <s v="Wednesday"/>
    <n v="21"/>
  </r>
  <r>
    <s v="fa86949b-216a-4f47-9e89-b0f9dc2ba40b"/>
    <s v="***"/>
    <d v="2026-03-05T08:25:30"/>
    <n v="432"/>
    <x v="6"/>
    <d v="2026-03-05T00:25:30"/>
    <x v="31"/>
    <s v="Thursday"/>
    <n v="0"/>
  </r>
  <r>
    <s v="3d6b36a7-ce6a-4bec-b5ae-c9503fab482e"/>
    <s v="***"/>
    <d v="2026-03-05T08:30:17"/>
    <n v="3"/>
    <x v="1"/>
    <d v="2026-03-05T00:30:17"/>
    <x v="31"/>
    <s v="Thursday"/>
    <n v="0"/>
  </r>
  <r>
    <s v="1b277dd4-c3a6-4533-9db8-9104ac2e7f51"/>
    <s v="***"/>
    <d v="2026-03-05T08:36:55"/>
    <n v="471"/>
    <x v="71"/>
    <d v="2026-03-05T00:36:55"/>
    <x v="31"/>
    <s v="Thursday"/>
    <n v="0"/>
  </r>
  <r>
    <s v="9a926815-1167-4219-8abd-0e460012f56f"/>
    <s v="***"/>
    <d v="2026-03-05T09:47:55"/>
    <n v="2"/>
    <x v="72"/>
    <d v="2026-03-05T01:47:55"/>
    <x v="31"/>
    <s v="Thursday"/>
    <n v="1"/>
  </r>
  <r>
    <s v="9e3d01c1-69e4-4bbd-993a-18617ca35f90"/>
    <s v="***"/>
    <d v="2026-03-05T10:40:33"/>
    <n v="532"/>
    <x v="1"/>
    <d v="2026-03-05T02:40:33"/>
    <x v="31"/>
    <s v="Thursday"/>
    <n v="2"/>
  </r>
  <r>
    <s v="53a5d01c-d2ae-4cb6-b879-02e3b3d4a8c1"/>
    <s v="***"/>
    <d v="2026-03-05T11:11:29"/>
    <n v="532"/>
    <x v="1"/>
    <d v="2026-03-05T03:11:29"/>
    <x v="31"/>
    <s v="Thursday"/>
    <n v="3"/>
  </r>
  <r>
    <s v="ef6a133d-d9c5-4f7b-aaf4-c543cd415da3"/>
    <s v="***"/>
    <d v="2026-03-05T11:18:43"/>
    <n v="576"/>
    <x v="71"/>
    <d v="2026-03-05T03:18:43"/>
    <x v="31"/>
    <s v="Thursday"/>
    <n v="3"/>
  </r>
  <r>
    <s v="55d56ceb-253e-4106-9619-cac05afdaa93"/>
    <s v="***"/>
    <d v="2026-03-05T11:30:27"/>
    <n v="432"/>
    <x v="6"/>
    <d v="2026-03-05T03:30:27"/>
    <x v="31"/>
    <s v="Thursday"/>
    <n v="3"/>
  </r>
  <r>
    <s v="b1702192-d6e5-46f2-b5fe-e32857c39f99"/>
    <s v="***"/>
    <d v="2026-03-05T11:51:56"/>
    <n v="576"/>
    <x v="71"/>
    <d v="2026-03-05T03:51:56"/>
    <x v="31"/>
    <s v="Thursday"/>
    <n v="3"/>
  </r>
  <r>
    <s v="2d1aae92-23af-4fa5-a25a-6f46ee014809"/>
    <s v="***"/>
    <d v="2026-03-05T11:55:54"/>
    <n v="3"/>
    <x v="73"/>
    <d v="2026-03-05T03:55:54"/>
    <x v="31"/>
    <s v="Thursday"/>
    <n v="3"/>
  </r>
  <r>
    <s v="cff0f289-9d34-4fa0-8b28-18309da50dba"/>
    <s v="***"/>
    <d v="2026-03-05T12:30:00"/>
    <n v="432"/>
    <x v="6"/>
    <d v="2026-03-05T04:30:00"/>
    <x v="31"/>
    <s v="Thursday"/>
    <n v="4"/>
  </r>
  <r>
    <s v="f4aaac78-e989-4c23-9499-74a696c215ab"/>
    <s v="***"/>
    <d v="2026-03-05T12:58:00"/>
    <n v="532"/>
    <x v="73"/>
    <d v="2026-03-05T04:58:00"/>
    <x v="31"/>
    <s v="Thursday"/>
    <n v="4"/>
  </r>
  <r>
    <s v="5e02aee3-d052-40a6-a609-11a83efc6cbf"/>
    <s v="***"/>
    <d v="2026-03-05T13:18:36"/>
    <n v="532"/>
    <x v="1"/>
    <d v="2026-03-05T05:18:36"/>
    <x v="31"/>
    <s v="Thursday"/>
    <n v="5"/>
  </r>
  <r>
    <s v="3dd33280-bb3b-469d-b5da-090f70dec74f"/>
    <s v="***"/>
    <d v="2026-03-05T13:44:09"/>
    <n v="3"/>
    <x v="10"/>
    <d v="2026-03-05T05:44:09"/>
    <x v="31"/>
    <s v="Thursday"/>
    <n v="5"/>
  </r>
  <r>
    <s v="f31e153f-d2b3-4545-b936-10120bc3aca0"/>
    <s v="***"/>
    <d v="2026-03-05T14:01:49"/>
    <n v="576"/>
    <x v="6"/>
    <d v="2026-03-05T06:01:49"/>
    <x v="31"/>
    <s v="Thursday"/>
    <n v="6"/>
  </r>
  <r>
    <s v="f76fb114-21d6-4677-9e08-738641f92282"/>
    <s v="***"/>
    <d v="2026-03-05T14:03:54"/>
    <n v="576"/>
    <x v="6"/>
    <d v="2026-03-05T06:03:54"/>
    <x v="31"/>
    <s v="Thursday"/>
    <n v="6"/>
  </r>
  <r>
    <s v="1478c312-9dfc-4b04-a4db-1aa31cccdd76"/>
    <s v="***"/>
    <d v="2026-03-05T14:20:34"/>
    <n v="576"/>
    <x v="1"/>
    <d v="2026-03-05T06:20:34"/>
    <x v="31"/>
    <s v="Thursday"/>
    <n v="6"/>
  </r>
  <r>
    <s v="eb349dd2-97cf-4947-ac22-97b24bf733ba"/>
    <s v="***"/>
    <d v="2026-03-05T14:56:49"/>
    <n v="532"/>
    <x v="1"/>
    <d v="2026-03-05T06:56:49"/>
    <x v="31"/>
    <s v="Thursday"/>
    <n v="6"/>
  </r>
  <r>
    <s v="bac6b20a-d037-4cad-bfe4-147cac32b48f"/>
    <s v="***"/>
    <d v="2026-03-05T15:01:33"/>
    <n v="576"/>
    <x v="6"/>
    <d v="2026-03-05T07:01:33"/>
    <x v="31"/>
    <s v="Thursday"/>
    <n v="7"/>
  </r>
  <r>
    <s v="87ab8b9b-35eb-4cb3-887b-1d724e329402"/>
    <s v="***"/>
    <d v="2026-03-05T15:44:25"/>
    <n v="432"/>
    <x v="6"/>
    <d v="2026-03-05T07:44:25"/>
    <x v="31"/>
    <s v="Thursday"/>
    <n v="7"/>
  </r>
  <r>
    <s v="8ffaab22-20de-4ca5-8482-a2ff446e2f50"/>
    <s v="***"/>
    <d v="2026-03-05T16:23:28"/>
    <n v="532"/>
    <x v="1"/>
    <d v="2026-03-05T08:23:28"/>
    <x v="31"/>
    <s v="Thursday"/>
    <n v="8"/>
  </r>
  <r>
    <s v="ed273829-40cf-4a87-9649-b5c03fb6358a"/>
    <s v="***"/>
    <d v="2026-03-05T17:13:15"/>
    <n v="35"/>
    <x v="1"/>
    <d v="2026-03-05T09:13:15"/>
    <x v="31"/>
    <s v="Thursday"/>
    <n v="9"/>
  </r>
  <r>
    <s v="542739ab-f253-4403-8f51-98533bc630cd"/>
    <s v="***"/>
    <d v="2026-03-05T17:35:46"/>
    <n v="3"/>
    <x v="1"/>
    <d v="2026-03-05T09:35:46"/>
    <x v="31"/>
    <s v="Thursday"/>
    <n v="9"/>
  </r>
  <r>
    <s v="8416a60d-bffd-45ac-b578-eb2b8009a85b"/>
    <s v="***"/>
    <d v="2026-03-05T18:21:11"/>
    <n v="2"/>
    <x v="74"/>
    <d v="2026-03-05T10:21:11"/>
    <x v="31"/>
    <s v="Thursday"/>
    <n v="10"/>
  </r>
  <r>
    <s v="09c9c5e7-06e5-4331-ac7c-b3ec326e3b1b"/>
    <s v="***"/>
    <d v="2026-03-05T18:29:21"/>
    <n v="1"/>
    <x v="75"/>
    <d v="2026-03-05T10:29:21"/>
    <x v="31"/>
    <s v="Thursday"/>
    <n v="10"/>
  </r>
  <r>
    <s v="ddde2919-c699-485e-80b1-2048798b12fe"/>
    <s v="***"/>
    <d v="2026-03-05T18:52:01"/>
    <n v="3"/>
    <x v="1"/>
    <d v="2026-03-05T10:52:01"/>
    <x v="31"/>
    <s v="Thursday"/>
    <n v="10"/>
  </r>
  <r>
    <s v="bd7eadc8-b0bf-4dbd-a081-6b09e14a0052"/>
    <s v="***"/>
    <d v="2026-03-05T19:12:39"/>
    <n v="1"/>
    <x v="75"/>
    <d v="2026-03-05T11:12:39"/>
    <x v="31"/>
    <s v="Thursday"/>
    <n v="11"/>
  </r>
  <r>
    <s v="7d114df4-dc16-40e4-a46f-bb12560ad9b6"/>
    <s v="***"/>
    <d v="2026-03-05T20:07:51"/>
    <n v="2"/>
    <x v="1"/>
    <d v="2026-03-05T12:07:51"/>
    <x v="31"/>
    <s v="Thursday"/>
    <n v="12"/>
  </r>
  <r>
    <s v="169119fa-4eee-433b-b863-6d55168c8217"/>
    <s v="***"/>
    <d v="2026-03-05T21:39:55"/>
    <n v="3"/>
    <x v="1"/>
    <d v="2026-03-05T13:39:55"/>
    <x v="31"/>
    <s v="Thursday"/>
    <n v="13"/>
  </r>
  <r>
    <s v="00c1a770-4cc4-459f-90b8-7a950eb18402"/>
    <s v="***"/>
    <d v="2026-03-05T23:09:08"/>
    <n v="532"/>
    <x v="5"/>
    <d v="2026-03-05T15:09:08"/>
    <x v="31"/>
    <s v="Thursday"/>
    <n v="15"/>
  </r>
  <r>
    <s v="541a6f0b-39bc-408f-b21a-6c37ef55c1d8"/>
    <s v="***"/>
    <d v="2026-03-06T06:22:12"/>
    <n v="432"/>
    <x v="6"/>
    <d v="2026-03-05T22:22:12"/>
    <x v="31"/>
    <s v="Thursday"/>
    <n v="22"/>
  </r>
  <r>
    <s v="1e0c5cc4-3b70-425f-a65b-6e49ccab05b4"/>
    <s v="***"/>
    <d v="2026-03-06T06:32:45"/>
    <n v="576"/>
    <x v="76"/>
    <d v="2026-03-05T22:32:45"/>
    <x v="31"/>
    <s v="Thursday"/>
    <n v="22"/>
  </r>
  <r>
    <s v="81991c96-00cf-4e8d-8467-cc0fb8763442"/>
    <s v="***"/>
    <d v="2026-03-06T06:33:21"/>
    <n v="532"/>
    <x v="1"/>
    <d v="2026-03-05T22:33:21"/>
    <x v="31"/>
    <s v="Thursday"/>
    <n v="22"/>
  </r>
  <r>
    <s v="5e81ef47-f2b7-40ee-8c63-a31dd71add6c"/>
    <s v="***"/>
    <d v="2026-03-06T07:27:46"/>
    <n v="3"/>
    <x v="1"/>
    <d v="2026-03-05T23:27:46"/>
    <x v="31"/>
    <s v="Thursday"/>
    <n v="23"/>
  </r>
  <r>
    <s v="5be8d67e-3b56-40d1-94e1-f23d29a30830"/>
    <s v="***"/>
    <d v="2026-03-06T07:33:22"/>
    <n v="576"/>
    <x v="6"/>
    <d v="2026-03-05T23:33:22"/>
    <x v="31"/>
    <s v="Thursday"/>
    <n v="23"/>
  </r>
  <r>
    <s v="2078b152-6691-4b8c-9480-a3ea017e83db"/>
    <s v="***"/>
    <d v="2026-03-06T08:03:40"/>
    <n v="576"/>
    <x v="6"/>
    <d v="2026-03-06T00:03:40"/>
    <x v="32"/>
    <s v="Friday"/>
    <n v="0"/>
  </r>
  <r>
    <s v="41d1373e-6180-4a44-ac61-5a952ae72a74"/>
    <s v="***"/>
    <d v="2026-03-06T08:07:58"/>
    <n v="576"/>
    <x v="71"/>
    <d v="2026-03-06T00:07:58"/>
    <x v="32"/>
    <s v="Friday"/>
    <n v="0"/>
  </r>
  <r>
    <s v="e0e18aa5-6ef0-4135-9740-0ba96a1a00a6"/>
    <s v="***"/>
    <d v="2026-03-06T08:08:23"/>
    <n v="3"/>
    <x v="77"/>
    <d v="2026-03-06T00:08:23"/>
    <x v="32"/>
    <s v="Friday"/>
    <n v="0"/>
  </r>
  <r>
    <s v="b1ce9a09-5723-4a16-a19b-baddd306f4ca"/>
    <s v="***"/>
    <d v="2026-03-06T08:21:31"/>
    <n v="532"/>
    <x v="1"/>
    <d v="2026-03-06T00:21:31"/>
    <x v="32"/>
    <s v="Friday"/>
    <n v="0"/>
  </r>
  <r>
    <s v="537495b5-7236-4a7d-8e71-f4ba9d9c972c"/>
    <s v="***"/>
    <d v="2026-03-06T08:29:36"/>
    <n v="532"/>
    <x v="1"/>
    <d v="2026-03-06T00:29:36"/>
    <x v="32"/>
    <s v="Friday"/>
    <n v="0"/>
  </r>
  <r>
    <s v="69b1b210-e386-4e83-a82d-e22d2fa93ed7"/>
    <s v="***"/>
    <d v="2026-03-06T08:32:34"/>
    <n v="576"/>
    <x v="1"/>
    <d v="2026-03-06T00:32:34"/>
    <x v="32"/>
    <s v="Friday"/>
    <n v="0"/>
  </r>
  <r>
    <s v="d0961ad5-0f8a-4a38-9cbf-f29796e8210e"/>
    <s v="***"/>
    <d v="2026-03-06T08:51:33"/>
    <n v="3"/>
    <x v="6"/>
    <d v="2026-03-06T00:51:33"/>
    <x v="32"/>
    <s v="Friday"/>
    <n v="0"/>
  </r>
  <r>
    <s v="4591eb75-7b70-4084-9fc3-07d6b591ff12"/>
    <s v="***"/>
    <d v="2026-03-06T09:01:33"/>
    <n v="576"/>
    <x v="6"/>
    <d v="2026-03-06T01:01:33"/>
    <x v="32"/>
    <s v="Friday"/>
    <n v="1"/>
  </r>
  <r>
    <s v="01baef5b-d1b9-4a01-af54-24003eb0ed5f"/>
    <s v="***"/>
    <d v="2026-03-06T09:13:14"/>
    <n v="576"/>
    <x v="6"/>
    <d v="2026-03-06T01:13:14"/>
    <x v="32"/>
    <s v="Friday"/>
    <n v="1"/>
  </r>
  <r>
    <s v="aa0299c8-470c-4b5e-8e43-c96500016f34"/>
    <s v="***"/>
    <d v="2026-03-06T09:31:57"/>
    <n v="576"/>
    <x v="6"/>
    <d v="2026-03-06T01:31:57"/>
    <x v="32"/>
    <s v="Friday"/>
    <n v="1"/>
  </r>
  <r>
    <s v="88c7bf34-b378-4739-883e-338786664837"/>
    <s v="***"/>
    <d v="2026-03-06T09:33:04"/>
    <n v="576"/>
    <x v="6"/>
    <d v="2026-03-06T01:33:04"/>
    <x v="32"/>
    <s v="Friday"/>
    <n v="1"/>
  </r>
  <r>
    <s v="7a3f054a-6711-4b84-b21e-15f3edbadd1e"/>
    <s v="***"/>
    <d v="2026-03-06T09:34:51"/>
    <n v="532"/>
    <x v="1"/>
    <d v="2026-03-06T01:34:51"/>
    <x v="32"/>
    <s v="Friday"/>
    <n v="1"/>
  </r>
  <r>
    <s v="498796e4-d2e7-46fc-a238-ad14426f781d"/>
    <s v="***"/>
    <d v="2026-03-06T10:03:11"/>
    <n v="576"/>
    <x v="6"/>
    <d v="2026-03-06T02:03:11"/>
    <x v="32"/>
    <s v="Friday"/>
    <n v="2"/>
  </r>
  <r>
    <s v="2439d428-4734-4141-8af6-228f09cc30e1"/>
    <s v="***"/>
    <d v="2026-03-06T10:07:19"/>
    <n v="532"/>
    <x v="1"/>
    <d v="2026-03-06T02:07:19"/>
    <x v="32"/>
    <s v="Friday"/>
    <n v="2"/>
  </r>
  <r>
    <s v="81edddd8-d518-411a-9560-d27fa4172a62"/>
    <s v="***"/>
    <d v="2026-03-06T10:09:14"/>
    <n v="532"/>
    <x v="1"/>
    <d v="2026-03-06T02:09:14"/>
    <x v="32"/>
    <s v="Friday"/>
    <n v="2"/>
  </r>
  <r>
    <s v="90162604-a3b0-4b8b-9ee5-aa3246171e42"/>
    <s v="***"/>
    <d v="2026-03-06T10:17:24"/>
    <n v="3"/>
    <x v="1"/>
    <d v="2026-03-06T02:17:24"/>
    <x v="32"/>
    <s v="Friday"/>
    <n v="2"/>
  </r>
  <r>
    <s v="1e59d0a4-a705-4ccf-97af-31a3d2b2cf0f"/>
    <s v="***"/>
    <d v="2026-03-06T10:28:08"/>
    <n v="576"/>
    <x v="1"/>
    <d v="2026-03-06T02:28:08"/>
    <x v="32"/>
    <s v="Friday"/>
    <n v="2"/>
  </r>
  <r>
    <s v="1e19f21f-bb14-46f7-87ff-595aac57d5dc"/>
    <s v="***"/>
    <d v="2026-03-06T10:29:26"/>
    <n v="576"/>
    <x v="6"/>
    <d v="2026-03-06T02:29:26"/>
    <x v="32"/>
    <s v="Friday"/>
    <n v="2"/>
  </r>
  <r>
    <s v="cb9f1d88-6148-4e0c-8a76-85d282093d82"/>
    <s v="***"/>
    <d v="2026-03-06T10:39:00"/>
    <n v="532"/>
    <x v="1"/>
    <d v="2026-03-06T02:39:00"/>
    <x v="32"/>
    <s v="Friday"/>
    <n v="2"/>
  </r>
  <r>
    <s v="21acd6bf-84b2-430d-aa8a-93d11e9a2d63"/>
    <s v="***"/>
    <d v="2026-03-06T10:55:32"/>
    <n v="532"/>
    <x v="1"/>
    <d v="2026-03-06T02:55:32"/>
    <x v="32"/>
    <s v="Friday"/>
    <n v="2"/>
  </r>
  <r>
    <s v="115e99f1-8f99-45b1-9ec2-b1844acfe86d"/>
    <s v="***"/>
    <d v="2026-03-06T11:00:20"/>
    <n v="2"/>
    <x v="1"/>
    <d v="2026-03-06T03:00:20"/>
    <x v="32"/>
    <s v="Friday"/>
    <n v="3"/>
  </r>
  <r>
    <s v="d7fb8fdb-4785-4037-b73b-7737cc6f1f99"/>
    <s v="***"/>
    <d v="2026-03-06T11:02:17"/>
    <n v="576"/>
    <x v="6"/>
    <d v="2026-03-06T03:02:17"/>
    <x v="32"/>
    <s v="Friday"/>
    <n v="3"/>
  </r>
  <r>
    <s v="f847511b-8ade-4d65-9527-954fe65bf4e3"/>
    <s v="***"/>
    <d v="2026-03-06T11:22:29"/>
    <n v="432"/>
    <x v="6"/>
    <d v="2026-03-06T03:22:29"/>
    <x v="32"/>
    <s v="Friday"/>
    <n v="3"/>
  </r>
  <r>
    <s v="3ae4b659-54ea-4914-b220-55c1ad64a66f"/>
    <s v="***"/>
    <d v="2026-03-06T12:17:18"/>
    <n v="432"/>
    <x v="6"/>
    <d v="2026-03-06T04:17:18"/>
    <x v="32"/>
    <s v="Friday"/>
    <n v="4"/>
  </r>
  <r>
    <s v="d45c352d-0768-432f-b3be-6d5f7ad5ae1d"/>
    <s v="***"/>
    <d v="2026-03-06T12:23:14"/>
    <n v="432"/>
    <x v="6"/>
    <d v="2026-03-06T04:23:14"/>
    <x v="32"/>
    <s v="Friday"/>
    <n v="4"/>
  </r>
  <r>
    <s v="cccc3e9d-33f3-4972-b18e-346364f94243"/>
    <s v="***"/>
    <d v="2026-03-06T12:29:57"/>
    <n v="432"/>
    <x v="6"/>
    <d v="2026-03-06T04:29:57"/>
    <x v="32"/>
    <s v="Friday"/>
    <n v="4"/>
  </r>
  <r>
    <s v="2b9e0df3-000c-4b4f-9f5d-57e8d01b648e"/>
    <s v="***"/>
    <d v="2026-03-06T12:55:14"/>
    <n v="432"/>
    <x v="6"/>
    <d v="2026-03-06T04:55:14"/>
    <x v="32"/>
    <s v="Friday"/>
    <n v="4"/>
  </r>
  <r>
    <s v="e7de2b3c-0242-49c3-830a-ca459786cb6c"/>
    <s v="***"/>
    <d v="2026-03-06T13:09:56"/>
    <n v="432"/>
    <x v="6"/>
    <d v="2026-03-06T05:09:56"/>
    <x v="32"/>
    <s v="Friday"/>
    <n v="5"/>
  </r>
  <r>
    <s v="b9ca7e92-d942-48f8-84a7-c5975bbcb5d6"/>
    <s v="***"/>
    <d v="2026-03-06T13:17:06"/>
    <n v="432"/>
    <x v="6"/>
    <d v="2026-03-06T05:17:06"/>
    <x v="32"/>
    <s v="Friday"/>
    <n v="5"/>
  </r>
  <r>
    <s v="a73aed18-d1b9-4409-a82e-3c62345bbfa5"/>
    <s v="***"/>
    <d v="2026-03-06T13:36:56"/>
    <n v="576"/>
    <x v="1"/>
    <d v="2026-03-06T05:36:56"/>
    <x v="32"/>
    <s v="Friday"/>
    <n v="5"/>
  </r>
  <r>
    <s v="5ff94a1f-8d67-45d1-bb76-86677d8fc4d4"/>
    <s v="***"/>
    <d v="2026-03-06T13:37:26"/>
    <n v="432"/>
    <x v="6"/>
    <d v="2026-03-06T05:37:26"/>
    <x v="32"/>
    <s v="Friday"/>
    <n v="5"/>
  </r>
  <r>
    <s v="ca5fce14-01d4-4db0-a16e-51d6d211676b"/>
    <s v="***"/>
    <d v="2026-03-06T13:39:04"/>
    <n v="3"/>
    <x v="1"/>
    <d v="2026-03-06T05:39:04"/>
    <x v="32"/>
    <s v="Friday"/>
    <n v="5"/>
  </r>
  <r>
    <s v="64c850b4-ec05-4110-af7e-18c4581367f1"/>
    <s v="***"/>
    <d v="2026-03-06T13:39:09"/>
    <n v="617"/>
    <x v="1"/>
    <d v="2026-03-06T05:39:09"/>
    <x v="32"/>
    <s v="Friday"/>
    <n v="5"/>
  </r>
  <r>
    <s v="0d7949fc-79a5-4ad8-a2c7-40ee8ec39d1a"/>
    <s v="***"/>
    <d v="2026-03-06T14:00:00"/>
    <n v="432"/>
    <x v="6"/>
    <d v="2026-03-06T06:00:00"/>
    <x v="32"/>
    <s v="Friday"/>
    <n v="6"/>
  </r>
  <r>
    <s v="2c5fe828-5e22-4f01-b6f0-073a385b3ddb"/>
    <s v="***"/>
    <d v="2026-03-06T14:34:06"/>
    <n v="532"/>
    <x v="1"/>
    <d v="2026-03-06T06:34:06"/>
    <x v="32"/>
    <s v="Friday"/>
    <n v="6"/>
  </r>
  <r>
    <s v="04656ab1-f046-45f7-9337-69012700079c"/>
    <s v="***"/>
    <d v="2026-03-06T14:39:12"/>
    <n v="532"/>
    <x v="1"/>
    <d v="2026-03-06T06:39:12"/>
    <x v="32"/>
    <s v="Friday"/>
    <n v="6"/>
  </r>
  <r>
    <s v="d6f4739c-ad4d-470d-87ec-3787607f5153"/>
    <s v="***"/>
    <d v="2026-03-06T15:01:21"/>
    <n v="432"/>
    <x v="6"/>
    <d v="2026-03-06T07:01:21"/>
    <x v="32"/>
    <s v="Friday"/>
    <n v="7"/>
  </r>
  <r>
    <s v="4b5d127e-7c7c-43e0-a6bf-f149f28ccd9f"/>
    <s v="***"/>
    <d v="2026-03-06T15:45:07"/>
    <n v="576"/>
    <x v="71"/>
    <d v="2026-03-06T07:45:07"/>
    <x v="32"/>
    <s v="Friday"/>
    <n v="7"/>
  </r>
  <r>
    <s v="7b99c73b-e240-4041-9c98-021f40329b8d"/>
    <s v="***"/>
    <d v="2026-03-06T15:47:17"/>
    <n v="3"/>
    <x v="1"/>
    <d v="2026-03-06T07:47:17"/>
    <x v="32"/>
    <s v="Friday"/>
    <n v="7"/>
  </r>
  <r>
    <s v="b26e432f-7163-486f-b105-fb25d4c8dbf9"/>
    <s v="***"/>
    <d v="2026-03-06T16:00:59"/>
    <n v="576"/>
    <x v="6"/>
    <d v="2026-03-06T08:00:59"/>
    <x v="32"/>
    <s v="Friday"/>
    <n v="8"/>
  </r>
  <r>
    <s v="10930a7c-46bc-473b-8c39-00a5d3f7fd34"/>
    <s v="***"/>
    <d v="2026-03-06T16:16:15"/>
    <n v="1"/>
    <x v="1"/>
    <d v="2026-03-06T08:16:15"/>
    <x v="32"/>
    <s v="Friday"/>
    <n v="8"/>
  </r>
  <r>
    <s v="6e185982-ea71-4d04-afdd-94c29fbe1887"/>
    <s v="***"/>
    <d v="2026-03-06T16:40:12"/>
    <n v="618"/>
    <x v="1"/>
    <d v="2026-03-06T08:40:12"/>
    <x v="32"/>
    <s v="Friday"/>
    <n v="8"/>
  </r>
  <r>
    <s v="869d57b5-56a6-4327-8819-e9211ade1cf1"/>
    <s v="***"/>
    <d v="2026-03-06T16:45:41"/>
    <n v="3"/>
    <x v="1"/>
    <d v="2026-03-06T08:45:41"/>
    <x v="32"/>
    <s v="Friday"/>
    <n v="8"/>
  </r>
  <r>
    <s v="89a6545e-0c14-4663-892e-966f894b951b"/>
    <s v="***"/>
    <d v="2026-03-06T16:49:00"/>
    <n v="3"/>
    <x v="1"/>
    <d v="2026-03-06T08:49:00"/>
    <x v="32"/>
    <s v="Friday"/>
    <n v="8"/>
  </r>
  <r>
    <s v="cdcbb103-abb5-42ab-b63f-9d969cbb0b6f"/>
    <s v="***"/>
    <d v="2026-03-06T16:53:29"/>
    <n v="2"/>
    <x v="78"/>
    <d v="2026-03-06T08:53:29"/>
    <x v="32"/>
    <s v="Friday"/>
    <n v="8"/>
  </r>
  <r>
    <s v="d308ffcf-716f-4803-bc52-1815047f5e64"/>
    <s v="***"/>
    <d v="2026-03-06T17:18:20"/>
    <n v="532"/>
    <x v="1"/>
    <d v="2026-03-06T09:18:20"/>
    <x v="32"/>
    <s v="Friday"/>
    <n v="9"/>
  </r>
  <r>
    <s v="7e8c75eb-7996-4eda-9782-4168b2da1b57"/>
    <s v="***"/>
    <d v="2026-03-06T17:23:16"/>
    <n v="432"/>
    <x v="6"/>
    <d v="2026-03-06T09:23:16"/>
    <x v="32"/>
    <s v="Friday"/>
    <n v="9"/>
  </r>
  <r>
    <s v="6d6ddf72-13d1-44b6-9ef7-9e61011fcc66"/>
    <s v="***"/>
    <d v="2026-03-06T18:09:40"/>
    <n v="432"/>
    <x v="6"/>
    <d v="2026-03-06T10:09:40"/>
    <x v="32"/>
    <s v="Friday"/>
    <n v="10"/>
  </r>
  <r>
    <s v="83d95d4a-c493-4c2e-816e-2d4d1c3b57a4"/>
    <s v="***"/>
    <d v="2026-03-06T19:27:20"/>
    <n v="432"/>
    <x v="6"/>
    <d v="2026-03-06T11:27:20"/>
    <x v="32"/>
    <s v="Friday"/>
    <n v="11"/>
  </r>
  <r>
    <s v="10b42beb-9edc-4932-ab13-7420698deadc"/>
    <s v="***"/>
    <d v="2026-03-06T20:11:33"/>
    <n v="432"/>
    <x v="6"/>
    <d v="2026-03-06T12:11:33"/>
    <x v="32"/>
    <s v="Friday"/>
    <n v="12"/>
  </r>
  <r>
    <s v="cff95554-2d2b-4816-b198-ac9ccdb1a144"/>
    <s v="***"/>
    <d v="2026-03-07T00:54:02"/>
    <n v="3"/>
    <x v="1"/>
    <d v="2026-03-06T16:54:02"/>
    <x v="32"/>
    <s v="Friday"/>
    <n v="16"/>
  </r>
  <r>
    <s v="68a2b211-4742-4709-bcd3-5c4365542b46"/>
    <s v="***"/>
    <d v="2026-03-07T00:54:17"/>
    <n v="3"/>
    <x v="16"/>
    <d v="2026-03-06T16:54:17"/>
    <x v="32"/>
    <s v="Friday"/>
    <n v="16"/>
  </r>
  <r>
    <s v="7489a670-3d73-4ccf-8811-304475898257"/>
    <s v="***"/>
    <d v="2026-03-07T00:57:05"/>
    <n v="3"/>
    <x v="12"/>
    <d v="2026-03-06T16:57:05"/>
    <x v="32"/>
    <s v="Friday"/>
    <n v="16"/>
  </r>
  <r>
    <s v="0e47a6c2-803f-4ff5-9351-896b2eacf087"/>
    <s v="***"/>
    <d v="2026-03-07T01:00:34"/>
    <n v="3"/>
    <x v="16"/>
    <d v="2026-03-06T17:00:34"/>
    <x v="32"/>
    <s v="Friday"/>
    <n v="17"/>
  </r>
  <r>
    <s v="7b493a06-36ac-4ea4-9481-1c82b74c0579"/>
    <s v="***"/>
    <d v="2026-03-07T01:03:41"/>
    <n v="3"/>
    <x v="12"/>
    <d v="2026-03-06T17:03:41"/>
    <x v="32"/>
    <s v="Friday"/>
    <n v="17"/>
  </r>
  <r>
    <s v="5d87168f-584c-4d24-8952-0a98d7cd5cd5"/>
    <s v="***"/>
    <d v="2026-03-07T02:33:55"/>
    <n v="3"/>
    <x v="12"/>
    <d v="2026-03-06T18:33:55"/>
    <x v="32"/>
    <s v="Friday"/>
    <n v="18"/>
  </r>
  <r>
    <s v="7475740d-c08a-429c-a4e3-5d47607ab625"/>
    <s v="***"/>
    <d v="2026-03-07T08:37:43"/>
    <n v="532"/>
    <x v="5"/>
    <d v="2026-03-07T00:37:43"/>
    <x v="33"/>
    <s v="Saturday"/>
    <n v="0"/>
  </r>
  <r>
    <s v="d8bbeda6-854a-4642-9d23-cd78ec1acfe5"/>
    <s v="***"/>
    <d v="2026-03-07T08:46:44"/>
    <n v="532"/>
    <x v="1"/>
    <d v="2026-03-07T00:46:44"/>
    <x v="33"/>
    <s v="Saturday"/>
    <n v="0"/>
  </r>
  <r>
    <s v="d23b7ef5-4c0e-4ef5-8a78-32d7297aa42d"/>
    <s v="***"/>
    <d v="2026-03-07T09:04:42"/>
    <n v="532"/>
    <x v="5"/>
    <d v="2026-03-07T01:04:42"/>
    <x v="33"/>
    <s v="Saturday"/>
    <n v="1"/>
  </r>
  <r>
    <s v="23838295-70e9-45c8-ad21-95bdbb078e08"/>
    <s v="***"/>
    <d v="2026-03-07T10:04:58"/>
    <n v="532"/>
    <x v="5"/>
    <d v="2026-03-07T02:04:58"/>
    <x v="33"/>
    <s v="Saturday"/>
    <n v="2"/>
  </r>
  <r>
    <s v="da830dc5-7049-4c67-937c-046f15d848a3"/>
    <s v="***"/>
    <d v="2026-03-07T10:18:35"/>
    <n v="3"/>
    <x v="4"/>
    <d v="2026-03-07T02:18:35"/>
    <x v="33"/>
    <s v="Saturday"/>
    <n v="2"/>
  </r>
  <r>
    <s v="79e1535e-55c2-48f3-827b-138bf7c612cc"/>
    <s v="***"/>
    <d v="2026-03-07T11:20:37"/>
    <n v="576"/>
    <x v="1"/>
    <d v="2026-03-07T03:20:37"/>
    <x v="33"/>
    <s v="Saturday"/>
    <n v="3"/>
  </r>
  <r>
    <s v="860e2fdf-afbc-4b6b-b785-4c0cc053d053"/>
    <s v="***"/>
    <d v="2026-03-07T12:02:13"/>
    <n v="532"/>
    <x v="1"/>
    <d v="2026-03-07T04:02:13"/>
    <x v="33"/>
    <s v="Saturday"/>
    <n v="4"/>
  </r>
  <r>
    <s v="dbabfc17-5d67-4222-aabc-fb7bd186f4e5"/>
    <s v="***"/>
    <d v="2026-03-07T12:43:04"/>
    <n v="532"/>
    <x v="5"/>
    <d v="2026-03-07T04:43:04"/>
    <x v="33"/>
    <s v="Saturday"/>
    <n v="4"/>
  </r>
  <r>
    <s v="b638406b-b095-49e5-a75a-a7bbbb4b5498"/>
    <s v="***"/>
    <d v="2026-03-07T14:53:49"/>
    <n v="3"/>
    <x v="5"/>
    <d v="2026-03-07T06:53:49"/>
    <x v="33"/>
    <s v="Saturday"/>
    <n v="6"/>
  </r>
  <r>
    <s v="411c2756-685e-4ba2-8ddb-8b381922e39e"/>
    <s v="***"/>
    <d v="2026-03-07T15:00:48"/>
    <n v="532"/>
    <x v="5"/>
    <d v="2026-03-07T07:00:48"/>
    <x v="33"/>
    <s v="Saturday"/>
    <n v="7"/>
  </r>
  <r>
    <s v="b2c22624-e116-49e9-9ebd-6a2adcbe575a"/>
    <s v="***"/>
    <d v="2026-03-07T20:14:10"/>
    <n v="3"/>
    <x v="1"/>
    <d v="2026-03-07T12:14:10"/>
    <x v="33"/>
    <s v="Saturday"/>
    <n v="12"/>
  </r>
  <r>
    <s v="13430899-61ad-4c1a-a5b0-5ff1f6ee0721"/>
    <s v="***"/>
    <d v="2026-03-08T10:38:20"/>
    <n v="532"/>
    <x v="5"/>
    <d v="2026-03-08T03:38:20"/>
    <x v="34"/>
    <s v="Sunday"/>
    <n v="3"/>
  </r>
  <r>
    <s v="60f3bf5d-a457-4f24-aea4-bdf87bcce1f3"/>
    <s v="***"/>
    <d v="2026-03-08T10:46:22"/>
    <n v="532"/>
    <x v="1"/>
    <d v="2026-03-08T03:46:22"/>
    <x v="34"/>
    <s v="Sunday"/>
    <n v="3"/>
  </r>
  <r>
    <s v="bfe2d4ac-26f2-444f-95cb-423fab1c637e"/>
    <s v="***"/>
    <d v="2026-03-08T11:10:27"/>
    <n v="5"/>
    <x v="1"/>
    <d v="2026-03-08T04:10:27"/>
    <x v="34"/>
    <s v="Sunday"/>
    <n v="4"/>
  </r>
  <r>
    <s v="146a5dee-76b4-4a61-a30b-c15e060c4ea6"/>
    <s v="***"/>
    <d v="2026-03-08T12:39:17"/>
    <n v="1"/>
    <x v="1"/>
    <d v="2026-03-08T05:39:17"/>
    <x v="34"/>
    <s v="Sunday"/>
    <n v="5"/>
  </r>
  <r>
    <s v="f863ae3f-f0cc-4d98-b024-f1d88a1ac772"/>
    <s v="***"/>
    <d v="2026-03-08T13:03:40"/>
    <n v="3"/>
    <x v="10"/>
    <d v="2026-03-08T06:03:40"/>
    <x v="34"/>
    <s v="Sunday"/>
    <n v="6"/>
  </r>
  <r>
    <s v="98630c4a-959a-4655-8d60-123cb8d25b2e"/>
    <s v="***"/>
    <d v="2026-03-08T13:06:17"/>
    <n v="2"/>
    <x v="1"/>
    <d v="2026-03-08T06:06:17"/>
    <x v="34"/>
    <s v="Sunday"/>
    <n v="6"/>
  </r>
  <r>
    <s v="17d1bb30-8d31-4578-9519-45e45ed6d6fd"/>
    <s v="***"/>
    <d v="2026-03-08T14:07:12"/>
    <n v="532"/>
    <x v="79"/>
    <d v="2026-03-08T07:07:12"/>
    <x v="34"/>
    <s v="Sunday"/>
    <n v="7"/>
  </r>
  <r>
    <s v="15ec2e9f-3441-443a-bc2f-061deae3de06"/>
    <s v="***"/>
    <d v="2026-03-08T15:32:19"/>
    <n v="1"/>
    <x v="80"/>
    <d v="2026-03-08T08:32:19"/>
    <x v="34"/>
    <s v="Sunday"/>
    <n v="8"/>
  </r>
  <r>
    <s v="9464b2db-6e06-403b-a992-e2b632d8247b"/>
    <s v="***"/>
    <d v="2026-03-08T15:35:07"/>
    <n v="36"/>
    <x v="1"/>
    <d v="2026-03-08T08:35:07"/>
    <x v="34"/>
    <s v="Sunday"/>
    <n v="8"/>
  </r>
  <r>
    <s v="729be706-4e7d-4f70-aac3-9fa3743b4247"/>
    <s v="***"/>
    <d v="2026-03-08T15:38:33"/>
    <n v="3"/>
    <x v="1"/>
    <d v="2026-03-08T08:38:33"/>
    <x v="34"/>
    <s v="Sunday"/>
    <n v="8"/>
  </r>
  <r>
    <s v="67c30353-d7dc-4948-95cc-ff3e77279eb0"/>
    <s v="***"/>
    <d v="2026-03-08T15:40:35"/>
    <n v="576"/>
    <x v="81"/>
    <d v="2026-03-08T08:40:35"/>
    <x v="34"/>
    <s v="Sunday"/>
    <n v="8"/>
  </r>
  <r>
    <s v="92e6688b-d50a-4595-bdbf-5341a981e5f2"/>
    <s v="***"/>
    <d v="2026-03-08T15:43:39"/>
    <n v="2"/>
    <x v="46"/>
    <d v="2026-03-08T08:43:39"/>
    <x v="34"/>
    <s v="Sunday"/>
    <n v="8"/>
  </r>
  <r>
    <s v="f5e7dfe6-2ecc-4e35-9165-b3f6fa9cbffc"/>
    <s v="***"/>
    <d v="2026-03-08T19:06:04"/>
    <n v="532"/>
    <x v="6"/>
    <d v="2026-03-08T12:06:04"/>
    <x v="34"/>
    <s v="Sunday"/>
    <n v="12"/>
  </r>
  <r>
    <s v="e4b77f3a-0584-42d6-9e9c-a0b18317dec6"/>
    <s v="***"/>
    <d v="2026-03-08T20:30:24"/>
    <n v="532"/>
    <x v="5"/>
    <d v="2026-03-08T13:30:24"/>
    <x v="34"/>
    <s v="Sunday"/>
    <n v="13"/>
  </r>
  <r>
    <s v="a9e7d67b-da04-4785-9523-566b27d2b641"/>
    <s v="***"/>
    <d v="2026-03-08T20:33:50"/>
    <n v="532"/>
    <x v="5"/>
    <d v="2026-03-08T13:33:50"/>
    <x v="34"/>
    <s v="Sunday"/>
    <n v="13"/>
  </r>
  <r>
    <s v="e7af7075-4661-4457-acac-ca203672c504"/>
    <s v="***"/>
    <d v="2026-03-08T22:28:59"/>
    <n v="3"/>
    <x v="1"/>
    <d v="2026-03-08T15:28:59"/>
    <x v="34"/>
    <s v="Sunday"/>
    <n v="15"/>
  </r>
  <r>
    <s v="345934a4-1a8d-45b0-b8f8-5f8d40652097"/>
    <s v="***"/>
    <d v="2026-03-09T08:05:39"/>
    <n v="532"/>
    <x v="6"/>
    <d v="2026-03-09T01:05:39"/>
    <x v="35"/>
    <s v="Monday"/>
    <n v="1"/>
  </r>
  <r>
    <s v="6c74e8b5-6e53-41cb-8623-c49f151d1c70"/>
    <s v="***"/>
    <d v="2026-03-09T09:01:07"/>
    <n v="3"/>
    <x v="82"/>
    <d v="2026-03-09T02:01:07"/>
    <x v="35"/>
    <s v="Monday"/>
    <n v="2"/>
  </r>
  <r>
    <s v="db3aff22-4f62-4e4a-9dd0-5b7321587957"/>
    <s v="***"/>
    <d v="2026-03-09T09:02:05"/>
    <n v="3"/>
    <x v="1"/>
    <d v="2026-03-09T02:02:05"/>
    <x v="35"/>
    <s v="Monday"/>
    <n v="2"/>
  </r>
  <r>
    <s v="beaae1b5-375f-4ff8-8379-2fe955141e00"/>
    <s v="***"/>
    <d v="2026-03-09T09:04:15"/>
    <n v="532"/>
    <x v="53"/>
    <d v="2026-03-09T02:04:15"/>
    <x v="35"/>
    <s v="Monday"/>
    <n v="2"/>
  </r>
  <r>
    <s v="56bc436a-e97c-4590-b30d-312a690a8477"/>
    <s v="***"/>
    <d v="2026-03-09T09:17:18"/>
    <n v="3"/>
    <x v="83"/>
    <d v="2026-03-09T02:17:18"/>
    <x v="35"/>
    <s v="Monday"/>
    <n v="2"/>
  </r>
  <r>
    <s v="b2b6a04e-7c65-4b86-b91b-6dcefa2d98fd"/>
    <s v="***"/>
    <d v="2026-03-09T09:24:35"/>
    <n v="3"/>
    <x v="83"/>
    <d v="2026-03-09T02:24:35"/>
    <x v="35"/>
    <s v="Monday"/>
    <n v="2"/>
  </r>
  <r>
    <s v="a6468f2c-d570-44b4-ae96-c5daa5d8e041"/>
    <s v="***"/>
    <d v="2026-03-09T09:25:09"/>
    <n v="532"/>
    <x v="84"/>
    <d v="2026-03-09T02:25:09"/>
    <x v="35"/>
    <s v="Monday"/>
    <n v="2"/>
  </r>
  <r>
    <s v="9fa08c4b-a605-47ac-ba5c-9d4a62138351"/>
    <s v="***"/>
    <d v="2026-03-09T09:49:51"/>
    <n v="576"/>
    <x v="53"/>
    <d v="2026-03-09T02:49:51"/>
    <x v="35"/>
    <s v="Monday"/>
    <n v="2"/>
  </r>
  <r>
    <s v="a7433e43-556d-4223-9376-abfbe92df905"/>
    <s v="***"/>
    <d v="2026-03-09T09:50:45"/>
    <n v="3"/>
    <x v="1"/>
    <d v="2026-03-09T02:50:45"/>
    <x v="35"/>
    <s v="Monday"/>
    <n v="2"/>
  </r>
  <r>
    <s v="5777369f-666c-4843-baf4-32278c353d53"/>
    <s v="***"/>
    <d v="2026-03-09T09:53:57"/>
    <n v="532"/>
    <x v="84"/>
    <d v="2026-03-09T02:53:57"/>
    <x v="35"/>
    <s v="Monday"/>
    <n v="2"/>
  </r>
  <r>
    <s v="39922d4e-9d49-4184-b874-b8b0de1faa37"/>
    <s v="***"/>
    <d v="2026-03-09T10:11:42"/>
    <n v="3"/>
    <x v="1"/>
    <d v="2026-03-09T03:11:42"/>
    <x v="35"/>
    <s v="Monday"/>
    <n v="3"/>
  </r>
  <r>
    <s v="48d356ff-c74b-43de-9194-53fba3db290b"/>
    <s v="***"/>
    <d v="2026-03-09T11:52:14"/>
    <n v="2"/>
    <x v="1"/>
    <d v="2026-03-09T04:52:14"/>
    <x v="35"/>
    <s v="Monday"/>
    <n v="4"/>
  </r>
  <r>
    <s v="c8bff3cb-23ae-411d-88ea-9478fb89cf96"/>
    <s v="***"/>
    <d v="2026-03-09T11:52:15"/>
    <n v="532"/>
    <x v="1"/>
    <d v="2026-03-09T04:52:15"/>
    <x v="35"/>
    <s v="Monday"/>
    <n v="4"/>
  </r>
  <r>
    <s v="512e59e4-2d18-42c8-9198-2cb82a260d07"/>
    <s v="***"/>
    <d v="2026-03-09T12:08:02"/>
    <n v="532"/>
    <x v="53"/>
    <d v="2026-03-09T05:08:02"/>
    <x v="35"/>
    <s v="Monday"/>
    <n v="5"/>
  </r>
  <r>
    <s v="11100dd1-7a0c-4bb4-a888-9ecc9c767500"/>
    <s v="***"/>
    <d v="2026-03-09T12:15:56"/>
    <n v="3"/>
    <x v="85"/>
    <d v="2026-03-09T05:15:56"/>
    <x v="35"/>
    <s v="Monday"/>
    <n v="5"/>
  </r>
  <r>
    <s v="08b4c41e-f91f-4f53-8485-e38e9048f5d2"/>
    <s v="***"/>
    <d v="2026-03-09T12:26:18"/>
    <n v="576"/>
    <x v="66"/>
    <d v="2026-03-09T05:26:18"/>
    <x v="35"/>
    <s v="Monday"/>
    <n v="5"/>
  </r>
  <r>
    <s v="5a23b06c-30bb-4bad-b487-1a2cb530f68d"/>
    <s v="***"/>
    <d v="2026-03-09T12:46:41"/>
    <n v="3"/>
    <x v="17"/>
    <d v="2026-03-09T05:46:41"/>
    <x v="35"/>
    <s v="Monday"/>
    <n v="5"/>
  </r>
  <r>
    <s v="d8580a5a-b75a-41bb-af91-8f7a393ec685"/>
    <s v="***"/>
    <d v="2026-03-09T12:47:29"/>
    <n v="3"/>
    <x v="10"/>
    <d v="2026-03-09T05:47:29"/>
    <x v="35"/>
    <s v="Monday"/>
    <n v="5"/>
  </r>
  <r>
    <s v="7b84d681-f2e0-40b4-988a-164a6a7df1d7"/>
    <s v="***"/>
    <d v="2026-03-09T14:02:10"/>
    <n v="532"/>
    <x v="53"/>
    <d v="2026-03-09T07:02:10"/>
    <x v="35"/>
    <s v="Monday"/>
    <n v="7"/>
  </r>
  <r>
    <s v="bbc2aeaa-13dd-4e94-826a-0063ff5c0011"/>
    <s v="***"/>
    <d v="2026-03-09T15:32:39"/>
    <n v="532"/>
    <x v="53"/>
    <d v="2026-03-09T08:32:39"/>
    <x v="35"/>
    <s v="Monday"/>
    <n v="8"/>
  </r>
  <r>
    <s v="ebcaeda4-6182-46d1-b3d8-fb3d242af694"/>
    <s v="***"/>
    <d v="2026-03-09T15:41:26"/>
    <n v="3"/>
    <x v="83"/>
    <d v="2026-03-09T08:41:26"/>
    <x v="35"/>
    <s v="Monday"/>
    <n v="8"/>
  </r>
  <r>
    <s v="9c977d6d-780d-4cdc-b8dc-8c46d8dcd1b2"/>
    <s v="***"/>
    <d v="2026-03-09T16:22:00"/>
    <n v="3"/>
    <x v="1"/>
    <d v="2026-03-09T09:22:00"/>
    <x v="35"/>
    <s v="Monday"/>
    <n v="9"/>
  </r>
  <r>
    <s v="6515089f-fa15-4d91-aa6d-c1c69f2a4fcc"/>
    <s v="***"/>
    <d v="2026-03-09T16:36:37"/>
    <n v="575"/>
    <x v="86"/>
    <d v="2026-03-09T09:36:37"/>
    <x v="35"/>
    <s v="Monday"/>
    <n v="9"/>
  </r>
  <r>
    <s v="d9918633-dbcb-4d9b-867d-139f93328fdc"/>
    <s v="***"/>
    <d v="2026-03-09T16:36:51"/>
    <n v="575"/>
    <x v="1"/>
    <d v="2026-03-09T09:36:51"/>
    <x v="35"/>
    <s v="Monday"/>
    <n v="9"/>
  </r>
  <r>
    <s v="0c260f1e-c007-42ad-80a0-c9cd7b6a3214"/>
    <s v="***"/>
    <d v="2026-03-09T17:20:58"/>
    <n v="575"/>
    <x v="1"/>
    <d v="2026-03-09T10:20:58"/>
    <x v="35"/>
    <s v="Monday"/>
    <n v="10"/>
  </r>
  <r>
    <s v="6609bae6-422c-44fb-a2ef-ad6695b0d45d"/>
    <s v="***"/>
    <d v="2026-03-09T17:39:11"/>
    <n v="35"/>
    <x v="1"/>
    <d v="2026-03-09T10:39:11"/>
    <x v="35"/>
    <s v="Monday"/>
    <n v="10"/>
  </r>
  <r>
    <s v="8066d6ec-ad31-4374-974e-6b0dabe0b7af"/>
    <s v="***"/>
    <d v="2026-03-09T17:50:42"/>
    <n v="575"/>
    <x v="1"/>
    <d v="2026-03-09T10:50:42"/>
    <x v="35"/>
    <s v="Monday"/>
    <n v="10"/>
  </r>
  <r>
    <s v="1ddd4ac2-a864-4236-8026-7481e7990ef9"/>
    <s v="***"/>
    <d v="2026-03-09T18:45:17"/>
    <n v="531"/>
    <x v="1"/>
    <d v="2026-03-09T11:45:17"/>
    <x v="35"/>
    <s v="Monday"/>
    <n v="11"/>
  </r>
  <r>
    <s v="10b27aab-b491-4505-ae52-195c8abb7351"/>
    <s v="***"/>
    <d v="2026-03-09T18:49:06"/>
    <n v="3"/>
    <x v="1"/>
    <d v="2026-03-09T11:49:06"/>
    <x v="35"/>
    <s v="Monday"/>
    <n v="11"/>
  </r>
  <r>
    <s v="c81f4b19-39cf-48c9-9469-c15b947b1672"/>
    <s v="***"/>
    <d v="2026-03-09T19:01:33"/>
    <n v="531"/>
    <x v="1"/>
    <d v="2026-03-09T12:01:33"/>
    <x v="35"/>
    <s v="Monday"/>
    <n v="12"/>
  </r>
  <r>
    <s v="f48b1d62-c451-4a93-97f0-064b43b1ad89"/>
    <s v="***"/>
    <d v="2026-03-09T19:18:36"/>
    <n v="35"/>
    <x v="1"/>
    <d v="2026-03-09T12:18:36"/>
    <x v="35"/>
    <s v="Monday"/>
    <n v="12"/>
  </r>
  <r>
    <s v="2897eae4-2abc-4d84-a944-d31774a1d0da"/>
    <s v="***"/>
    <d v="2026-03-09T19:40:49"/>
    <n v="531"/>
    <x v="1"/>
    <d v="2026-03-09T12:40:49"/>
    <x v="35"/>
    <s v="Monday"/>
    <n v="12"/>
  </r>
  <r>
    <s v="bc62c5e6-d65e-45d3-b30e-e5b89428c26e"/>
    <s v="***"/>
    <d v="2026-03-09T20:12:41"/>
    <n v="531"/>
    <x v="1"/>
    <d v="2026-03-09T13:12:41"/>
    <x v="35"/>
    <s v="Monday"/>
    <n v="13"/>
  </r>
  <r>
    <s v="f4fcfb1f-85a1-432b-866e-ddfa41e4a0d0"/>
    <s v="***"/>
    <d v="2026-03-09T21:07:14"/>
    <n v="531"/>
    <x v="1"/>
    <d v="2026-03-09T14:07:14"/>
    <x v="35"/>
    <s v="Monday"/>
    <n v="14"/>
  </r>
  <r>
    <s v="fd2b9d57-091a-4892-b387-adbb19241bc3"/>
    <s v="***"/>
    <d v="2026-03-09T21:09:53"/>
    <n v="3"/>
    <x v="87"/>
    <d v="2026-03-09T14:09:53"/>
    <x v="35"/>
    <s v="Monday"/>
    <n v="14"/>
  </r>
  <r>
    <s v="d85c297e-d2dd-49a0-82f5-7f8457ad99c7"/>
    <s v="***"/>
    <d v="2026-03-10T06:38:51"/>
    <n v="531"/>
    <x v="1"/>
    <d v="2026-03-09T23:38:51"/>
    <x v="35"/>
    <s v="Monday"/>
    <n v="23"/>
  </r>
  <r>
    <s v="88428d8c-5d56-4f7f-b2be-c4e04c71cbdb"/>
    <s v="***"/>
    <d v="2026-03-10T08:02:28"/>
    <n v="531"/>
    <x v="6"/>
    <d v="2026-03-10T01:02:28"/>
    <x v="36"/>
    <s v="Tuesday"/>
    <n v="1"/>
  </r>
  <r>
    <s v="73c8680a-8222-440a-a937-58c376ad25ae"/>
    <s v="***"/>
    <d v="2026-03-10T08:09:56"/>
    <n v="3"/>
    <x v="10"/>
    <d v="2026-03-10T01:09:56"/>
    <x v="36"/>
    <s v="Tuesday"/>
    <n v="1"/>
  </r>
  <r>
    <s v="2b8174fb-5d85-4fae-aaa7-e3d3efe32357"/>
    <s v="***"/>
    <d v="2026-03-10T08:22:20"/>
    <n v="3"/>
    <x v="6"/>
    <d v="2026-03-10T01:22:20"/>
    <x v="36"/>
    <s v="Tuesday"/>
    <n v="1"/>
  </r>
  <r>
    <s v="6a99c254-d0d4-4786-8b62-f76c1aae0892"/>
    <s v="***"/>
    <d v="2026-03-10T08:52:58"/>
    <n v="3"/>
    <x v="10"/>
    <d v="2026-03-10T01:52:58"/>
    <x v="36"/>
    <s v="Tuesday"/>
    <n v="1"/>
  </r>
  <r>
    <s v="7c1d021c-84dd-49ed-9270-43a7aedaca5f"/>
    <s v="***"/>
    <d v="2026-03-10T08:53:27"/>
    <n v="3"/>
    <x v="6"/>
    <d v="2026-03-10T01:53:27"/>
    <x v="36"/>
    <s v="Tuesday"/>
    <n v="1"/>
  </r>
  <r>
    <s v="462ce606-b56f-4d69-8f40-55c9d60ade6c"/>
    <s v="***"/>
    <d v="2026-03-10T09:01:38"/>
    <n v="3"/>
    <x v="10"/>
    <d v="2026-03-10T02:01:38"/>
    <x v="36"/>
    <s v="Tuesday"/>
    <n v="2"/>
  </r>
  <r>
    <s v="d4f08b8d-b067-4555-a8db-cefd673383cf"/>
    <s v="***"/>
    <d v="2026-03-10T09:10:47"/>
    <n v="3"/>
    <x v="10"/>
    <d v="2026-03-10T02:10:47"/>
    <x v="36"/>
    <s v="Tuesday"/>
    <n v="2"/>
  </r>
  <r>
    <s v="9a4ced56-6a86-445e-ac48-5ae1d6a810b5"/>
    <s v="***"/>
    <d v="2026-03-10T09:22:22"/>
    <n v="3"/>
    <x v="10"/>
    <d v="2026-03-10T02:22:22"/>
    <x v="36"/>
    <s v="Tuesday"/>
    <n v="2"/>
  </r>
  <r>
    <s v="877496fe-0225-47d9-8ad0-c5148855c5f0"/>
    <s v="***"/>
    <d v="2026-03-10T09:44:54"/>
    <n v="531"/>
    <x v="1"/>
    <d v="2026-03-10T02:44:54"/>
    <x v="36"/>
    <s v="Tuesday"/>
    <n v="2"/>
  </r>
  <r>
    <s v="ec0bbc07-4c36-4db1-813c-67e261229e0f"/>
    <s v="***"/>
    <d v="2026-03-10T10:11:06"/>
    <n v="3"/>
    <x v="10"/>
    <d v="2026-03-10T03:11:06"/>
    <x v="36"/>
    <s v="Tuesday"/>
    <n v="3"/>
  </r>
  <r>
    <s v="0d10be30-d894-4742-b1f0-33bf7dd5a28e"/>
    <s v="***"/>
    <d v="2026-03-10T10:51:51"/>
    <n v="3"/>
    <x v="10"/>
    <d v="2026-03-10T03:51:51"/>
    <x v="36"/>
    <s v="Tuesday"/>
    <n v="3"/>
  </r>
  <r>
    <s v="46fd1f59-046d-448c-a70b-e646c8379a4f"/>
    <s v="***"/>
    <d v="2026-03-10T11:26:05"/>
    <n v="3"/>
    <x v="10"/>
    <d v="2026-03-10T04:26:05"/>
    <x v="36"/>
    <s v="Tuesday"/>
    <n v="4"/>
  </r>
  <r>
    <s v="ca7a24a0-edca-4c75-ba0c-82c31bfeaf84"/>
    <s v="***"/>
    <d v="2026-03-10T11:37:43"/>
    <n v="35"/>
    <x v="1"/>
    <d v="2026-03-10T04:37:43"/>
    <x v="36"/>
    <s v="Tuesday"/>
    <n v="4"/>
  </r>
  <r>
    <s v="ee5e4849-cf95-4e1c-b8d9-c9a8d0851891"/>
    <s v="***"/>
    <d v="2026-03-10T12:55:40"/>
    <n v="36"/>
    <x v="1"/>
    <d v="2026-03-10T05:55:40"/>
    <x v="36"/>
    <s v="Tuesday"/>
    <n v="5"/>
  </r>
  <r>
    <s v="9dc7dd4c-bd9d-4c2c-9a20-18f56d605db0"/>
    <s v="***"/>
    <d v="2026-03-10T12:56:19"/>
    <n v="531"/>
    <x v="1"/>
    <d v="2026-03-10T05:56:19"/>
    <x v="36"/>
    <s v="Tuesday"/>
    <n v="5"/>
  </r>
  <r>
    <s v="41e20acc-8445-42de-afe8-291f8d6fa9d1"/>
    <s v="***"/>
    <d v="2026-03-10T13:01:05"/>
    <n v="36"/>
    <x v="1"/>
    <d v="2026-03-10T06:01:05"/>
    <x v="36"/>
    <s v="Tuesday"/>
    <n v="6"/>
  </r>
  <r>
    <s v="55c44ad2-e7c0-41df-9c0c-efb663a4ff6d"/>
    <s v="***"/>
    <d v="2026-03-10T13:20:04"/>
    <n v="3"/>
    <x v="1"/>
    <d v="2026-03-10T06:20:04"/>
    <x v="36"/>
    <s v="Tuesday"/>
    <n v="6"/>
  </r>
  <r>
    <s v="2dccaadf-eb47-4a06-af0a-d28f3e061440"/>
    <s v="***"/>
    <d v="2026-03-10T13:32:17"/>
    <n v="575"/>
    <x v="1"/>
    <d v="2026-03-10T06:32:17"/>
    <x v="36"/>
    <s v="Tuesday"/>
    <n v="6"/>
  </r>
  <r>
    <s v="6decb772-a09f-4ef5-b7d7-a9e33fd412ea"/>
    <s v="***"/>
    <d v="2026-03-10T13:38:07"/>
    <n v="3"/>
    <x v="88"/>
    <d v="2026-03-10T06:38:07"/>
    <x v="36"/>
    <s v="Tuesday"/>
    <n v="6"/>
  </r>
  <r>
    <s v="cc4005cd-0b4f-465b-a450-3d73176e2b6b"/>
    <s v="***"/>
    <d v="2026-03-10T13:56:40"/>
    <n v="36"/>
    <x v="1"/>
    <d v="2026-03-10T06:56:40"/>
    <x v="36"/>
    <s v="Tuesday"/>
    <n v="6"/>
  </r>
  <r>
    <s v="a4aad8c1-c80f-4c85-8766-3ec240183825"/>
    <s v="***"/>
    <d v="2026-03-10T14:05:59"/>
    <n v="2"/>
    <x v="1"/>
    <d v="2026-03-10T07:05:59"/>
    <x v="36"/>
    <s v="Tuesday"/>
    <n v="7"/>
  </r>
  <r>
    <s v="e164497a-a501-41e9-a1d0-3ef84a740a6c"/>
    <s v="***"/>
    <d v="2026-03-10T14:08:00"/>
    <n v="36"/>
    <x v="12"/>
    <d v="2026-03-10T07:08:00"/>
    <x v="36"/>
    <s v="Tuesday"/>
    <n v="7"/>
  </r>
  <r>
    <s v="75a9c115-66e2-4592-ac5d-adb19b32d9bd"/>
    <s v="***"/>
    <d v="2026-03-10T14:31:49"/>
    <n v="3"/>
    <x v="1"/>
    <d v="2026-03-10T07:31:49"/>
    <x v="36"/>
    <s v="Tuesday"/>
    <n v="7"/>
  </r>
  <r>
    <s v="4bbee711-0917-49e7-a4a3-e0121dde141d"/>
    <s v="***"/>
    <d v="2026-03-10T14:55:06"/>
    <n v="3"/>
    <x v="1"/>
    <d v="2026-03-10T07:55:06"/>
    <x v="36"/>
    <s v="Tuesday"/>
    <n v="7"/>
  </r>
  <r>
    <s v="734ffb33-caf9-476f-9953-7e3c53f4eab9"/>
    <s v="***"/>
    <d v="2026-03-10T15:03:09"/>
    <n v="3"/>
    <x v="1"/>
    <d v="2026-03-10T08:03:09"/>
    <x v="36"/>
    <s v="Tuesday"/>
    <n v="8"/>
  </r>
  <r>
    <s v="000af815-c32d-4c99-82bc-b2955c48fd4b"/>
    <s v="***"/>
    <d v="2026-03-10T15:58:21"/>
    <n v="3"/>
    <x v="1"/>
    <d v="2026-03-10T08:58:21"/>
    <x v="36"/>
    <s v="Tuesday"/>
    <n v="8"/>
  </r>
  <r>
    <s v="6b42c252-cb1d-45fd-8f7f-4d74e8f3776d"/>
    <s v="***"/>
    <d v="2026-03-10T16:38:48"/>
    <n v="826"/>
    <x v="77"/>
    <d v="2026-03-10T09:38:48"/>
    <x v="36"/>
    <s v="Tuesday"/>
    <n v="9"/>
  </r>
  <r>
    <s v="5ecaf8fd-7537-40d9-ac0f-c20c6dbecf78"/>
    <s v="***"/>
    <d v="2026-03-10T16:52:01"/>
    <n v="575"/>
    <x v="77"/>
    <d v="2026-03-10T09:52:01"/>
    <x v="36"/>
    <s v="Tuesday"/>
    <n v="9"/>
  </r>
  <r>
    <s v="5ab72550-81de-49ba-b4df-894317b787c3"/>
    <s v="***"/>
    <d v="2026-03-10T17:18:52"/>
    <n v="36"/>
    <x v="1"/>
    <d v="2026-03-10T10:18:52"/>
    <x v="36"/>
    <s v="Tuesday"/>
    <n v="10"/>
  </r>
  <r>
    <s v="e2a1916b-68f7-4d06-94fd-339ed4d095e6"/>
    <s v="***"/>
    <d v="2026-03-10T18:15:52"/>
    <n v="575"/>
    <x v="66"/>
    <d v="2026-03-10T11:15:52"/>
    <x v="36"/>
    <s v="Tuesday"/>
    <n v="11"/>
  </r>
  <r>
    <s v="8c6b6af1-19ae-4262-9927-440f346a2674"/>
    <s v="***"/>
    <d v="2026-03-10T18:40:30"/>
    <n v="3"/>
    <x v="1"/>
    <d v="2026-03-10T11:40:30"/>
    <x v="36"/>
    <s v="Tuesday"/>
    <n v="11"/>
  </r>
  <r>
    <s v="50da20ec-c023-4ac3-ba53-743eb1d68c32"/>
    <s v="***"/>
    <d v="2026-03-10T19:11:04"/>
    <n v="3"/>
    <x v="6"/>
    <d v="2026-03-10T12:11:04"/>
    <x v="36"/>
    <s v="Tuesday"/>
    <n v="12"/>
  </r>
  <r>
    <s v="ac76fd04-a482-403f-89e4-228ebbfb6e4f"/>
    <s v="***"/>
    <d v="2026-03-10T23:43:31"/>
    <n v="3"/>
    <x v="1"/>
    <d v="2026-03-10T16:43:31"/>
    <x v="36"/>
    <s v="Tuesday"/>
    <n v="16"/>
  </r>
  <r>
    <s v="af226a57-f6dd-4bf2-90c7-8bb8d0ac63a0"/>
    <s v="***"/>
    <d v="2026-03-11T08:26:44"/>
    <n v="531"/>
    <x v="1"/>
    <d v="2026-03-11T01:26:44"/>
    <x v="37"/>
    <s v="Wednesday"/>
    <n v="1"/>
  </r>
  <r>
    <s v="395cd1df-6462-4f98-9ffe-3502d5644f5f"/>
    <s v="***"/>
    <d v="2026-03-11T08:34:16"/>
    <n v="3"/>
    <x v="10"/>
    <d v="2026-03-11T01:34:16"/>
    <x v="37"/>
    <s v="Wednesday"/>
    <n v="1"/>
  </r>
  <r>
    <s v="d7c42c01-1c9e-4d8b-b413-253c853eea8b"/>
    <s v="***"/>
    <d v="2026-03-11T08:36:29"/>
    <n v="3"/>
    <x v="1"/>
    <d v="2026-03-11T01:36:29"/>
    <x v="37"/>
    <s v="Wednesday"/>
    <n v="1"/>
  </r>
  <r>
    <s v="03678c54-9351-473d-b051-d7b5f82c85a6"/>
    <s v="***"/>
    <d v="2026-03-11T08:45:31"/>
    <n v="36"/>
    <x v="1"/>
    <d v="2026-03-11T01:45:31"/>
    <x v="37"/>
    <s v="Wednesday"/>
    <n v="1"/>
  </r>
  <r>
    <s v="f1dedf7c-2422-4e3c-9010-6b26939754fd"/>
    <s v="***"/>
    <d v="2026-03-11T08:56:07"/>
    <n v="575"/>
    <x v="6"/>
    <d v="2026-03-11T01:56:07"/>
    <x v="37"/>
    <s v="Wednesday"/>
    <n v="1"/>
  </r>
  <r>
    <s v="d4facc7c-0eec-40ab-ae76-dba5ef6ca14d"/>
    <s v="***"/>
    <d v="2026-03-11T09:12:55"/>
    <n v="531"/>
    <x v="6"/>
    <d v="2026-03-11T02:12:55"/>
    <x v="37"/>
    <s v="Wednesday"/>
    <n v="2"/>
  </r>
  <r>
    <s v="dca85e1d-71b2-413d-afe9-142abd6c1275"/>
    <s v="***"/>
    <d v="2026-03-11T09:39:30"/>
    <n v="531"/>
    <x v="1"/>
    <d v="2026-03-11T02:39:30"/>
    <x v="37"/>
    <s v="Wednesday"/>
    <n v="2"/>
  </r>
  <r>
    <s v="a1fab892-020f-4d5f-a0e5-c851655a788f"/>
    <s v="***"/>
    <d v="2026-03-11T10:58:04"/>
    <n v="3"/>
    <x v="1"/>
    <d v="2026-03-11T03:58:04"/>
    <x v="37"/>
    <s v="Wednesday"/>
    <n v="3"/>
  </r>
  <r>
    <s v="4ce7b4c7-b58a-4133-a4b0-6a713d99de94"/>
    <s v="***"/>
    <d v="2026-03-11T11:01:21"/>
    <n v="1"/>
    <x v="1"/>
    <d v="2026-03-11T04:01:21"/>
    <x v="37"/>
    <s v="Wednesday"/>
    <n v="4"/>
  </r>
  <r>
    <s v="4965fe2d-461b-4876-a128-ce07804348be"/>
    <s v="***"/>
    <d v="2026-03-11T11:45:05"/>
    <n v="531"/>
    <x v="71"/>
    <d v="2026-03-11T04:45:05"/>
    <x v="37"/>
    <s v="Wednesday"/>
    <n v="4"/>
  </r>
  <r>
    <s v="5140e4c9-438a-4fba-a9a4-90678ca0e072"/>
    <s v="***"/>
    <d v="2026-03-11T11:46:16"/>
    <n v="531"/>
    <x v="71"/>
    <d v="2026-03-11T04:46:16"/>
    <x v="37"/>
    <s v="Wednesday"/>
    <n v="4"/>
  </r>
  <r>
    <s v="4daef9aa-2443-4ff1-8c1d-50bafd67f722"/>
    <s v="***"/>
    <d v="2026-03-11T11:59:48"/>
    <n v="3"/>
    <x v="10"/>
    <d v="2026-03-11T04:59:48"/>
    <x v="37"/>
    <s v="Wednesday"/>
    <n v="4"/>
  </r>
  <r>
    <s v="af09d788-71f9-4cef-8799-89cca3e9df43"/>
    <s v="***"/>
    <d v="2026-03-11T12:31:36"/>
    <n v="36"/>
    <x v="1"/>
    <d v="2026-03-11T05:31:36"/>
    <x v="37"/>
    <s v="Wednesday"/>
    <n v="5"/>
  </r>
  <r>
    <s v="e4b30b94-e223-43c4-8400-0a6448630fa8"/>
    <s v="***"/>
    <d v="2026-03-11T13:21:54"/>
    <n v="531"/>
    <x v="1"/>
    <d v="2026-03-11T06:21:54"/>
    <x v="37"/>
    <s v="Wednesday"/>
    <n v="6"/>
  </r>
  <r>
    <s v="c1c45dff-bc9d-4a62-b55f-cccf1f2333fc"/>
    <s v="***"/>
    <d v="2026-03-11T13:35:29"/>
    <n v="3"/>
    <x v="1"/>
    <d v="2026-03-11T06:35:29"/>
    <x v="37"/>
    <s v="Wednesday"/>
    <n v="6"/>
  </r>
  <r>
    <s v="7ba9c49a-bddd-4cf0-b42e-f8c4ede3b19d"/>
    <s v="***"/>
    <d v="2026-03-11T14:03:51"/>
    <n v="36"/>
    <x v="1"/>
    <d v="2026-03-11T07:03:51"/>
    <x v="37"/>
    <s v="Wednesday"/>
    <n v="7"/>
  </r>
  <r>
    <s v="819354d7-da75-4d61-b9b9-736b6efc351c"/>
    <s v="***"/>
    <d v="2026-03-11T15:11:32"/>
    <n v="3"/>
    <x v="6"/>
    <d v="2026-03-11T08:11:32"/>
    <x v="37"/>
    <s v="Wednesday"/>
    <n v="8"/>
  </r>
  <r>
    <s v="9b8fce38-2963-4dfd-abd9-8f3a0ebe0c87"/>
    <s v="***"/>
    <d v="2026-03-11T15:38:09"/>
    <n v="575"/>
    <x v="77"/>
    <d v="2026-03-11T08:38:09"/>
    <x v="37"/>
    <s v="Wednesday"/>
    <n v="8"/>
  </r>
  <r>
    <s v="e573db76-6bed-48fa-9017-f54a1074b303"/>
    <s v="***"/>
    <d v="2026-03-11T15:46:44"/>
    <n v="531"/>
    <x v="71"/>
    <d v="2026-03-11T08:46:44"/>
    <x v="37"/>
    <s v="Wednesday"/>
    <n v="8"/>
  </r>
  <r>
    <s v="8a400e93-a584-49ee-b4b8-55a3f247c37f"/>
    <s v="***"/>
    <d v="2026-03-11T16:01:38"/>
    <n v="531"/>
    <x v="71"/>
    <d v="2026-03-11T09:01:38"/>
    <x v="37"/>
    <s v="Wednesday"/>
    <n v="9"/>
  </r>
  <r>
    <s v="7829c03f-d555-4fb5-82ba-23cbfcfdd34d"/>
    <s v="***"/>
    <d v="2026-03-11T16:45:22"/>
    <n v="531"/>
    <x v="1"/>
    <d v="2026-03-11T09:45:22"/>
    <x v="37"/>
    <s v="Wednesday"/>
    <n v="9"/>
  </r>
  <r>
    <s v="f071543b-85fd-4d90-b889-1ac50e32f520"/>
    <s v="***"/>
    <d v="2026-03-11T19:47:30"/>
    <n v="531"/>
    <x v="1"/>
    <d v="2026-03-11T12:47:30"/>
    <x v="37"/>
    <s v="Wednesday"/>
    <n v="12"/>
  </r>
  <r>
    <s v="b3767be6-0c45-421a-9ed0-3d8208507d3d"/>
    <s v="***"/>
    <d v="2026-03-11T22:33:34"/>
    <n v="531"/>
    <x v="1"/>
    <d v="2026-03-11T15:33:34"/>
    <x v="37"/>
    <s v="Wednesday"/>
    <n v="15"/>
  </r>
  <r>
    <s v="3af18ccc-6a22-422b-89d0-d858bfdf4859"/>
    <s v="***"/>
    <d v="2026-03-12T01:10:33"/>
    <n v="3"/>
    <x v="1"/>
    <d v="2026-03-11T18:10:33"/>
    <x v="37"/>
    <s v="Wednesday"/>
    <n v="18"/>
  </r>
  <r>
    <s v="8c8edd18-2a8b-4649-9c0e-ed43fdcb26d4"/>
    <s v="***"/>
    <d v="2026-03-12T01:32:38"/>
    <n v="3"/>
    <x v="2"/>
    <d v="2026-03-11T18:32:38"/>
    <x v="37"/>
    <s v="Wednesday"/>
    <n v="18"/>
  </r>
  <r>
    <s v="6e7b3a33-4eee-4144-8e63-d4d5dacc0e0b"/>
    <s v="***"/>
    <d v="2026-03-12T09:24:50"/>
    <n v="531"/>
    <x v="5"/>
    <d v="2026-03-12T02:24:50"/>
    <x v="38"/>
    <s v="Thursday"/>
    <n v="2"/>
  </r>
  <r>
    <s v="77c050c7-1ae4-49cb-8eb6-5039a0b0c15e"/>
    <s v="***"/>
    <d v="2026-03-12T10:06:11"/>
    <n v="531"/>
    <x v="1"/>
    <d v="2026-03-12T03:06:11"/>
    <x v="38"/>
    <s v="Thursday"/>
    <n v="3"/>
  </r>
  <r>
    <s v="32ac4328-2cc4-40ba-90ce-8e8d118d0dbd"/>
    <s v="***"/>
    <d v="2026-03-12T10:17:29"/>
    <n v="575"/>
    <x v="71"/>
    <d v="2026-03-12T03:17:29"/>
    <x v="38"/>
    <s v="Thursday"/>
    <n v="3"/>
  </r>
  <r>
    <s v="cc65cb3e-6ca6-47fb-8172-3735e5999a6c"/>
    <s v="***"/>
    <d v="2026-03-12T12:15:21"/>
    <n v="3"/>
    <x v="1"/>
    <d v="2026-03-12T05:15:21"/>
    <x v="38"/>
    <s v="Thursday"/>
    <n v="5"/>
  </r>
  <r>
    <s v="657e9fdc-1a9c-4bab-9706-0962deeca968"/>
    <s v="***"/>
    <d v="2026-03-12T12:46:45"/>
    <n v="3"/>
    <x v="1"/>
    <d v="2026-03-12T05:46:45"/>
    <x v="38"/>
    <s v="Thursday"/>
    <n v="5"/>
  </r>
  <r>
    <s v="48593cca-5217-4d1d-92b7-8747e8d5a1f1"/>
    <s v="***"/>
    <d v="2026-03-12T14:36:07"/>
    <n v="2"/>
    <x v="1"/>
    <d v="2026-03-12T07:36:07"/>
    <x v="38"/>
    <s v="Thursday"/>
    <n v="7"/>
  </r>
  <r>
    <s v="83efbec8-fdfb-43f4-aa72-d5ac746f65d1"/>
    <s v="***"/>
    <d v="2026-03-12T15:30:50"/>
    <n v="531"/>
    <x v="71"/>
    <d v="2026-03-12T08:30:50"/>
    <x v="38"/>
    <s v="Thursday"/>
    <n v="8"/>
  </r>
  <r>
    <s v="c2fe70fe-f83d-4d7c-ba15-47fead2113a0"/>
    <s v="***"/>
    <d v="2026-03-12T17:13:19"/>
    <n v="575"/>
    <x v="1"/>
    <d v="2026-03-12T10:13:19"/>
    <x v="38"/>
    <s v="Thursday"/>
    <n v="10"/>
  </r>
  <r>
    <s v="72c64700-06e6-4fda-aae0-20763eb01f86"/>
    <s v="***"/>
    <d v="2026-03-12T18:25:13"/>
    <n v="3"/>
    <x v="1"/>
    <d v="2026-03-12T11:25:13"/>
    <x v="38"/>
    <s v="Thursday"/>
    <n v="11"/>
  </r>
  <r>
    <s v="0aadea57-9e4d-4a80-83a4-ec66af4269d3"/>
    <s v="***"/>
    <d v="2026-03-12T19:02:40"/>
    <n v="531"/>
    <x v="5"/>
    <d v="2026-03-12T12:02:40"/>
    <x v="38"/>
    <s v="Thursday"/>
    <n v="12"/>
  </r>
  <r>
    <s v="12398881-411f-4e9e-aa76-e04e47f4dac0"/>
    <s v="***"/>
    <d v="2026-03-12T22:23:17"/>
    <n v="531"/>
    <x v="1"/>
    <d v="2026-03-12T15:23:17"/>
    <x v="38"/>
    <s v="Thursday"/>
    <n v="15"/>
  </r>
  <r>
    <s v="1350bd9f-d3f1-4389-8087-6b3ade83b309"/>
    <s v="***"/>
    <d v="2026-03-13T08:24:51"/>
    <n v="531"/>
    <x v="6"/>
    <d v="2026-03-13T01:24:51"/>
    <x v="39"/>
    <s v="Friday"/>
    <n v="1"/>
  </r>
  <r>
    <s v="5eb8695f-3358-42ea-ba02-b8ef6855396f"/>
    <s v="***"/>
    <d v="2026-03-13T08:38:50"/>
    <n v="575"/>
    <x v="1"/>
    <d v="2026-03-13T01:38:50"/>
    <x v="39"/>
    <s v="Friday"/>
    <n v="1"/>
  </r>
  <r>
    <s v="3172e582-0dba-40b6-b0e4-1ac1814323f6"/>
    <s v="***"/>
    <d v="2026-03-13T08:58:15"/>
    <n v="575"/>
    <x v="17"/>
    <d v="2026-03-13T01:58:15"/>
    <x v="39"/>
    <s v="Friday"/>
    <n v="1"/>
  </r>
  <r>
    <s v="382ed00c-f462-41db-a036-b90522c7aece"/>
    <s v="***"/>
    <d v="2026-03-13T09:39:20"/>
    <n v="3"/>
    <x v="1"/>
    <d v="2026-03-13T02:39:20"/>
    <x v="39"/>
    <s v="Friday"/>
    <n v="2"/>
  </r>
  <r>
    <s v="590de0f8-a14a-44e6-a458-afee6cabc129"/>
    <s v="***"/>
    <d v="2026-03-13T09:59:08"/>
    <n v="3"/>
    <x v="45"/>
    <d v="2026-03-13T02:59:08"/>
    <x v="39"/>
    <s v="Friday"/>
    <n v="2"/>
  </r>
  <r>
    <s v="c30e2d2d-a5b9-46dd-946d-4f47313faa28"/>
    <s v="***"/>
    <d v="2026-03-13T10:01:42"/>
    <n v="531"/>
    <x v="1"/>
    <d v="2026-03-13T03:01:42"/>
    <x v="39"/>
    <s v="Friday"/>
    <n v="3"/>
  </r>
  <r>
    <s v="05013151-4771-476f-8a9f-e34b0f51536e"/>
    <s v="***"/>
    <d v="2026-03-13T10:05:33"/>
    <n v="575"/>
    <x v="1"/>
    <d v="2026-03-13T03:05:33"/>
    <x v="39"/>
    <s v="Friday"/>
    <n v="3"/>
  </r>
  <r>
    <s v="5ddae220-78eb-46e2-91d8-97c5d43d3b9e"/>
    <s v="***"/>
    <d v="2026-03-13T10:12:28"/>
    <n v="3"/>
    <x v="45"/>
    <d v="2026-03-13T03:12:28"/>
    <x v="39"/>
    <s v="Friday"/>
    <n v="3"/>
  </r>
  <r>
    <s v="67948a81-06ae-47e7-991d-8802036ae0d2"/>
    <s v="***"/>
    <d v="2026-03-13T10:24:16"/>
    <n v="3"/>
    <x v="1"/>
    <d v="2026-03-13T03:24:16"/>
    <x v="39"/>
    <s v="Friday"/>
    <n v="3"/>
  </r>
  <r>
    <s v="8a25989b-6ec2-4a6a-82e5-01243ac848fb"/>
    <s v="***"/>
    <d v="2026-03-13T11:24:17"/>
    <n v="3"/>
    <x v="1"/>
    <d v="2026-03-13T04:24:17"/>
    <x v="39"/>
    <s v="Friday"/>
    <n v="4"/>
  </r>
  <r>
    <s v="43c91a5f-3da8-40af-bc27-b5f6970cde44"/>
    <s v="***"/>
    <d v="2026-03-13T11:55:25"/>
    <n v="575"/>
    <x v="71"/>
    <d v="2026-03-13T04:55:25"/>
    <x v="39"/>
    <s v="Friday"/>
    <n v="4"/>
  </r>
  <r>
    <s v="a250b1ad-0b46-443c-99d3-2198abff48bf"/>
    <s v="***"/>
    <d v="2026-03-13T12:20:28"/>
    <n v="531"/>
    <x v="1"/>
    <d v="2026-03-13T05:20:28"/>
    <x v="39"/>
    <s v="Friday"/>
    <n v="5"/>
  </r>
  <r>
    <s v="41400740-2d22-4a73-bd90-8b49f1896d8d"/>
    <s v="***"/>
    <d v="2026-03-13T12:31:04"/>
    <n v="531"/>
    <x v="71"/>
    <d v="2026-03-13T05:31:04"/>
    <x v="39"/>
    <s v="Friday"/>
    <n v="5"/>
  </r>
  <r>
    <s v="1adfd2ca-2da4-485c-967b-af4c7a747c5f"/>
    <s v="***"/>
    <d v="2026-03-13T12:59:53"/>
    <n v="619"/>
    <x v="1"/>
    <d v="2026-03-13T05:59:53"/>
    <x v="39"/>
    <s v="Friday"/>
    <n v="5"/>
  </r>
  <r>
    <s v="4afa6927-db97-4482-99c4-2030de7c6617"/>
    <s v="***"/>
    <d v="2026-03-13T13:01:51"/>
    <n v="3"/>
    <x v="1"/>
    <d v="2026-03-13T06:01:51"/>
    <x v="39"/>
    <s v="Friday"/>
    <n v="6"/>
  </r>
  <r>
    <s v="ca81956d-e02f-4f59-80e3-bb99a943a3dc"/>
    <s v="***"/>
    <d v="2026-03-13T13:40:21"/>
    <n v="35"/>
    <x v="1"/>
    <d v="2026-03-13T06:40:21"/>
    <x v="39"/>
    <s v="Friday"/>
    <n v="6"/>
  </r>
  <r>
    <s v="bd36ced5-b8f6-4112-b620-d2c171d74ee1"/>
    <s v="***"/>
    <d v="2026-03-13T15:02:14"/>
    <n v="3"/>
    <x v="1"/>
    <d v="2026-03-13T08:02:14"/>
    <x v="39"/>
    <s v="Friday"/>
    <n v="8"/>
  </r>
  <r>
    <s v="435882b9-9fc2-4a8f-a754-c65f594f7b8f"/>
    <s v="***"/>
    <d v="2026-03-13T15:05:56"/>
    <n v="35"/>
    <x v="1"/>
    <d v="2026-03-13T08:05:56"/>
    <x v="39"/>
    <s v="Friday"/>
    <n v="8"/>
  </r>
  <r>
    <s v="e9a25772-a729-4063-a9e4-da071e636f9d"/>
    <s v="***"/>
    <d v="2026-03-13T19:12:42"/>
    <n v="2"/>
    <x v="50"/>
    <d v="2026-03-13T12:12:42"/>
    <x v="39"/>
    <s v="Friday"/>
    <n v="12"/>
  </r>
  <r>
    <s v="a5860cae-9326-4b6a-aacc-eee724ea1871"/>
    <s v="***"/>
    <d v="2026-03-13T19:33:30"/>
    <n v="3"/>
    <x v="1"/>
    <d v="2026-03-13T12:33:30"/>
    <x v="39"/>
    <s v="Friday"/>
    <n v="12"/>
  </r>
  <r>
    <s v="8503541c-0213-45af-b316-e3906f363f82"/>
    <s v="***"/>
    <d v="2026-03-13T19:47:27"/>
    <n v="2"/>
    <x v="50"/>
    <d v="2026-03-13T12:47:27"/>
    <x v="39"/>
    <s v="Friday"/>
    <n v="12"/>
  </r>
  <r>
    <s v="20e33dc6-18a5-4b3c-bfcd-01f1c6ac14f4"/>
    <s v="***"/>
    <d v="2026-03-13T19:51:59"/>
    <n v="2"/>
    <x v="50"/>
    <d v="2026-03-13T12:51:59"/>
    <x v="39"/>
    <s v="Friday"/>
    <n v="12"/>
  </r>
  <r>
    <s v="c5a4c308-6f82-4cbf-8d15-4c8f421adf4d"/>
    <s v="***"/>
    <d v="2026-03-13T19:53:46"/>
    <n v="575"/>
    <x v="44"/>
    <d v="2026-03-13T12:53:46"/>
    <x v="39"/>
    <s v="Friday"/>
    <n v="12"/>
  </r>
  <r>
    <s v="82bd2958-77d8-4428-a8d4-fc2b7344926d"/>
    <s v="***"/>
    <d v="2026-03-13T19:53:49"/>
    <n v="3"/>
    <x v="1"/>
    <d v="2026-03-13T12:53:49"/>
    <x v="39"/>
    <s v="Friday"/>
    <n v="12"/>
  </r>
  <r>
    <s v="a6b410a7-7d42-462f-937d-84c4cc598f9d"/>
    <s v="***"/>
    <d v="2026-03-13T20:00:33"/>
    <n v="575"/>
    <x v="1"/>
    <d v="2026-03-13T13:00:33"/>
    <x v="39"/>
    <s v="Friday"/>
    <n v="13"/>
  </r>
  <r>
    <s v="ff25ff40-9e7a-4abb-837d-dfbac11e428b"/>
    <s v="***"/>
    <d v="2026-03-13T20:00:52"/>
    <n v="3"/>
    <x v="1"/>
    <d v="2026-03-13T13:00:52"/>
    <x v="39"/>
    <s v="Friday"/>
    <n v="13"/>
  </r>
  <r>
    <s v="1de20b69-16a3-48aa-9eee-7ced78fcea55"/>
    <s v="***"/>
    <d v="2026-03-13T20:02:10"/>
    <n v="2"/>
    <x v="50"/>
    <d v="2026-03-13T13:02:10"/>
    <x v="39"/>
    <s v="Friday"/>
    <n v="13"/>
  </r>
  <r>
    <s v="54833635-bfc3-4103-a585-4f7403ffd57c"/>
    <s v="***"/>
    <d v="2026-03-13T20:02:32"/>
    <n v="575"/>
    <x v="44"/>
    <d v="2026-03-13T13:02:32"/>
    <x v="39"/>
    <s v="Friday"/>
    <n v="13"/>
  </r>
  <r>
    <s v="7ff9ddcd-ec52-4599-bd5d-a8690c5ff1e5"/>
    <s v="***"/>
    <d v="2026-03-13T20:09:09"/>
    <n v="575"/>
    <x v="44"/>
    <d v="2026-03-13T13:09:09"/>
    <x v="39"/>
    <s v="Friday"/>
    <n v="13"/>
  </r>
  <r>
    <s v="2bf85b9b-6f10-40e4-ae21-0dd8990cb6ab"/>
    <s v="***"/>
    <d v="2026-03-13T22:08:47"/>
    <n v="531"/>
    <x v="1"/>
    <d v="2026-03-13T15:08:47"/>
    <x v="39"/>
    <s v="Friday"/>
    <n v="15"/>
  </r>
  <r>
    <s v="c9cfd292-e470-43fc-834c-020cc7a2d494"/>
    <s v="***"/>
    <d v="2026-03-14T07:55:51"/>
    <n v="531"/>
    <x v="1"/>
    <d v="2026-03-14T00:55:51"/>
    <x v="40"/>
    <s v="Saturday"/>
    <n v="0"/>
  </r>
  <r>
    <s v="fd046877-d573-491c-86e2-900bc57fff4d"/>
    <s v="***"/>
    <d v="2026-03-14T08:28:22"/>
    <n v="575"/>
    <x v="1"/>
    <d v="2026-03-14T01:28:22"/>
    <x v="40"/>
    <s v="Saturday"/>
    <n v="1"/>
  </r>
  <r>
    <s v="78303c7e-63c0-47f0-8c7e-da2e58f78992"/>
    <s v="***"/>
    <d v="2026-03-14T10:25:52"/>
    <n v="531"/>
    <x v="1"/>
    <d v="2026-03-14T03:25:52"/>
    <x v="40"/>
    <s v="Saturday"/>
    <n v="3"/>
  </r>
  <r>
    <s v="89242197-b5a8-4f81-a5b1-2f41c4687ac4"/>
    <s v="***"/>
    <d v="2026-03-14T10:51:17"/>
    <n v="575"/>
    <x v="1"/>
    <d v="2026-03-14T03:51:17"/>
    <x v="40"/>
    <s v="Saturday"/>
    <n v="3"/>
  </r>
  <r>
    <s v="1d3a53de-d40e-4082-bd42-1a5b2d23cbee"/>
    <s v="***"/>
    <d v="2026-03-14T10:58:38"/>
    <n v="3"/>
    <x v="45"/>
    <d v="2026-03-14T03:58:38"/>
    <x v="40"/>
    <s v="Saturday"/>
    <n v="3"/>
  </r>
  <r>
    <s v="22764ab8-6ec9-4b50-8c37-33abe7a06bcf"/>
    <s v="***"/>
    <d v="2026-03-14T14:15:34"/>
    <n v="575"/>
    <x v="1"/>
    <d v="2026-03-14T07:15:34"/>
    <x v="40"/>
    <s v="Saturday"/>
    <n v="7"/>
  </r>
  <r>
    <s v="b9aaaec1-5e38-4039-ac38-bdcfb8900199"/>
    <s v="***"/>
    <d v="2026-03-14T14:21:19"/>
    <n v="575"/>
    <x v="1"/>
    <d v="2026-03-14T07:21:19"/>
    <x v="40"/>
    <s v="Saturday"/>
    <n v="7"/>
  </r>
  <r>
    <s v="f0af8cd0-a3cb-4df1-9535-30653ba6806d"/>
    <s v="***"/>
    <d v="2026-03-14T14:29:32"/>
    <n v="575"/>
    <x v="1"/>
    <d v="2026-03-14T07:29:32"/>
    <x v="40"/>
    <s v="Saturday"/>
    <n v="7"/>
  </r>
  <r>
    <s v="9cc8ba08-e3bf-4a61-9d24-ad0c64eaab77"/>
    <s v="***"/>
    <d v="2026-03-14T14:39:51"/>
    <n v="575"/>
    <x v="1"/>
    <d v="2026-03-14T07:39:51"/>
    <x v="40"/>
    <s v="Saturday"/>
    <n v="7"/>
  </r>
  <r>
    <s v="03e7edcc-2c92-4ca5-b9ee-f0c0da6758a9"/>
    <s v="***"/>
    <d v="2026-03-14T15:05:35"/>
    <n v="575"/>
    <x v="1"/>
    <d v="2026-03-14T08:05:35"/>
    <x v="40"/>
    <s v="Saturday"/>
    <n v="8"/>
  </r>
  <r>
    <s v="9b86e2d4-104a-4d44-877b-9a1be5c2f67d"/>
    <s v="***"/>
    <d v="2026-03-14T15:20:16"/>
    <n v="3"/>
    <x v="89"/>
    <d v="2026-03-14T08:20:16"/>
    <x v="40"/>
    <s v="Saturday"/>
    <n v="8"/>
  </r>
  <r>
    <s v="470e0487-e6b6-43be-8e2b-d93b571056bb"/>
    <s v="***"/>
    <d v="2026-03-14T15:25:09"/>
    <n v="575"/>
    <x v="1"/>
    <d v="2026-03-14T08:25:09"/>
    <x v="40"/>
    <s v="Saturday"/>
    <n v="8"/>
  </r>
  <r>
    <s v="f7b38140-221b-418e-a8b2-474e0d1b0d44"/>
    <s v="***"/>
    <d v="2026-03-14T20:10:37"/>
    <n v="531"/>
    <x v="1"/>
    <d v="2026-03-14T13:10:37"/>
    <x v="40"/>
    <s v="Saturday"/>
    <n v="13"/>
  </r>
  <r>
    <s v="827e5691-107a-44f5-868f-63c24a1f38fb"/>
    <s v="***"/>
    <d v="2026-03-15T05:15:02"/>
    <n v="575"/>
    <x v="1"/>
    <d v="2026-03-14T22:15:02"/>
    <x v="40"/>
    <s v="Saturday"/>
    <n v="22"/>
  </r>
  <r>
    <s v="faf6c190-1871-44fc-b735-573af41e55ed"/>
    <s v="***"/>
    <d v="2026-03-15T08:22:09"/>
    <n v="3"/>
    <x v="1"/>
    <d v="2026-03-15T01:22:09"/>
    <x v="41"/>
    <s v="Sunday"/>
    <n v="1"/>
  </r>
  <r>
    <s v="12d79a02-1e01-4dce-9ad4-3ff7befcc0b1"/>
    <s v="***"/>
    <d v="2026-03-15T09:41:00"/>
    <n v="575"/>
    <x v="1"/>
    <d v="2026-03-15T02:41:00"/>
    <x v="41"/>
    <s v="Sunday"/>
    <n v="2"/>
  </r>
  <r>
    <s v="6edf040f-9405-4d05-b927-298c1d527d9a"/>
    <s v="***"/>
    <d v="2026-03-15T17:07:03"/>
    <n v="1"/>
    <x v="1"/>
    <d v="2026-03-15T10:07:03"/>
    <x v="41"/>
    <s v="Sunday"/>
    <n v="10"/>
  </r>
  <r>
    <s v="05dca163-b741-4646-ace1-ebf1856ab9f8"/>
    <s v="***"/>
    <d v="2026-03-15T21:07:08"/>
    <n v="3"/>
    <x v="90"/>
    <d v="2026-03-15T14:07:08"/>
    <x v="41"/>
    <s v="Sunday"/>
    <n v="14"/>
  </r>
  <r>
    <s v="665fab9c-5ca0-4726-8671-a1d5e18c1bfa"/>
    <s v="***"/>
    <d v="2026-03-15T21:08:36"/>
    <n v="3"/>
    <x v="1"/>
    <d v="2026-03-15T14:08:36"/>
    <x v="41"/>
    <s v="Sunday"/>
    <n v="14"/>
  </r>
  <r>
    <s v="9ae13cbb-4b3d-430f-9a50-3344e8c323bc"/>
    <s v="***"/>
    <d v="2026-03-15T21:09:39"/>
    <n v="3"/>
    <x v="1"/>
    <d v="2026-03-15T14:09:39"/>
    <x v="41"/>
    <s v="Sunday"/>
    <n v="14"/>
  </r>
  <r>
    <s v="c68c2a90-f25a-4ba6-99de-c1b087712748"/>
    <s v="***"/>
    <d v="2026-03-15T21:09:50"/>
    <n v="3"/>
    <x v="91"/>
    <d v="2026-03-15T14:09:50"/>
    <x v="41"/>
    <s v="Sunday"/>
    <n v="14"/>
  </r>
  <r>
    <s v="6a6a599b-5e45-48c2-b6a7-fa7519e81e78"/>
    <s v="***"/>
    <d v="2026-03-15T21:55:51"/>
    <n v="2"/>
    <x v="92"/>
    <d v="2026-03-15T14:55:51"/>
    <x v="41"/>
    <s v="Sunday"/>
    <n v="14"/>
  </r>
  <r>
    <s v="d4dfeef3-698c-417b-8689-edc666c3ced1"/>
    <s v="***"/>
    <d v="2026-03-15T22:13:08"/>
    <n v="3"/>
    <x v="91"/>
    <d v="2026-03-15T15:13:08"/>
    <x v="41"/>
    <s v="Sunday"/>
    <n v="15"/>
  </r>
  <r>
    <s v="694a846d-5387-4652-b6bd-2c42c4c142e8"/>
    <s v="***"/>
    <d v="2026-03-15T22:33:35"/>
    <n v="531"/>
    <x v="46"/>
    <d v="2026-03-15T15:33:35"/>
    <x v="41"/>
    <s v="Sunday"/>
    <n v="15"/>
  </r>
  <r>
    <s v="f16cd9ec-51e8-49d1-8444-70fa50cebc64"/>
    <s v="***"/>
    <d v="2026-03-16T01:00:13"/>
    <n v="3"/>
    <x v="91"/>
    <d v="2026-03-15T18:00:13"/>
    <x v="41"/>
    <s v="Sunday"/>
    <n v="18"/>
  </r>
  <r>
    <s v="688ab5bb-2f29-4707-9925-32a97e768da8"/>
    <s v="***"/>
    <d v="2026-03-16T06:04:33"/>
    <n v="531"/>
    <x v="1"/>
    <d v="2026-03-15T23:04:33"/>
    <x v="41"/>
    <s v="Sunday"/>
    <n v="23"/>
  </r>
  <r>
    <s v="7b1c3e24-072c-4584-8abe-b4e05d769013"/>
    <s v="***"/>
    <d v="2026-03-16T08:59:00"/>
    <n v="2"/>
    <x v="1"/>
    <d v="2026-03-16T01:59:00"/>
    <x v="42"/>
    <s v="Monday"/>
    <n v="1"/>
  </r>
  <r>
    <s v="fd7f8583-05e3-40ab-afeb-48b9d807a440"/>
    <s v="***"/>
    <d v="2026-03-16T09:00:44"/>
    <n v="2"/>
    <x v="1"/>
    <d v="2026-03-16T02:00:44"/>
    <x v="42"/>
    <s v="Monday"/>
    <n v="2"/>
  </r>
  <r>
    <s v="fb98d5b9-dfc8-476f-806d-467158ef2900"/>
    <s v="***"/>
    <d v="2026-03-16T12:46:58"/>
    <n v="2"/>
    <x v="1"/>
    <d v="2026-03-16T05:46:58"/>
    <x v="42"/>
    <s v="Monday"/>
    <n v="5"/>
  </r>
  <r>
    <s v="6dde6395-0478-49f7-a8cf-8ddbbf186ba3"/>
    <s v="***"/>
    <d v="2026-03-16T12:54:00"/>
    <n v="531"/>
    <x v="5"/>
    <d v="2026-03-16T05:54:00"/>
    <x v="42"/>
    <s v="Monday"/>
    <n v="5"/>
  </r>
  <r>
    <s v="2acc018f-839e-420a-9288-109e380c9813"/>
    <s v="***"/>
    <d v="2026-03-16T12:57:17"/>
    <n v="2"/>
    <x v="1"/>
    <d v="2026-03-16T05:57:17"/>
    <x v="42"/>
    <s v="Monday"/>
    <n v="5"/>
  </r>
  <r>
    <s v="8758775a-a5af-4776-b109-7e0d6ebf5a71"/>
    <s v="***"/>
    <d v="2026-03-16T14:00:26"/>
    <n v="575"/>
    <x v="69"/>
    <d v="2026-03-16T07:00:26"/>
    <x v="42"/>
    <s v="Monday"/>
    <n v="7"/>
  </r>
  <r>
    <s v="99713546-549d-4e13-95bc-2e7ffdbb96b6"/>
    <s v="***"/>
    <d v="2026-03-16T14:33:32"/>
    <n v="3"/>
    <x v="5"/>
    <d v="2026-03-16T07:33:32"/>
    <x v="42"/>
    <s v="Monday"/>
    <n v="7"/>
  </r>
  <r>
    <s v="90a4daaf-2a29-4c73-a0da-39a1d5b756fc"/>
    <s v="***"/>
    <d v="2026-03-16T15:10:42"/>
    <n v="575"/>
    <x v="5"/>
    <d v="2026-03-16T08:10:42"/>
    <x v="42"/>
    <s v="Monday"/>
    <n v="8"/>
  </r>
  <r>
    <s v="065cac6f-3be4-40b2-afd5-c746da0d0d0b"/>
    <s v="***"/>
    <d v="2026-03-16T15:16:14"/>
    <n v="36"/>
    <x v="1"/>
    <d v="2026-03-16T08:16:14"/>
    <x v="42"/>
    <s v="Monday"/>
    <n v="8"/>
  </r>
  <r>
    <s v="4e1d8fd6-d5db-42b4-984a-42f6647dac80"/>
    <s v="***"/>
    <d v="2026-03-16T17:53:22"/>
    <n v="531"/>
    <x v="46"/>
    <d v="2026-03-16T10:53:22"/>
    <x v="42"/>
    <s v="Monday"/>
    <n v="10"/>
  </r>
  <r>
    <s v="aaff61fc-d419-42f2-abe4-55e145890376"/>
    <s v="***"/>
    <d v="2026-03-16T17:57:38"/>
    <n v="3"/>
    <x v="93"/>
    <d v="2026-03-16T10:57:38"/>
    <x v="42"/>
    <s v="Monday"/>
    <n v="10"/>
  </r>
  <r>
    <s v="408960f6-da2a-4b32-8d53-354144253909"/>
    <s v="***"/>
    <d v="2026-03-16T18:00:05"/>
    <n v="531"/>
    <x v="46"/>
    <d v="2026-03-16T11:00:05"/>
    <x v="42"/>
    <s v="Monday"/>
    <n v="11"/>
  </r>
  <r>
    <s v="436e2d66-0d6c-4ed1-a05d-b77b2f234d1c"/>
    <s v="***"/>
    <d v="2026-03-16T18:09:28"/>
    <n v="3"/>
    <x v="94"/>
    <d v="2026-03-16T11:09:28"/>
    <x v="42"/>
    <s v="Monday"/>
    <n v="11"/>
  </r>
  <r>
    <s v="28535af2-d966-4302-91c7-46859f24ebda"/>
    <s v="***"/>
    <d v="2026-03-16T18:14:20"/>
    <n v="3"/>
    <x v="90"/>
    <d v="2026-03-16T11:14:20"/>
    <x v="42"/>
    <s v="Monday"/>
    <n v="11"/>
  </r>
  <r>
    <s v="1b202907-ac63-4940-ad67-6b38426cbc6a"/>
    <s v="***"/>
    <d v="2026-03-16T18:17:08"/>
    <n v="3"/>
    <x v="10"/>
    <d v="2026-03-16T11:17:08"/>
    <x v="42"/>
    <s v="Monday"/>
    <n v="11"/>
  </r>
  <r>
    <s v="c9282ed5-9307-4458-a6a9-cdc1fffeab35"/>
    <s v="***"/>
    <d v="2026-03-16T19:45:54"/>
    <n v="3"/>
    <x v="1"/>
    <d v="2026-03-16T12:45:54"/>
    <x v="42"/>
    <s v="Monday"/>
    <n v="12"/>
  </r>
  <r>
    <s v="f2003eda-a9ab-4c95-962a-32eec0022728"/>
    <s v="***"/>
    <d v="2026-03-16T21:22:00"/>
    <n v="531"/>
    <x v="1"/>
    <d v="2026-03-16T14:22:00"/>
    <x v="42"/>
    <s v="Monday"/>
    <n v="14"/>
  </r>
  <r>
    <s v="9414a570-bbad-4ba6-8c6c-e1fde34ca1c3"/>
    <s v="***"/>
    <d v="2026-03-16T21:52:57"/>
    <n v="3"/>
    <x v="1"/>
    <d v="2026-03-16T14:52:57"/>
    <x v="42"/>
    <s v="Monday"/>
    <n v="14"/>
  </r>
  <r>
    <s v="6afff189-52de-4ccb-9d8d-c92f5800594f"/>
    <s v="***"/>
    <d v="2026-03-17T03:41:02"/>
    <n v="3"/>
    <x v="1"/>
    <d v="2026-03-16T20:41:02"/>
    <x v="42"/>
    <s v="Monday"/>
    <n v="20"/>
  </r>
  <r>
    <s v="9df07f4e-0e25-4be0-a2ee-a64fab7ecfe7"/>
    <s v="***"/>
    <d v="2026-03-17T07:08:50"/>
    <n v="36"/>
    <x v="1"/>
    <d v="2026-03-17T00:08:50"/>
    <x v="43"/>
    <s v="Tuesday"/>
    <n v="0"/>
  </r>
  <r>
    <s v="f8e10c96-9d1e-44db-87ab-b04144ca17fc"/>
    <s v="***"/>
    <d v="2026-03-17T07:31:56"/>
    <n v="3"/>
    <x v="1"/>
    <d v="2026-03-17T00:31:56"/>
    <x v="43"/>
    <s v="Tuesday"/>
    <n v="0"/>
  </r>
  <r>
    <s v="3de95bfb-8aae-455f-9e6f-b8f0720ce390"/>
    <s v="***"/>
    <d v="2026-03-17T07:52:57"/>
    <n v="3"/>
    <x v="95"/>
    <d v="2026-03-17T00:52:57"/>
    <x v="43"/>
    <s v="Tuesday"/>
    <n v="0"/>
  </r>
  <r>
    <s v="eef00923-f9df-4782-b3e5-2a067025c9fd"/>
    <s v="***"/>
    <d v="2026-03-17T08:01:00"/>
    <n v="3"/>
    <x v="95"/>
    <d v="2026-03-17T01:01:00"/>
    <x v="43"/>
    <s v="Tuesday"/>
    <n v="1"/>
  </r>
  <r>
    <s v="39756261-c681-4c45-8bae-6d6f5595ce6c"/>
    <s v="***"/>
    <d v="2026-03-17T08:09:42"/>
    <n v="531"/>
    <x v="6"/>
    <d v="2026-03-17T01:09:42"/>
    <x v="43"/>
    <s v="Tuesday"/>
    <n v="1"/>
  </r>
  <r>
    <s v="26f610a0-77fc-4d88-af84-b088c216b9f3"/>
    <s v="***"/>
    <d v="2026-03-17T08:11:00"/>
    <n v="36"/>
    <x v="1"/>
    <d v="2026-03-17T01:11:00"/>
    <x v="43"/>
    <s v="Tuesday"/>
    <n v="1"/>
  </r>
  <r>
    <s v="3b67470e-0ce8-42be-abfb-29e7dfab1abf"/>
    <s v="***"/>
    <d v="2026-03-17T08:29:20"/>
    <n v="531"/>
    <x v="1"/>
    <d v="2026-03-17T01:29:20"/>
    <x v="43"/>
    <s v="Tuesday"/>
    <n v="1"/>
  </r>
  <r>
    <s v="41159026-6466-4973-883d-02831311d848"/>
    <s v="***"/>
    <d v="2026-03-17T08:40:45"/>
    <n v="36"/>
    <x v="1"/>
    <d v="2026-03-17T01:40:45"/>
    <x v="43"/>
    <s v="Tuesday"/>
    <n v="1"/>
  </r>
  <r>
    <s v="e848902b-c597-4d4d-88e9-45bc4cd2514f"/>
    <s v="***"/>
    <d v="2026-03-17T08:42:06"/>
    <n v="36"/>
    <x v="1"/>
    <d v="2026-03-17T01:42:06"/>
    <x v="43"/>
    <s v="Tuesday"/>
    <n v="1"/>
  </r>
  <r>
    <s v="bca4b010-ad51-48d8-a77a-92c2a8226162"/>
    <s v="***"/>
    <d v="2026-03-17T08:46:29"/>
    <n v="3"/>
    <x v="26"/>
    <d v="2026-03-17T01:46:29"/>
    <x v="43"/>
    <s v="Tuesday"/>
    <n v="1"/>
  </r>
  <r>
    <s v="eb70b341-5172-4401-9e35-ba2ae288574a"/>
    <s v="***"/>
    <d v="2026-03-17T09:06:18"/>
    <n v="1"/>
    <x v="26"/>
    <d v="2026-03-17T02:06:18"/>
    <x v="43"/>
    <s v="Tuesday"/>
    <n v="2"/>
  </r>
  <r>
    <s v="3fc441ba-4019-4bd7-ad6b-a815f8e72fda"/>
    <s v="***"/>
    <d v="2026-03-17T09:44:56"/>
    <n v="575"/>
    <x v="10"/>
    <d v="2026-03-17T02:44:56"/>
    <x v="43"/>
    <s v="Tuesday"/>
    <n v="2"/>
  </r>
  <r>
    <s v="fa465910-a3a7-4ead-99ed-6e645c09e4e7"/>
    <s v="***"/>
    <d v="2026-03-17T10:01:54"/>
    <n v="575"/>
    <x v="10"/>
    <d v="2026-03-17T03:01:54"/>
    <x v="43"/>
    <s v="Tuesday"/>
    <n v="3"/>
  </r>
  <r>
    <s v="45922ec2-6e7e-470f-88e3-1903093e9f30"/>
    <s v="***"/>
    <d v="2026-03-17T10:03:05"/>
    <n v="36"/>
    <x v="1"/>
    <d v="2026-03-17T03:03:05"/>
    <x v="43"/>
    <s v="Tuesday"/>
    <n v="3"/>
  </r>
  <r>
    <s v="80e99091-7ac4-4d5a-8683-88cdfef4befd"/>
    <s v="***"/>
    <d v="2026-03-17T11:09:28"/>
    <n v="3"/>
    <x v="10"/>
    <d v="2026-03-17T04:09:28"/>
    <x v="43"/>
    <s v="Tuesday"/>
    <n v="4"/>
  </r>
  <r>
    <s v="6028a47c-b666-42dd-a0e3-916a6452e340"/>
    <s v="***"/>
    <d v="2026-03-17T12:31:19"/>
    <n v="3"/>
    <x v="10"/>
    <d v="2026-03-17T05:31:19"/>
    <x v="43"/>
    <s v="Tuesday"/>
    <n v="5"/>
  </r>
  <r>
    <s v="6b278563-34b9-4098-bcfd-7853f67c4b6c"/>
    <s v="***"/>
    <d v="2026-03-17T12:32:51"/>
    <n v="3"/>
    <x v="1"/>
    <d v="2026-03-17T05:32:51"/>
    <x v="43"/>
    <s v="Tuesday"/>
    <n v="5"/>
  </r>
  <r>
    <s v="9d15719b-3bb3-4ff5-bc25-0dcce254d276"/>
    <s v="***"/>
    <d v="2026-03-17T12:56:32"/>
    <n v="36"/>
    <x v="1"/>
    <d v="2026-03-17T05:56:32"/>
    <x v="43"/>
    <s v="Tuesday"/>
    <n v="5"/>
  </r>
  <r>
    <s v="11c21855-fa61-4fb4-9692-0157e23954ac"/>
    <s v="***"/>
    <d v="2026-03-17T13:05:04"/>
    <n v="531"/>
    <x v="1"/>
    <d v="2026-03-17T06:05:04"/>
    <x v="43"/>
    <s v="Tuesday"/>
    <n v="6"/>
  </r>
  <r>
    <s v="98e2f8c4-fa9d-4b2b-b922-bde42b7ece12"/>
    <s v="***"/>
    <d v="2026-03-17T13:06:05"/>
    <n v="36"/>
    <x v="1"/>
    <d v="2026-03-17T06:06:05"/>
    <x v="43"/>
    <s v="Tuesday"/>
    <n v="6"/>
  </r>
  <r>
    <s v="ff3d3d34-5733-4f3f-a70a-8e57b600456e"/>
    <s v="***"/>
    <d v="2026-03-17T13:22:40"/>
    <n v="1"/>
    <x v="10"/>
    <d v="2026-03-17T06:22:40"/>
    <x v="43"/>
    <s v="Tuesday"/>
    <n v="6"/>
  </r>
  <r>
    <s v="8b429200-d828-4551-85ce-224029003969"/>
    <s v="***"/>
    <d v="2026-03-17T13:31:20"/>
    <n v="3"/>
    <x v="96"/>
    <d v="2026-03-17T06:31:20"/>
    <x v="43"/>
    <s v="Tuesday"/>
    <n v="6"/>
  </r>
  <r>
    <s v="e24e1872-2c2d-4607-8f64-8c2f8b3192a7"/>
    <s v="***"/>
    <d v="2026-03-17T13:34:09"/>
    <n v="531"/>
    <x v="1"/>
    <d v="2026-03-17T06:34:09"/>
    <x v="43"/>
    <s v="Tuesday"/>
    <n v="6"/>
  </r>
  <r>
    <s v="61129fee-718b-4690-9979-85b2be3d2ff4"/>
    <s v="***"/>
    <d v="2026-03-17T14:45:38"/>
    <n v="36"/>
    <x v="1"/>
    <d v="2026-03-17T07:45:38"/>
    <x v="43"/>
    <s v="Tuesday"/>
    <n v="7"/>
  </r>
  <r>
    <s v="bf69f6f9-fbad-425f-935b-e7f45199aac7"/>
    <s v="***"/>
    <d v="2026-03-17T14:49:28"/>
    <n v="36"/>
    <x v="1"/>
    <d v="2026-03-17T07:49:28"/>
    <x v="43"/>
    <s v="Tuesday"/>
    <n v="7"/>
  </r>
  <r>
    <s v="c1d4794d-8ca6-4a3d-b6b3-92e10891ad89"/>
    <s v="***"/>
    <d v="2026-03-17T15:26:14"/>
    <n v="36"/>
    <x v="1"/>
    <d v="2026-03-17T08:26:14"/>
    <x v="43"/>
    <s v="Tuesday"/>
    <n v="8"/>
  </r>
  <r>
    <s v="ef4092ab-00b7-4f79-963b-2cae094e0282"/>
    <s v="***"/>
    <d v="2026-03-17T17:35:30"/>
    <n v="531"/>
    <x v="1"/>
    <d v="2026-03-17T10:35:30"/>
    <x v="43"/>
    <s v="Tuesday"/>
    <n v="10"/>
  </r>
  <r>
    <s v="abd7b26f-6746-4afe-bc4b-3e19208c71b6"/>
    <s v="***"/>
    <d v="2026-03-17T18:10:27"/>
    <n v="531"/>
    <x v="1"/>
    <d v="2026-03-17T11:10:27"/>
    <x v="43"/>
    <s v="Tuesday"/>
    <n v="11"/>
  </r>
  <r>
    <s v="4879eda5-cf17-44c0-bebf-dce275103b40"/>
    <s v="***"/>
    <d v="2026-03-17T20:53:03"/>
    <n v="531"/>
    <x v="1"/>
    <d v="2026-03-17T13:53:03"/>
    <x v="43"/>
    <s v="Tuesday"/>
    <n v="13"/>
  </r>
  <r>
    <s v="7ddcfa81-24a2-4fd6-8c59-8aa4588619f0"/>
    <s v="***"/>
    <d v="2026-03-18T08:12:41"/>
    <n v="531"/>
    <x v="1"/>
    <d v="2026-03-18T01:12:41"/>
    <x v="44"/>
    <s v="Wednesday"/>
    <n v="1"/>
  </r>
  <r>
    <s v="5afbae6c-d13f-4810-b281-e1557bdafb56"/>
    <s v="***"/>
    <d v="2026-03-18T08:53:12"/>
    <n v="36"/>
    <x v="1"/>
    <d v="2026-03-18T01:53:12"/>
    <x v="44"/>
    <s v="Wednesday"/>
    <n v="1"/>
  </r>
  <r>
    <s v="9be097ae-3bd6-4ebb-a23d-47a22e9f99c3"/>
    <s v="***"/>
    <d v="2026-03-18T08:54:29"/>
    <n v="531"/>
    <x v="1"/>
    <d v="2026-03-18T01:54:29"/>
    <x v="44"/>
    <s v="Wednesday"/>
    <n v="1"/>
  </r>
  <r>
    <s v="8528a466-9dbf-497f-ab89-ba81b0533599"/>
    <s v="***"/>
    <d v="2026-03-18T09:03:37"/>
    <n v="36"/>
    <x v="1"/>
    <d v="2026-03-18T02:03:37"/>
    <x v="44"/>
    <s v="Wednesday"/>
    <n v="2"/>
  </r>
  <r>
    <s v="f372eb40-e0c0-43b1-b23f-42c4d824f1ee"/>
    <s v="***"/>
    <d v="2026-03-18T09:08:05"/>
    <n v="528"/>
    <x v="1"/>
    <d v="2026-03-18T02:08:05"/>
    <x v="44"/>
    <s v="Wednesday"/>
    <n v="2"/>
  </r>
  <r>
    <s v="23e96299-fd13-4c92-875c-76a9c68719d9"/>
    <s v="***"/>
    <d v="2026-03-18T10:07:02"/>
    <n v="36"/>
    <x v="1"/>
    <d v="2026-03-18T03:07:02"/>
    <x v="44"/>
    <s v="Wednesday"/>
    <n v="3"/>
  </r>
  <r>
    <s v="01ee9864-0fc4-413b-bc7e-47d1f74dc304"/>
    <s v="***"/>
    <d v="2026-03-18T11:05:16"/>
    <n v="36"/>
    <x v="1"/>
    <d v="2026-03-18T04:05:16"/>
    <x v="44"/>
    <s v="Wednesday"/>
    <n v="4"/>
  </r>
  <r>
    <s v="8dc6d6a5-7d0e-46a2-8b68-4801a706c60b"/>
    <s v="***"/>
    <d v="2026-03-18T11:10:12"/>
    <n v="531"/>
    <x v="1"/>
    <d v="2026-03-18T04:10:12"/>
    <x v="44"/>
    <s v="Wednesday"/>
    <n v="4"/>
  </r>
  <r>
    <s v="79c3be52-ef2c-446d-918a-2034c746671b"/>
    <s v="***"/>
    <d v="2026-03-18T11:36:31"/>
    <n v="3"/>
    <x v="6"/>
    <d v="2026-03-18T04:36:31"/>
    <x v="44"/>
    <s v="Wednesday"/>
    <n v="4"/>
  </r>
  <r>
    <s v="49e44ff0-015f-4e61-938b-addab926f63c"/>
    <s v="***"/>
    <d v="2026-03-18T11:39:33"/>
    <n v="531"/>
    <x v="1"/>
    <d v="2026-03-18T04:39:33"/>
    <x v="44"/>
    <s v="Wednesday"/>
    <n v="4"/>
  </r>
  <r>
    <s v="9996b1dd-8578-4607-a788-23f97880fc3f"/>
    <s v="***"/>
    <d v="2026-03-18T11:39:39"/>
    <n v="3"/>
    <x v="1"/>
    <d v="2026-03-18T04:39:39"/>
    <x v="44"/>
    <s v="Wednesday"/>
    <n v="4"/>
  </r>
  <r>
    <s v="eb0e1787-8229-45b9-a892-0ee3b013db1a"/>
    <s v="***"/>
    <d v="2026-03-18T12:30:31"/>
    <n v="36"/>
    <x v="1"/>
    <d v="2026-03-18T05:30:31"/>
    <x v="44"/>
    <s v="Wednesday"/>
    <n v="5"/>
  </r>
  <r>
    <s v="dfdb8365-6dc9-4b2c-98e3-50d00e2fdbf2"/>
    <s v="***"/>
    <d v="2026-03-18T12:45:19"/>
    <n v="36"/>
    <x v="1"/>
    <d v="2026-03-18T05:45:19"/>
    <x v="44"/>
    <s v="Wednesday"/>
    <n v="5"/>
  </r>
  <r>
    <s v="f4873242-8458-46f1-a182-646f08678682"/>
    <s v="***"/>
    <d v="2026-03-18T13:06:25"/>
    <n v="36"/>
    <x v="1"/>
    <d v="2026-03-18T06:06:25"/>
    <x v="44"/>
    <s v="Wednesday"/>
    <n v="6"/>
  </r>
  <r>
    <s v="4f25e247-b2a1-40d9-80e6-8a7c13f60fda"/>
    <s v="***"/>
    <d v="2026-03-18T13:13:05"/>
    <n v="531"/>
    <x v="6"/>
    <d v="2026-03-18T06:13:05"/>
    <x v="44"/>
    <s v="Wednesday"/>
    <n v="6"/>
  </r>
  <r>
    <s v="6700ac10-5a1e-4fee-909e-9588e320d437"/>
    <s v="***"/>
    <d v="2026-03-18T14:14:27"/>
    <n v="36"/>
    <x v="1"/>
    <d v="2026-03-18T07:14:27"/>
    <x v="44"/>
    <s v="Wednesday"/>
    <n v="7"/>
  </r>
  <r>
    <s v="4ea702dc-9e57-401b-be04-5885ea6a1a48"/>
    <s v="***"/>
    <d v="2026-03-18T14:45:18"/>
    <n v="531"/>
    <x v="17"/>
    <d v="2026-03-18T07:45:18"/>
    <x v="44"/>
    <s v="Wednesday"/>
    <n v="7"/>
  </r>
  <r>
    <s v="105f9f19-c859-47b3-9f55-b70b8c732757"/>
    <s v="***"/>
    <d v="2026-03-18T14:52:10"/>
    <n v="3"/>
    <x v="97"/>
    <d v="2026-03-18T07:52:10"/>
    <x v="44"/>
    <s v="Wednesday"/>
    <n v="7"/>
  </r>
  <r>
    <s v="36135338-54d3-49fd-8cb4-e807ce4e2a49"/>
    <s v="***"/>
    <d v="2026-03-18T15:05:32"/>
    <n v="531"/>
    <x v="17"/>
    <d v="2026-03-18T08:05:32"/>
    <x v="44"/>
    <s v="Wednesday"/>
    <n v="8"/>
  </r>
  <r>
    <s v="69ca516c-8128-43a7-8fde-5786c1851818"/>
    <s v="***"/>
    <d v="2026-03-18T15:54:27"/>
    <n v="36"/>
    <x v="1"/>
    <d v="2026-03-18T08:54:27"/>
    <x v="44"/>
    <s v="Wednesday"/>
    <n v="8"/>
  </r>
  <r>
    <s v="afe72a55-0311-498b-9f3c-c999c10a55a0"/>
    <s v="***"/>
    <d v="2026-03-18T16:01:18"/>
    <n v="531"/>
    <x v="17"/>
    <d v="2026-03-18T09:01:18"/>
    <x v="44"/>
    <s v="Wednesday"/>
    <n v="9"/>
  </r>
  <r>
    <s v="2d468a29-ebd4-4b4c-a0b8-cadf7a23c3ee"/>
    <s v="***"/>
    <d v="2026-03-18T16:04:06"/>
    <n v="3"/>
    <x v="98"/>
    <d v="2026-03-18T09:04:06"/>
    <x v="44"/>
    <s v="Wednesday"/>
    <n v="9"/>
  </r>
  <r>
    <s v="522b3751-62e4-48d1-acde-0b5db9bd7955"/>
    <s v="***"/>
    <d v="2026-03-18T16:04:38"/>
    <n v="3"/>
    <x v="1"/>
    <d v="2026-03-18T09:04:38"/>
    <x v="44"/>
    <s v="Wednesday"/>
    <n v="9"/>
  </r>
  <r>
    <s v="609748f3-e4c0-484c-8d2e-da12b46958fc"/>
    <s v="***"/>
    <d v="2026-03-18T16:12:36"/>
    <n v="531"/>
    <x v="5"/>
    <d v="2026-03-18T09:12:36"/>
    <x v="44"/>
    <s v="Wednesday"/>
    <n v="9"/>
  </r>
  <r>
    <s v="45d0d127-4efa-40f0-b9ee-285525929937"/>
    <s v="***"/>
    <d v="2026-03-18T16:22:09"/>
    <n v="531"/>
    <x v="1"/>
    <d v="2026-03-18T09:22:09"/>
    <x v="44"/>
    <s v="Wednesday"/>
    <n v="9"/>
  </r>
  <r>
    <s v="ef770512-0b2a-4c1c-b2c1-d971356438c1"/>
    <s v="***"/>
    <d v="2026-03-18T17:00:24"/>
    <n v="531"/>
    <x v="1"/>
    <d v="2026-03-18T10:00:24"/>
    <x v="44"/>
    <s v="Wednesday"/>
    <n v="10"/>
  </r>
  <r>
    <s v="91ff2315-d3f9-4cc9-b5fc-ba526ed9898f"/>
    <s v="***"/>
    <d v="2026-03-18T17:16:29"/>
    <n v="531"/>
    <x v="6"/>
    <d v="2026-03-18T10:16:29"/>
    <x v="44"/>
    <s v="Wednesday"/>
    <n v="10"/>
  </r>
  <r>
    <s v="4f259245-c8f8-42a2-aa48-de7b4f73adc2"/>
    <s v="***"/>
    <d v="2026-03-18T18:40:39"/>
    <n v="3"/>
    <x v="90"/>
    <d v="2026-03-18T11:40:39"/>
    <x v="44"/>
    <s v="Wednesday"/>
    <n v="11"/>
  </r>
  <r>
    <s v="1800576b-88d6-4cda-95fb-29373f3f856d"/>
    <s v="***"/>
    <d v="2026-03-18T19:20:30"/>
    <n v="35"/>
    <x v="1"/>
    <d v="2026-03-18T12:20:30"/>
    <x v="44"/>
    <s v="Wednesday"/>
    <n v="12"/>
  </r>
  <r>
    <s v="59650129-dc64-43c2-b91b-e84881cd0de1"/>
    <s v="***"/>
    <d v="2026-03-18T20:15:34"/>
    <n v="531"/>
    <x v="1"/>
    <d v="2026-03-18T13:15:34"/>
    <x v="44"/>
    <s v="Wednesday"/>
    <n v="13"/>
  </r>
  <r>
    <s v="3aca1d0a-0f70-45c4-9c21-d110133c4b48"/>
    <s v="***"/>
    <d v="2026-03-18T21:02:17"/>
    <n v="531"/>
    <x v="1"/>
    <d v="2026-03-18T14:02:17"/>
    <x v="44"/>
    <s v="Wednesday"/>
    <n v="14"/>
  </r>
  <r>
    <s v="547e0f94-b9af-42ce-8b06-00c99cdf2ff5"/>
    <s v="***"/>
    <d v="2026-03-18T21:49:29"/>
    <n v="531"/>
    <x v="1"/>
    <d v="2026-03-18T14:49:29"/>
    <x v="44"/>
    <s v="Wednesday"/>
    <n v="14"/>
  </r>
  <r>
    <s v="0ba37b16-ad65-4cda-9ee6-848d6d796768"/>
    <s v="***"/>
    <d v="2026-03-18T22:20:47"/>
    <n v="531"/>
    <x v="1"/>
    <d v="2026-03-18T15:20:47"/>
    <x v="44"/>
    <s v="Wednesday"/>
    <n v="15"/>
  </r>
  <r>
    <s v="7aed2b0e-a2e8-49da-b659-8fcc7f64eaf4"/>
    <s v="***"/>
    <d v="2026-03-18T22:40:40"/>
    <n v="803"/>
    <x v="1"/>
    <d v="2026-03-18T15:40:40"/>
    <x v="44"/>
    <s v="Wednesday"/>
    <n v="15"/>
  </r>
  <r>
    <s v="88260064-5d0c-4b0c-ab71-e9ede66358c3"/>
    <s v="***"/>
    <d v="2026-03-18T22:43:53"/>
    <n v="572"/>
    <x v="1"/>
    <d v="2026-03-18T15:43:53"/>
    <x v="44"/>
    <s v="Wednesday"/>
    <n v="15"/>
  </r>
  <r>
    <s v="fe9e1ca5-48c4-486e-9e94-ba621b780065"/>
    <s v="***"/>
    <d v="2026-03-18T22:53:39"/>
    <n v="531"/>
    <x v="1"/>
    <d v="2026-03-18T15:53:39"/>
    <x v="44"/>
    <s v="Wednesday"/>
    <n v="15"/>
  </r>
  <r>
    <s v="10f70bee-8c8c-4932-a752-f98c0b7aa0c9"/>
    <s v="***"/>
    <d v="2026-03-18T23:43:56"/>
    <n v="3"/>
    <x v="1"/>
    <d v="2026-03-18T16:43:56"/>
    <x v="44"/>
    <s v="Wednesday"/>
    <n v="16"/>
  </r>
  <r>
    <s v="76ba8e4d-1e38-48e6-a4c9-49ca467b40f1"/>
    <s v="***"/>
    <d v="2026-03-18T23:48:37"/>
    <n v="531"/>
    <x v="99"/>
    <d v="2026-03-18T16:48:37"/>
    <x v="44"/>
    <s v="Wednesday"/>
    <n v="16"/>
  </r>
  <r>
    <s v="52a495ee-9f4f-4337-a07a-481d9618a61b"/>
    <s v="***"/>
    <d v="2026-03-18T23:50:41"/>
    <n v="3"/>
    <x v="1"/>
    <d v="2026-03-18T16:50:41"/>
    <x v="44"/>
    <s v="Wednesday"/>
    <n v="16"/>
  </r>
  <r>
    <s v="a7f85a25-beb9-438e-ab32-4960f5109120"/>
    <s v="***"/>
    <d v="2026-03-19T00:10:22"/>
    <n v="528"/>
    <x v="1"/>
    <d v="2026-03-18T17:10:22"/>
    <x v="44"/>
    <s v="Wednesday"/>
    <n v="17"/>
  </r>
  <r>
    <s v="1cf9640b-df06-4a38-8a6a-ff882e277e16"/>
    <s v="***"/>
    <d v="2026-03-19T07:57:26"/>
    <n v="2"/>
    <x v="1"/>
    <d v="2026-03-19T00:57:26"/>
    <x v="45"/>
    <s v="Thursday"/>
    <n v="0"/>
  </r>
  <r>
    <s v="c34c8b94-ef71-486c-a0dc-86cb7fd7df98"/>
    <s v="***"/>
    <d v="2026-03-19T08:45:16"/>
    <n v="36"/>
    <x v="1"/>
    <d v="2026-03-19T01:45:16"/>
    <x v="45"/>
    <s v="Thursday"/>
    <n v="1"/>
  </r>
  <r>
    <s v="b0c875af-a9a3-4cb9-93cc-9a4cd114de74"/>
    <s v="***"/>
    <d v="2026-03-19T09:09:37"/>
    <n v="2"/>
    <x v="1"/>
    <d v="2026-03-19T02:09:37"/>
    <x v="45"/>
    <s v="Thursday"/>
    <n v="2"/>
  </r>
  <r>
    <s v="ada722bb-c157-4afa-a39f-8d7dc2a2ff3e"/>
    <s v="***"/>
    <d v="2026-03-19T09:09:40"/>
    <n v="3"/>
    <x v="1"/>
    <d v="2026-03-19T02:09:40"/>
    <x v="45"/>
    <s v="Thursday"/>
    <n v="2"/>
  </r>
  <r>
    <s v="06d606bb-1fd9-4c2e-a93c-cc822c41c00a"/>
    <s v="***"/>
    <d v="2026-03-19T10:15:04"/>
    <n v="3"/>
    <x v="1"/>
    <d v="2026-03-19T03:15:04"/>
    <x v="45"/>
    <s v="Thursday"/>
    <n v="3"/>
  </r>
  <r>
    <s v="a6cb5975-8fb7-4128-8a95-32416651ddd2"/>
    <s v="***"/>
    <d v="2026-03-19T10:23:19"/>
    <n v="3"/>
    <x v="1"/>
    <d v="2026-03-19T03:23:19"/>
    <x v="45"/>
    <s v="Thursday"/>
    <n v="3"/>
  </r>
  <r>
    <s v="73424d8c-b8d3-4a5d-a1de-dc88514c356d"/>
    <s v="***"/>
    <d v="2026-03-19T10:30:09"/>
    <n v="531"/>
    <x v="1"/>
    <d v="2026-03-19T03:30:09"/>
    <x v="45"/>
    <s v="Thursday"/>
    <n v="3"/>
  </r>
  <r>
    <s v="fdcc88a3-8c22-4a77-b1bc-00037d8ebc83"/>
    <s v="***"/>
    <d v="2026-03-19T10:38:06"/>
    <n v="3"/>
    <x v="1"/>
    <d v="2026-03-19T03:38:06"/>
    <x v="45"/>
    <s v="Thursday"/>
    <n v="3"/>
  </r>
  <r>
    <s v="d6b9e700-c469-40b0-9651-4a5470735361"/>
    <s v="***"/>
    <d v="2026-03-19T10:38:16"/>
    <n v="3"/>
    <x v="100"/>
    <d v="2026-03-19T03:38:16"/>
    <x v="45"/>
    <s v="Thursday"/>
    <n v="3"/>
  </r>
  <r>
    <s v="0041ccf4-a551-403d-bd8a-fbcfd49c6f20"/>
    <s v="***"/>
    <d v="2026-03-19T10:59:34"/>
    <n v="3"/>
    <x v="1"/>
    <d v="2026-03-19T03:59:34"/>
    <x v="45"/>
    <s v="Thursday"/>
    <n v="3"/>
  </r>
  <r>
    <s v="e7b86ade-a5d3-445c-8a1e-913ff3df25cd"/>
    <s v="***"/>
    <d v="2026-03-19T11:00:00"/>
    <n v="528"/>
    <x v="1"/>
    <d v="2026-03-19T04:00:00"/>
    <x v="45"/>
    <s v="Thursday"/>
    <n v="4"/>
  </r>
  <r>
    <s v="55e6a200-3b01-439a-b856-e8f313c32bc5"/>
    <s v="***"/>
    <d v="2026-03-19T11:34:53"/>
    <n v="35"/>
    <x v="1"/>
    <d v="2026-03-19T04:34:53"/>
    <x v="45"/>
    <s v="Thursday"/>
    <n v="4"/>
  </r>
  <r>
    <s v="e7abd14e-9925-43a1-94e6-e69c6a34b684"/>
    <s v="***"/>
    <d v="2026-03-19T11:45:07"/>
    <n v="3"/>
    <x v="1"/>
    <d v="2026-03-19T04:45:07"/>
    <x v="45"/>
    <s v="Thursday"/>
    <n v="4"/>
  </r>
  <r>
    <s v="3e8eec8d-fb8d-4fde-93b6-c15cbbceeb9a"/>
    <s v="***"/>
    <d v="2026-03-19T11:53:52"/>
    <n v="3"/>
    <x v="45"/>
    <d v="2026-03-19T04:53:52"/>
    <x v="45"/>
    <s v="Thursday"/>
    <n v="4"/>
  </r>
  <r>
    <s v="3afadbc0-8685-490a-b2ad-1cf58ca0394d"/>
    <s v="***"/>
    <d v="2026-03-19T12:22:56"/>
    <n v="36"/>
    <x v="1"/>
    <d v="2026-03-19T05:22:56"/>
    <x v="45"/>
    <s v="Thursday"/>
    <n v="5"/>
  </r>
  <r>
    <s v="4d37073f-b9f6-4c05-bce0-f6c35ec190c2"/>
    <s v="***"/>
    <d v="2026-03-19T14:02:12"/>
    <n v="575"/>
    <x v="71"/>
    <d v="2026-03-19T07:02:12"/>
    <x v="45"/>
    <s v="Thursday"/>
    <n v="7"/>
  </r>
  <r>
    <s v="0fe87096-5cd2-416b-aa16-fa63fd54b5d0"/>
    <s v="***"/>
    <d v="2026-03-19T14:28:21"/>
    <n v="531"/>
    <x v="1"/>
    <d v="2026-03-19T07:28:21"/>
    <x v="45"/>
    <s v="Thursday"/>
    <n v="7"/>
  </r>
  <r>
    <s v="8a251736-f2ac-4a0b-a747-7d7d9bb5a244"/>
    <s v="***"/>
    <d v="2026-03-19T15:03:59"/>
    <n v="575"/>
    <x v="71"/>
    <d v="2026-03-19T08:03:59"/>
    <x v="45"/>
    <s v="Thursday"/>
    <n v="8"/>
  </r>
  <r>
    <s v="2bc56387-a81d-4dfc-b8d4-cdde12f45279"/>
    <s v="***"/>
    <d v="2026-03-19T15:19:28"/>
    <n v="531"/>
    <x v="17"/>
    <d v="2026-03-19T08:19:28"/>
    <x v="45"/>
    <s v="Thursday"/>
    <n v="8"/>
  </r>
  <r>
    <s v="a25fbd56-a151-4177-8592-72a7d4522424"/>
    <s v="***"/>
    <d v="2026-03-19T15:32:46"/>
    <n v="531"/>
    <x v="1"/>
    <d v="2026-03-19T08:32:46"/>
    <x v="45"/>
    <s v="Thursday"/>
    <n v="8"/>
  </r>
  <r>
    <s v="056883c7-2538-4aff-b6c8-d7e7265f28d0"/>
    <s v="***"/>
    <d v="2026-03-19T17:57:01"/>
    <n v="575"/>
    <x v="1"/>
    <d v="2026-03-19T10:57:01"/>
    <x v="45"/>
    <s v="Thursday"/>
    <n v="10"/>
  </r>
  <r>
    <s v="97af90aa-c660-4461-8381-c1692c15eb27"/>
    <s v="***"/>
    <d v="2026-03-19T22:02:30"/>
    <n v="3"/>
    <x v="101"/>
    <d v="2026-03-19T15:02:30"/>
    <x v="45"/>
    <s v="Thursday"/>
    <n v="15"/>
  </r>
  <r>
    <s v="81e8ea02-afe0-41d8-a278-1de500920b97"/>
    <s v="***"/>
    <d v="2026-03-19T22:02:59"/>
    <n v="2"/>
    <x v="102"/>
    <d v="2026-03-19T15:02:59"/>
    <x v="45"/>
    <s v="Thursday"/>
    <n v="15"/>
  </r>
  <r>
    <s v="bdb65fea-7f00-4f50-b3ca-2b928d1dc5ab"/>
    <s v="***"/>
    <d v="2026-03-19T22:04:42"/>
    <n v="3"/>
    <x v="1"/>
    <d v="2026-03-19T15:04:42"/>
    <x v="45"/>
    <s v="Thursday"/>
    <n v="15"/>
  </r>
  <r>
    <s v="c22571bc-977e-4319-97ae-6f64864da182"/>
    <s v="***"/>
    <d v="2026-03-20T04:17:16"/>
    <n v="531"/>
    <x v="17"/>
    <d v="2026-03-19T21:17:16"/>
    <x v="45"/>
    <s v="Thursday"/>
    <n v="21"/>
  </r>
  <r>
    <s v="c789f4fb-2f24-4471-8324-06e353a15bf4"/>
    <s v="***"/>
    <d v="2026-03-20T07:03:27"/>
    <n v="3"/>
    <x v="1"/>
    <d v="2026-03-20T00:03:27"/>
    <x v="46"/>
    <s v="Friday"/>
    <n v="0"/>
  </r>
  <r>
    <s v="65c4de8d-40f8-486f-87ef-b90259f2a0b7"/>
    <s v="***"/>
    <d v="2026-03-20T08:11:21"/>
    <n v="531"/>
    <x v="1"/>
    <d v="2026-03-20T01:11:21"/>
    <x v="46"/>
    <s v="Friday"/>
    <n v="1"/>
  </r>
  <r>
    <s v="2cd1aa8b-81f5-4e3e-9d14-a67d5983cc9a"/>
    <s v="***"/>
    <d v="2026-03-20T14:07:26"/>
    <n v="531"/>
    <x v="1"/>
    <d v="2026-03-20T07:07:26"/>
    <x v="46"/>
    <s v="Friday"/>
    <n v="7"/>
  </r>
  <r>
    <s v="1e251470-96db-46a5-91a7-05410c4758e5"/>
    <s v="***"/>
    <d v="2026-03-20T16:29:06"/>
    <n v="531"/>
    <x v="5"/>
    <d v="2026-03-20T09:29:06"/>
    <x v="46"/>
    <s v="Friday"/>
    <n v="9"/>
  </r>
  <r>
    <s v="a0c7afa7-26a4-4594-8c8c-30f5770d97c4"/>
    <s v="***"/>
    <d v="2026-03-20T19:21:54"/>
    <n v="531"/>
    <x v="1"/>
    <d v="2026-03-20T12:21:54"/>
    <x v="46"/>
    <s v="Friday"/>
    <n v="12"/>
  </r>
  <r>
    <s v="90d3de9c-e3ec-4c10-8ace-9f58d032d836"/>
    <s v="***"/>
    <d v="2026-03-20T19:22:26"/>
    <n v="3"/>
    <x v="1"/>
    <d v="2026-03-20T12:22:26"/>
    <x v="46"/>
    <s v="Friday"/>
    <n v="12"/>
  </r>
  <r>
    <s v="042298ae-2491-4113-ac53-fa74a37bc27a"/>
    <s v="***"/>
    <d v="2026-03-20T19:26:08"/>
    <n v="3"/>
    <x v="103"/>
    <d v="2026-03-20T12:26:08"/>
    <x v="46"/>
    <s v="Friday"/>
    <n v="12"/>
  </r>
  <r>
    <s v="f71dd24a-b3e4-4063-85bf-af08bd52fb51"/>
    <s v="***"/>
    <d v="2026-03-20T19:26:21"/>
    <n v="3"/>
    <x v="104"/>
    <d v="2026-03-20T12:26:21"/>
    <x v="46"/>
    <s v="Friday"/>
    <n v="12"/>
  </r>
  <r>
    <s v="9970da06-7554-4534-bb90-5a02b1245922"/>
    <s v="***"/>
    <d v="2026-03-20T19:41:55"/>
    <n v="575"/>
    <x v="1"/>
    <d v="2026-03-20T12:41:55"/>
    <x v="46"/>
    <s v="Friday"/>
    <n v="12"/>
  </r>
  <r>
    <s v="d0be881d-45cd-4f93-b06f-a439b19fbb98"/>
    <s v="***"/>
    <d v="2026-03-20T19:47:41"/>
    <n v="531"/>
    <x v="1"/>
    <d v="2026-03-20T12:47:41"/>
    <x v="46"/>
    <s v="Friday"/>
    <n v="12"/>
  </r>
  <r>
    <s v="bc443d75-33d4-4070-9e08-e99d8de1f2bf"/>
    <s v="***"/>
    <d v="2026-03-20T19:53:27"/>
    <n v="3"/>
    <x v="10"/>
    <d v="2026-03-20T12:53:27"/>
    <x v="46"/>
    <s v="Friday"/>
    <n v="12"/>
  </r>
  <r>
    <s v="790969f5-e978-4cd8-b8ff-39321d8dc9c5"/>
    <s v="***"/>
    <d v="2026-03-20T20:03:52"/>
    <n v="575"/>
    <x v="1"/>
    <d v="2026-03-20T13:03:52"/>
    <x v="46"/>
    <s v="Friday"/>
    <n v="13"/>
  </r>
  <r>
    <s v="2b693d2f-0b9c-4853-8556-577d0db35dfd"/>
    <s v="***"/>
    <d v="2026-03-20T20:04:21"/>
    <n v="3"/>
    <x v="1"/>
    <d v="2026-03-20T13:04:21"/>
    <x v="46"/>
    <s v="Friday"/>
    <n v="13"/>
  </r>
  <r>
    <s v="9ebe0f3e-26c3-4d0a-8c74-d0542f0c9d1a"/>
    <s v="***"/>
    <d v="2026-03-20T20:07:14"/>
    <n v="3"/>
    <x v="1"/>
    <d v="2026-03-20T13:07:14"/>
    <x v="46"/>
    <s v="Friday"/>
    <n v="13"/>
  </r>
  <r>
    <s v="d1e88245-640b-47cd-a248-7a860d26aabb"/>
    <s v="***"/>
    <d v="2026-03-20T20:12:17"/>
    <n v="3"/>
    <x v="10"/>
    <d v="2026-03-20T13:12:17"/>
    <x v="46"/>
    <s v="Friday"/>
    <n v="13"/>
  </r>
  <r>
    <s v="cc9eb405-b131-4a09-98b3-f969034a9ab6"/>
    <s v="***"/>
    <d v="2026-03-20T20:14:00"/>
    <n v="3"/>
    <x v="104"/>
    <d v="2026-03-20T13:14:00"/>
    <x v="46"/>
    <s v="Friday"/>
    <n v="13"/>
  </r>
  <r>
    <s v="9bd5dc2c-0f76-4c97-8821-fec078aae004"/>
    <s v="***"/>
    <d v="2026-03-20T20:20:46"/>
    <n v="575"/>
    <x v="1"/>
    <d v="2026-03-20T13:20:46"/>
    <x v="46"/>
    <s v="Friday"/>
    <n v="13"/>
  </r>
  <r>
    <s v="97a5969f-ca30-4920-b680-691b5ababe1c"/>
    <s v="***"/>
    <d v="2026-03-20T20:26:36"/>
    <n v="3"/>
    <x v="105"/>
    <d v="2026-03-20T13:26:36"/>
    <x v="46"/>
    <s v="Friday"/>
    <n v="13"/>
  </r>
  <r>
    <s v="6df24866-a052-4455-88bf-469dec512a75"/>
    <s v="***"/>
    <d v="2026-03-20T20:27:20"/>
    <n v="531"/>
    <x v="106"/>
    <d v="2026-03-20T13:27:20"/>
    <x v="46"/>
    <s v="Friday"/>
    <n v="13"/>
  </r>
  <r>
    <s v="f222941d-127d-477f-bb95-b121a659b7db"/>
    <s v="***"/>
    <d v="2026-03-20T20:32:27"/>
    <n v="1"/>
    <x v="107"/>
    <d v="2026-03-20T13:32:27"/>
    <x v="46"/>
    <s v="Friday"/>
    <n v="13"/>
  </r>
  <r>
    <s v="b4178846-2c1f-4bc8-88a2-29c6c99e9519"/>
    <s v="***"/>
    <d v="2026-03-20T20:44:03"/>
    <n v="3"/>
    <x v="107"/>
    <d v="2026-03-20T13:44:03"/>
    <x v="46"/>
    <s v="Friday"/>
    <n v="13"/>
  </r>
  <r>
    <s v="01ace357-67a6-4663-ac16-b745adf75a6d"/>
    <s v="***"/>
    <d v="2026-03-20T20:55:36"/>
    <n v="3"/>
    <x v="1"/>
    <d v="2026-03-20T13:55:36"/>
    <x v="46"/>
    <s v="Friday"/>
    <n v="13"/>
  </r>
  <r>
    <s v="8f4f4dd2-202c-4fb9-8de3-9772da09d753"/>
    <s v="***"/>
    <d v="2026-03-20T21:02:30"/>
    <n v="531"/>
    <x v="1"/>
    <d v="2026-03-20T14:02:30"/>
    <x v="46"/>
    <s v="Friday"/>
    <n v="14"/>
  </r>
  <r>
    <s v="76afd7b7-8ded-4a48-a622-3dee419adfb0"/>
    <s v="***"/>
    <d v="2026-03-20T21:11:42"/>
    <n v="575"/>
    <x v="1"/>
    <d v="2026-03-20T14:11:42"/>
    <x v="46"/>
    <s v="Friday"/>
    <n v="14"/>
  </r>
  <r>
    <s v="3fbd243a-93d4-4ef9-b651-aa6b76f5903f"/>
    <s v="***"/>
    <d v="2026-03-20T21:19:34"/>
    <n v="575"/>
    <x v="1"/>
    <d v="2026-03-20T14:19:34"/>
    <x v="46"/>
    <s v="Friday"/>
    <n v="14"/>
  </r>
  <r>
    <s v="75ca9b71-98ae-4c8d-af39-2ad7140cd2d6"/>
    <s v="***"/>
    <d v="2026-03-20T21:56:35"/>
    <n v="3"/>
    <x v="1"/>
    <d v="2026-03-20T14:56:35"/>
    <x v="46"/>
    <s v="Friday"/>
    <n v="14"/>
  </r>
  <r>
    <s v="6b5de0c0-deab-4a2f-88d9-69f1846de49d"/>
    <s v="***"/>
    <d v="2026-03-20T21:57:49"/>
    <n v="531"/>
    <x v="1"/>
    <d v="2026-03-20T14:57:49"/>
    <x v="46"/>
    <s v="Friday"/>
    <n v="14"/>
  </r>
  <r>
    <s v="31ed8a25-6735-4835-81e9-f4e46a5d7997"/>
    <s v="***"/>
    <d v="2026-03-20T22:00:35"/>
    <n v="531"/>
    <x v="1"/>
    <d v="2026-03-20T15:00:35"/>
    <x v="46"/>
    <s v="Friday"/>
    <n v="15"/>
  </r>
  <r>
    <s v="5dfdaa75-7fef-4410-b36c-a67ff7c85500"/>
    <s v="***"/>
    <d v="2026-03-20T22:08:20"/>
    <n v="3"/>
    <x v="1"/>
    <d v="2026-03-20T15:08:20"/>
    <x v="46"/>
    <s v="Friday"/>
    <n v="15"/>
  </r>
  <r>
    <s v="623fe91e-3889-4333-8fb5-2c973b36655f"/>
    <s v="***"/>
    <d v="2026-03-20T22:13:12"/>
    <n v="36"/>
    <x v="1"/>
    <d v="2026-03-20T15:13:12"/>
    <x v="46"/>
    <s v="Friday"/>
    <n v="15"/>
  </r>
  <r>
    <s v="4df857c1-1959-4342-ab50-31522ad96191"/>
    <s v="***"/>
    <d v="2026-03-20T22:23:12"/>
    <n v="3"/>
    <x v="108"/>
    <d v="2026-03-20T15:23:12"/>
    <x v="46"/>
    <s v="Friday"/>
    <n v="15"/>
  </r>
  <r>
    <s v="11407223-d771-47d4-9c3c-5e651f2654a7"/>
    <s v="***"/>
    <d v="2026-03-20T22:31:28"/>
    <n v="575"/>
    <x v="1"/>
    <d v="2026-03-20T15:31:28"/>
    <x v="46"/>
    <s v="Friday"/>
    <n v="15"/>
  </r>
  <r>
    <s v="e8cf3ce5-a788-44aa-84c9-6436f2f37d67"/>
    <s v="***"/>
    <d v="2026-03-20T22:37:52"/>
    <n v="3"/>
    <x v="109"/>
    <d v="2026-03-20T15:37:52"/>
    <x v="46"/>
    <s v="Friday"/>
    <n v="15"/>
  </r>
  <r>
    <s v="c0d3fca6-212f-433a-a1c6-5df62422cb2e"/>
    <s v="***"/>
    <d v="2026-03-20T23:33:51"/>
    <n v="3"/>
    <x v="1"/>
    <d v="2026-03-20T16:33:51"/>
    <x v="46"/>
    <s v="Friday"/>
    <n v="16"/>
  </r>
  <r>
    <s v="cfb29f95-266a-4d86-b22b-8824cc6effa9"/>
    <s v="***"/>
    <d v="2026-03-20T23:35:14"/>
    <n v="531"/>
    <x v="1"/>
    <d v="2026-03-20T16:35:14"/>
    <x v="46"/>
    <s v="Friday"/>
    <n v="16"/>
  </r>
  <r>
    <s v="049f06d0-d5ab-41a8-aabe-8429d93afdab"/>
    <s v="***"/>
    <d v="2026-03-21T00:04:14"/>
    <n v="531"/>
    <x v="1"/>
    <d v="2026-03-20T17:04:14"/>
    <x v="46"/>
    <s v="Friday"/>
    <n v="17"/>
  </r>
  <r>
    <s v="eaa5888a-a483-4ac6-8ae2-01008d59f0a5"/>
    <s v="***"/>
    <d v="2026-03-21T00:12:45"/>
    <n v="3"/>
    <x v="17"/>
    <d v="2026-03-20T17:12:45"/>
    <x v="46"/>
    <s v="Friday"/>
    <n v="17"/>
  </r>
  <r>
    <s v="974f92cf-1a6a-43d1-9b1c-725c2b0be1aa"/>
    <s v="***"/>
    <d v="2026-03-21T00:12:54"/>
    <n v="531"/>
    <x v="1"/>
    <d v="2026-03-20T17:12:54"/>
    <x v="46"/>
    <s v="Friday"/>
    <n v="17"/>
  </r>
  <r>
    <s v="4941956f-63cc-4b96-988d-d5a997204aef"/>
    <s v="***"/>
    <d v="2026-03-21T00:16:19"/>
    <n v="36"/>
    <x v="1"/>
    <d v="2026-03-20T17:16:19"/>
    <x v="46"/>
    <s v="Friday"/>
    <n v="17"/>
  </r>
  <r>
    <s v="c42fa4c3-75ed-4839-b32e-ae133ee20421"/>
    <s v="***"/>
    <d v="2026-03-21T00:33:00"/>
    <n v="806"/>
    <x v="1"/>
    <d v="2026-03-20T17:33:00"/>
    <x v="46"/>
    <s v="Friday"/>
    <n v="17"/>
  </r>
  <r>
    <s v="dae8eeb9-641e-482d-a0c8-4ddbe9462aaa"/>
    <s v="***"/>
    <d v="2026-03-21T01:12:45"/>
    <n v="531"/>
    <x v="1"/>
    <d v="2026-03-20T18:12:45"/>
    <x v="46"/>
    <s v="Friday"/>
    <n v="18"/>
  </r>
  <r>
    <s v="cca7a32f-a0ad-471c-8e3d-3868809d431f"/>
    <s v="***"/>
    <d v="2026-03-21T01:55:12"/>
    <n v="3"/>
    <x v="1"/>
    <d v="2026-03-20T18:55:12"/>
    <x v="46"/>
    <s v="Friday"/>
    <n v="18"/>
  </r>
  <r>
    <s v="45670408-4d5e-4ce2-884a-5fc57898d247"/>
    <s v="***"/>
    <d v="2026-03-21T02:11:11"/>
    <n v="3"/>
    <x v="1"/>
    <d v="2026-03-20T19:11:11"/>
    <x v="46"/>
    <s v="Friday"/>
    <n v="19"/>
  </r>
  <r>
    <s v="ec468544-cb75-42ef-8655-73c6262a7b8f"/>
    <s v="***"/>
    <d v="2026-03-21T02:12:03"/>
    <n v="3"/>
    <x v="1"/>
    <d v="2026-03-20T19:12:03"/>
    <x v="46"/>
    <s v="Friday"/>
    <n v="19"/>
  </r>
  <r>
    <s v="acae0378-16e8-4564-87ee-6bbdc97d5b42"/>
    <s v="***"/>
    <d v="2026-03-21T02:12:15"/>
    <n v="3"/>
    <x v="1"/>
    <d v="2026-03-20T19:12:15"/>
    <x v="46"/>
    <s v="Friday"/>
    <n v="19"/>
  </r>
  <r>
    <s v="0e773968-b004-4cdf-9eb6-02cc98ed8967"/>
    <s v="***"/>
    <d v="2026-03-21T02:12:39"/>
    <n v="3"/>
    <x v="1"/>
    <d v="2026-03-20T19:12:39"/>
    <x v="46"/>
    <s v="Friday"/>
    <n v="19"/>
  </r>
  <r>
    <s v="959915c1-20bb-474e-85d4-dab560999632"/>
    <s v="***"/>
    <d v="2026-03-21T02:20:38"/>
    <n v="3"/>
    <x v="110"/>
    <d v="2026-03-20T19:20:38"/>
    <x v="46"/>
    <s v="Friday"/>
    <n v="19"/>
  </r>
  <r>
    <s v="629bd6ac-9592-4e3f-99f6-05cdbd05b245"/>
    <s v="***"/>
    <d v="2026-03-21T02:26:31"/>
    <n v="1"/>
    <x v="106"/>
    <d v="2026-03-20T19:26:31"/>
    <x v="46"/>
    <s v="Friday"/>
    <n v="19"/>
  </r>
  <r>
    <s v="f86cd463-9d4c-4989-b1ee-7a37c745b1c9"/>
    <s v="***"/>
    <d v="2026-03-21T03:04:12"/>
    <n v="531"/>
    <x v="1"/>
    <d v="2026-03-20T20:04:12"/>
    <x v="46"/>
    <s v="Friday"/>
    <n v="20"/>
  </r>
  <r>
    <s v="101e31c6-0201-44e2-9f32-8bfb1df8ea9a"/>
    <s v="***"/>
    <d v="2026-03-21T03:06:21"/>
    <n v="575"/>
    <x v="1"/>
    <d v="2026-03-20T20:06:21"/>
    <x v="46"/>
    <s v="Friday"/>
    <n v="20"/>
  </r>
  <r>
    <s v="0e7dd857-03ed-46a8-bb22-46345406ae04"/>
    <s v="***"/>
    <d v="2026-03-21T03:36:15"/>
    <n v="531"/>
    <x v="1"/>
    <d v="2026-03-20T20:36:15"/>
    <x v="46"/>
    <s v="Friday"/>
    <n v="20"/>
  </r>
  <r>
    <s v="7b939a83-8721-4d0e-9988-97ade9b5b516"/>
    <s v="***"/>
    <d v="2026-03-21T04:03:51"/>
    <n v="575"/>
    <x v="1"/>
    <d v="2026-03-20T21:03:51"/>
    <x v="46"/>
    <s v="Friday"/>
    <n v="21"/>
  </r>
  <r>
    <s v="47c43eb6-6f58-42a3-8bb8-7abb05b9730b"/>
    <s v="***"/>
    <d v="2026-03-21T04:28:39"/>
    <n v="3"/>
    <x v="1"/>
    <d v="2026-03-20T21:28:39"/>
    <x v="46"/>
    <s v="Friday"/>
    <n v="21"/>
  </r>
  <r>
    <s v="446d3cc5-a9be-43f3-ac91-d36593097d9e"/>
    <s v="***"/>
    <d v="2026-03-21T05:25:42"/>
    <n v="575"/>
    <x v="1"/>
    <d v="2026-03-20T22:25:42"/>
    <x v="46"/>
    <s v="Friday"/>
    <n v="22"/>
  </r>
  <r>
    <s v="b177cd46-86d6-4181-9175-57fc62c84db9"/>
    <s v="***"/>
    <d v="2026-03-21T09:24:05"/>
    <n v="3"/>
    <x v="111"/>
    <d v="2026-03-21T02:24:05"/>
    <x v="47"/>
    <s v="Saturday"/>
    <n v="2"/>
  </r>
  <r>
    <s v="ee09690b-d927-46b3-9d63-03739e16911f"/>
    <s v="***"/>
    <d v="2026-03-21T09:47:16"/>
    <n v="575"/>
    <x v="1"/>
    <d v="2026-03-21T02:47:16"/>
    <x v="47"/>
    <s v="Saturday"/>
    <n v="2"/>
  </r>
  <r>
    <s v="7b3bc18c-fe1e-4883-b751-3e1efed5faf1"/>
    <s v="***"/>
    <d v="2026-03-21T10:04:23"/>
    <n v="3"/>
    <x v="111"/>
    <d v="2026-03-21T03:04:23"/>
    <x v="47"/>
    <s v="Saturday"/>
    <n v="3"/>
  </r>
  <r>
    <s v="c2ce04e8-6e59-4efc-8793-cc0dd0c43e09"/>
    <s v="***"/>
    <d v="2026-03-21T10:30:15"/>
    <n v="3"/>
    <x v="1"/>
    <d v="2026-03-21T03:30:15"/>
    <x v="47"/>
    <s v="Saturday"/>
    <n v="3"/>
  </r>
  <r>
    <s v="be7bdaaf-13ae-4197-bb86-538bd49968a0"/>
    <s v="***"/>
    <d v="2026-03-21T10:38:44"/>
    <n v="3"/>
    <x v="45"/>
    <d v="2026-03-21T03:38:44"/>
    <x v="47"/>
    <s v="Saturday"/>
    <n v="3"/>
  </r>
  <r>
    <s v="6c7843a1-07a0-43f4-b9dc-ce8bab7db8c2"/>
    <s v="***"/>
    <d v="2026-03-21T10:55:56"/>
    <n v="3"/>
    <x v="1"/>
    <d v="2026-03-21T03:55:56"/>
    <x v="47"/>
    <s v="Saturday"/>
    <n v="3"/>
  </r>
  <r>
    <s v="7da5d57a-e2b9-4da3-bcda-defea3b10626"/>
    <s v="***"/>
    <d v="2026-03-21T11:03:27"/>
    <n v="572"/>
    <x v="1"/>
    <d v="2026-03-21T04:03:27"/>
    <x v="47"/>
    <s v="Saturday"/>
    <n v="4"/>
  </r>
  <r>
    <s v="3f32ba5a-a013-4cd1-bf83-eb1a049c3940"/>
    <s v="***"/>
    <d v="2026-03-21T11:09:16"/>
    <n v="531"/>
    <x v="17"/>
    <d v="2026-03-21T04:09:16"/>
    <x v="47"/>
    <s v="Saturday"/>
    <n v="4"/>
  </r>
  <r>
    <s v="59308774-b2dd-4fe6-8564-ddb377f9dab8"/>
    <s v="***"/>
    <d v="2026-03-21T11:34:29"/>
    <n v="2"/>
    <x v="1"/>
    <d v="2026-03-21T04:34:29"/>
    <x v="47"/>
    <s v="Saturday"/>
    <n v="4"/>
  </r>
  <r>
    <s v="d7d84a58-b121-4b78-83b1-77cfaea98632"/>
    <s v="***"/>
    <d v="2026-03-21T12:59:05"/>
    <n v="3"/>
    <x v="1"/>
    <d v="2026-03-21T05:59:05"/>
    <x v="47"/>
    <s v="Saturday"/>
    <n v="5"/>
  </r>
  <r>
    <s v="35e43837-e422-4090-8f3c-e18f80918fae"/>
    <s v="***"/>
    <d v="2026-03-21T14:55:31"/>
    <n v="531"/>
    <x v="1"/>
    <d v="2026-03-21T07:55:31"/>
    <x v="47"/>
    <s v="Saturday"/>
    <n v="7"/>
  </r>
  <r>
    <s v="6e2e2436-7ecc-446d-af31-d02ccedcf4be"/>
    <s v="***"/>
    <d v="2026-03-21T16:48:28"/>
    <n v="3"/>
    <x v="112"/>
    <d v="2026-03-21T09:48:28"/>
    <x v="47"/>
    <s v="Saturday"/>
    <n v="9"/>
  </r>
  <r>
    <s v="733664b8-e67a-4506-b29a-51670b15e11c"/>
    <s v="***"/>
    <d v="2026-03-21T17:02:47"/>
    <n v="3"/>
    <x v="112"/>
    <d v="2026-03-21T10:02:47"/>
    <x v="47"/>
    <s v="Saturday"/>
    <n v="10"/>
  </r>
  <r>
    <s v="d1035c96-d78e-42f9-8351-4cc93d0e8abe"/>
    <s v="***"/>
    <d v="2026-03-21T23:45:41"/>
    <n v="575"/>
    <x v="1"/>
    <d v="2026-03-21T16:45:41"/>
    <x v="47"/>
    <s v="Saturday"/>
    <n v="16"/>
  </r>
  <r>
    <s v="ca677a49-4288-443e-b7b0-b382d7b2c22a"/>
    <s v="***"/>
    <d v="2026-03-22T05:03:30"/>
    <n v="3"/>
    <x v="1"/>
    <d v="2026-03-21T22:03:30"/>
    <x v="47"/>
    <s v="Saturday"/>
    <n v="22"/>
  </r>
  <r>
    <s v="1716bbc5-4bd2-4886-bff7-04e3f06f1ef9"/>
    <s v="***"/>
    <d v="2026-03-22T11:14:30"/>
    <n v="3"/>
    <x v="1"/>
    <d v="2026-03-22T04:14:30"/>
    <x v="48"/>
    <s v="Sunday"/>
    <n v="4"/>
  </r>
  <r>
    <s v="c3323135-068e-48cf-91a3-df2addcd7a0c"/>
    <s v="***"/>
    <d v="2026-03-22T11:14:47"/>
    <n v="3"/>
    <x v="1"/>
    <d v="2026-03-22T04:14:47"/>
    <x v="48"/>
    <s v="Sunday"/>
    <n v="4"/>
  </r>
  <r>
    <s v="e4de9937-800e-4b4c-81df-2760a9c50188"/>
    <s v="***"/>
    <d v="2026-03-22T11:16:18"/>
    <n v="2"/>
    <x v="1"/>
    <d v="2026-03-22T04:16:18"/>
    <x v="48"/>
    <s v="Sunday"/>
    <n v="4"/>
  </r>
  <r>
    <s v="80cbf115-1489-4289-988d-ff21d0f273d3"/>
    <s v="***"/>
    <d v="2026-03-22T11:24:04"/>
    <n v="531"/>
    <x v="1"/>
    <d v="2026-03-22T04:24:04"/>
    <x v="48"/>
    <s v="Sunday"/>
    <n v="4"/>
  </r>
  <r>
    <s v="7795f858-7f5d-4f43-a7d8-e3f0b711d611"/>
    <s v="***"/>
    <d v="2026-03-22T11:53:40"/>
    <n v="531"/>
    <x v="5"/>
    <d v="2026-03-22T04:53:40"/>
    <x v="48"/>
    <s v="Sunday"/>
    <n v="4"/>
  </r>
  <r>
    <s v="2efcde64-75e8-4038-990e-33d19917ad5e"/>
    <s v="***"/>
    <d v="2026-03-22T12:04:39"/>
    <n v="531"/>
    <x v="5"/>
    <d v="2026-03-22T05:04:39"/>
    <x v="48"/>
    <s v="Sunday"/>
    <n v="5"/>
  </r>
  <r>
    <s v="e1ecaee7-c13e-403e-96ca-414eb8fe4fb2"/>
    <s v="***"/>
    <d v="2026-03-22T14:14:22"/>
    <n v="531"/>
    <x v="5"/>
    <d v="2026-03-22T07:14:22"/>
    <x v="48"/>
    <s v="Sunday"/>
    <n v="7"/>
  </r>
  <r>
    <s v="b9e10df6-3d69-4156-aa30-31cee576d7ef"/>
    <s v="***"/>
    <d v="2026-03-22T14:41:03"/>
    <n v="531"/>
    <x v="8"/>
    <d v="2026-03-22T07:41:03"/>
    <x v="48"/>
    <s v="Sunday"/>
    <n v="7"/>
  </r>
  <r>
    <s v="9f9458d0-e56b-4870-807a-38d8810d878a"/>
    <s v="***"/>
    <d v="2026-03-22T16:06:45"/>
    <n v="3"/>
    <x v="1"/>
    <d v="2026-03-22T09:06:45"/>
    <x v="48"/>
    <s v="Sunday"/>
    <n v="9"/>
  </r>
  <r>
    <s v="1dcd11fd-ac45-47ca-85a7-18bab7bf64ba"/>
    <s v="***"/>
    <d v="2026-03-22T16:11:36"/>
    <n v="35"/>
    <x v="1"/>
    <d v="2026-03-22T09:11:36"/>
    <x v="48"/>
    <s v="Sunday"/>
    <n v="9"/>
  </r>
  <r>
    <s v="e7514d08-4285-4502-9a37-8ae95e856e78"/>
    <s v="***"/>
    <d v="2026-03-22T16:21:35"/>
    <n v="3"/>
    <x v="99"/>
    <d v="2026-03-22T09:21:35"/>
    <x v="48"/>
    <s v="Sunday"/>
    <n v="9"/>
  </r>
  <r>
    <s v="5e658e79-2224-49cb-884b-1e289d78c882"/>
    <s v="***"/>
    <d v="2026-03-22T16:22:12"/>
    <n v="3"/>
    <x v="113"/>
    <d v="2026-03-22T09:22:12"/>
    <x v="48"/>
    <s v="Sunday"/>
    <n v="9"/>
  </r>
  <r>
    <s v="bab9d086-204d-47ae-bad6-4812a2a2a3b7"/>
    <s v="***"/>
    <d v="2026-03-22T18:04:49"/>
    <n v="3"/>
    <x v="1"/>
    <d v="2026-03-22T11:04:49"/>
    <x v="48"/>
    <s v="Sunday"/>
    <n v="11"/>
  </r>
  <r>
    <s v="3733fabe-8c96-446e-b4db-aa3a9715cf50"/>
    <s v="***"/>
    <d v="2026-03-22T21:45:15"/>
    <n v="531"/>
    <x v="17"/>
    <d v="2026-03-22T14:45:15"/>
    <x v="48"/>
    <s v="Sunday"/>
    <n v="14"/>
  </r>
  <r>
    <s v="3884f823-5526-4e80-a6e4-7de5074bc9d2"/>
    <s v="***"/>
    <d v="2026-03-22T23:41:18"/>
    <n v="531"/>
    <x v="1"/>
    <d v="2026-03-22T16:41:18"/>
    <x v="48"/>
    <s v="Sunday"/>
    <n v="16"/>
  </r>
  <r>
    <s v="7db6f7bd-44db-4283-bdef-a481ecabd1cc"/>
    <s v="***"/>
    <d v="2026-03-23T07:44:45"/>
    <n v="575"/>
    <x v="1"/>
    <d v="2026-03-23T00:44:45"/>
    <x v="49"/>
    <s v="Monday"/>
    <n v="0"/>
  </r>
  <r>
    <s v="560c74fb-7ae1-4b3c-b6ad-07214a6d4d97"/>
    <s v="***"/>
    <d v="2026-03-23T09:21:14"/>
    <n v="3"/>
    <x v="1"/>
    <d v="2026-03-23T02:21:14"/>
    <x v="49"/>
    <s v="Monday"/>
    <n v="2"/>
  </r>
  <r>
    <s v="027f84b5-3914-4636-b579-5f6b83777fc7"/>
    <s v="***"/>
    <d v="2026-03-23T13:11:52"/>
    <n v="1"/>
    <x v="1"/>
    <d v="2026-03-23T06:11:52"/>
    <x v="49"/>
    <s v="Monday"/>
    <n v="6"/>
  </r>
  <r>
    <s v="e30947ea-e75c-4d84-9f3d-95ccbdc7ae5e"/>
    <s v="***"/>
    <d v="2026-03-23T15:33:44"/>
    <n v="575"/>
    <x v="1"/>
    <d v="2026-03-23T08:33:44"/>
    <x v="49"/>
    <s v="Monday"/>
    <n v="8"/>
  </r>
  <r>
    <s v="47a89f63-5d9a-4490-b0e4-a2ab8fa41f5e"/>
    <s v="***"/>
    <d v="2026-03-23T16:44:11"/>
    <n v="575"/>
    <x v="1"/>
    <d v="2026-03-23T09:44:11"/>
    <x v="49"/>
    <s v="Monday"/>
    <n v="9"/>
  </r>
  <r>
    <s v="2c94c220-f32f-425a-9326-5cdc008e681f"/>
    <s v="***"/>
    <d v="2026-03-23T17:04:39"/>
    <n v="3"/>
    <x v="1"/>
    <d v="2026-03-23T10:04:39"/>
    <x v="49"/>
    <s v="Monday"/>
    <n v="10"/>
  </r>
  <r>
    <s v="4b52bc4a-920a-43ce-9c98-438714e92dde"/>
    <s v="***"/>
    <d v="2026-03-23T17:18:12"/>
    <n v="575"/>
    <x v="10"/>
    <d v="2026-03-23T10:18:12"/>
    <x v="49"/>
    <s v="Monday"/>
    <n v="10"/>
  </r>
  <r>
    <s v="9ffd729e-1d9d-4c14-8238-7c187b9e9cce"/>
    <s v="***"/>
    <d v="2026-03-23T17:20:50"/>
    <n v="575"/>
    <x v="1"/>
    <d v="2026-03-23T10:20:50"/>
    <x v="49"/>
    <s v="Monday"/>
    <n v="10"/>
  </r>
  <r>
    <s v="a5d8bcee-7382-4841-a8b7-075778d8e40d"/>
    <s v="***"/>
    <d v="2026-03-23T17:28:03"/>
    <n v="3"/>
    <x v="41"/>
    <d v="2026-03-23T10:28:03"/>
    <x v="49"/>
    <s v="Monday"/>
    <n v="10"/>
  </r>
  <r>
    <s v="d29c2751-af5c-4ba5-8021-2b9e30104f2e"/>
    <s v="***"/>
    <d v="2026-03-23T20:43:15"/>
    <n v="531"/>
    <x v="1"/>
    <d v="2026-03-23T13:43:15"/>
    <x v="49"/>
    <s v="Monday"/>
    <n v="13"/>
  </r>
  <r>
    <s v="e51dd753-4ee9-42c7-929f-9605863a3f99"/>
    <s v="***"/>
    <d v="2026-03-23T22:24:53"/>
    <n v="3"/>
    <x v="17"/>
    <d v="2026-03-23T15:24:53"/>
    <x v="49"/>
    <s v="Monday"/>
    <n v="15"/>
  </r>
  <r>
    <s v="42a4df16-d0c9-4a51-aeb9-ad6f59d14b63"/>
    <s v="***"/>
    <d v="2026-03-23T22:27:40"/>
    <n v="3"/>
    <x v="1"/>
    <d v="2026-03-23T15:27:40"/>
    <x v="49"/>
    <s v="Monday"/>
    <n v="15"/>
  </r>
  <r>
    <s v="007a9d62-0a3b-4fbb-ac88-687cbb0c163f"/>
    <s v="***"/>
    <d v="2026-03-23T23:02:16"/>
    <n v="5"/>
    <x v="17"/>
    <d v="2026-03-23T16:02:16"/>
    <x v="49"/>
    <s v="Monday"/>
    <n v="16"/>
  </r>
  <r>
    <s v="ea7ca7e5-a594-41d9-a172-14470eafe8fc"/>
    <s v="***"/>
    <d v="2026-03-24T01:03:06"/>
    <n v="2"/>
    <x v="76"/>
    <d v="2026-03-23T18:03:06"/>
    <x v="49"/>
    <s v="Monday"/>
    <n v="18"/>
  </r>
  <r>
    <s v="867ec029-372a-425c-8c03-9097d4a4a94b"/>
    <s v="***"/>
    <d v="2026-03-24T01:06:52"/>
    <n v="3"/>
    <x v="1"/>
    <d v="2026-03-23T18:06:52"/>
    <x v="49"/>
    <s v="Monday"/>
    <n v="18"/>
  </r>
  <r>
    <s v="50c9df05-053a-4d4b-923a-0327ad177168"/>
    <s v="***"/>
    <d v="2026-03-24T01:24:52"/>
    <n v="5"/>
    <x v="17"/>
    <d v="2026-03-23T18:24:52"/>
    <x v="49"/>
    <s v="Monday"/>
    <n v="18"/>
  </r>
  <r>
    <s v="981393ee-dba7-4a53-aa63-9eef0c0c8a7e"/>
    <s v="***"/>
    <d v="2026-03-24T02:32:55"/>
    <n v="5"/>
    <x v="17"/>
    <d v="2026-03-23T19:32:55"/>
    <x v="49"/>
    <s v="Monday"/>
    <n v="19"/>
  </r>
  <r>
    <s v="482acac6-c871-4aec-9e38-22853271bee2"/>
    <s v="***"/>
    <d v="2026-03-24T02:33:02"/>
    <n v="36"/>
    <x v="76"/>
    <d v="2026-03-23T19:33:02"/>
    <x v="49"/>
    <s v="Monday"/>
    <n v="19"/>
  </r>
  <r>
    <s v="bd1ee308-8805-4e35-b0eb-be314edc882f"/>
    <s v="***"/>
    <d v="2026-03-24T07:06:59"/>
    <n v="531"/>
    <x v="6"/>
    <d v="2026-03-24T00:06:59"/>
    <x v="50"/>
    <s v="Tuesday"/>
    <n v="0"/>
  </r>
  <r>
    <s v="5a9565d6-5b85-4b6e-9106-9769e06974da"/>
    <s v="***"/>
    <d v="2026-03-24T08:07:36"/>
    <n v="3"/>
    <x v="114"/>
    <d v="2026-03-24T01:07:36"/>
    <x v="50"/>
    <s v="Tuesday"/>
    <n v="1"/>
  </r>
  <r>
    <s v="4bcccd18-4181-41c0-a09b-954af6e27916"/>
    <s v="***"/>
    <d v="2026-03-24T09:42:05"/>
    <n v="531"/>
    <x v="5"/>
    <d v="2026-03-24T02:42:05"/>
    <x v="50"/>
    <s v="Tuesday"/>
    <n v="2"/>
  </r>
  <r>
    <s v="2a0a9354-ea42-4327-bfd7-207992943e9a"/>
    <s v="***"/>
    <d v="2026-03-24T09:53:08"/>
    <n v="2"/>
    <x v="1"/>
    <d v="2026-03-24T02:53:08"/>
    <x v="50"/>
    <s v="Tuesday"/>
    <n v="2"/>
  </r>
  <r>
    <s v="7516e1d1-9ea4-49f4-af5f-86c3d3c65efc"/>
    <s v="***"/>
    <d v="2026-03-24T10:05:51"/>
    <n v="531"/>
    <x v="5"/>
    <d v="2026-03-24T03:05:51"/>
    <x v="50"/>
    <s v="Tuesday"/>
    <n v="3"/>
  </r>
  <r>
    <s v="4c06acaa-598d-447d-ade3-0b95345ec000"/>
    <s v="***"/>
    <d v="2026-03-24T10:09:17"/>
    <n v="1"/>
    <x v="1"/>
    <d v="2026-03-24T03:09:17"/>
    <x v="50"/>
    <s v="Tuesday"/>
    <n v="3"/>
  </r>
  <r>
    <s v="4c217ec1-fd5f-45e8-8fb7-b07f125394af"/>
    <s v="***"/>
    <d v="2026-03-24T10:48:30"/>
    <n v="575"/>
    <x v="1"/>
    <d v="2026-03-24T03:48:30"/>
    <x v="50"/>
    <s v="Tuesday"/>
    <n v="3"/>
  </r>
  <r>
    <s v="67765334-5019-4d9b-a711-b7483c4df5ca"/>
    <s v="***"/>
    <d v="2026-03-24T10:50:05"/>
    <n v="3"/>
    <x v="1"/>
    <d v="2026-03-24T03:50:05"/>
    <x v="50"/>
    <s v="Tuesday"/>
    <n v="3"/>
  </r>
  <r>
    <s v="a64c55d1-431e-463e-9332-77c383c6890b"/>
    <s v="***"/>
    <d v="2026-03-24T10:52:20"/>
    <n v="3"/>
    <x v="115"/>
    <d v="2026-03-24T03:52:20"/>
    <x v="50"/>
    <s v="Tuesday"/>
    <n v="3"/>
  </r>
  <r>
    <s v="998e29ce-4498-4c14-8a54-e7afcd1dca48"/>
    <s v="***"/>
    <d v="2026-03-24T11:07:33"/>
    <n v="575"/>
    <x v="17"/>
    <d v="2026-03-24T04:07:33"/>
    <x v="50"/>
    <s v="Tuesday"/>
    <n v="4"/>
  </r>
  <r>
    <s v="9b4a4f39-f2c4-4efe-97ce-b2deb319842c"/>
    <s v="***"/>
    <d v="2026-03-24T11:07:35"/>
    <n v="3"/>
    <x v="1"/>
    <d v="2026-03-24T04:07:35"/>
    <x v="50"/>
    <s v="Tuesday"/>
    <n v="4"/>
  </r>
  <r>
    <s v="7d18d95a-08af-4e96-a8d0-d98140b25bb5"/>
    <s v="***"/>
    <d v="2026-03-24T11:54:30"/>
    <n v="35"/>
    <x v="1"/>
    <d v="2026-03-24T04:54:30"/>
    <x v="50"/>
    <s v="Tuesday"/>
    <n v="4"/>
  </r>
  <r>
    <s v="a43ac52a-ebf1-4977-a661-0df0154db89f"/>
    <s v="***"/>
    <d v="2026-03-24T11:58:58"/>
    <n v="531"/>
    <x v="6"/>
    <d v="2026-03-24T04:58:58"/>
    <x v="50"/>
    <s v="Tuesday"/>
    <n v="4"/>
  </r>
  <r>
    <s v="687e542f-09b7-4b56-8d85-9eaea7fdc50e"/>
    <s v="***"/>
    <d v="2026-03-24T12:02:19"/>
    <n v="575"/>
    <x v="6"/>
    <d v="2026-03-24T05:02:19"/>
    <x v="50"/>
    <s v="Tuesday"/>
    <n v="5"/>
  </r>
  <r>
    <s v="8660c8e4-b132-4bae-b390-f89ab18edb46"/>
    <s v="***"/>
    <d v="2026-03-24T12:36:51"/>
    <n v="3"/>
    <x v="1"/>
    <d v="2026-03-24T05:36:51"/>
    <x v="50"/>
    <s v="Tuesday"/>
    <n v="5"/>
  </r>
  <r>
    <s v="f8266f63-a658-4958-a947-e85ea96bf462"/>
    <s v="***"/>
    <d v="2026-03-24T13:02:02"/>
    <n v="575"/>
    <x v="17"/>
    <d v="2026-03-24T06:02:02"/>
    <x v="50"/>
    <s v="Tuesday"/>
    <n v="6"/>
  </r>
  <r>
    <s v="cb57f586-1197-48f8-90ee-96be9264b034"/>
    <s v="***"/>
    <d v="2026-03-24T13:02:56"/>
    <n v="575"/>
    <x v="1"/>
    <d v="2026-03-24T06:02:56"/>
    <x v="50"/>
    <s v="Tuesday"/>
    <n v="6"/>
  </r>
  <r>
    <s v="bd5887fd-c67c-4a4b-9b0b-25dc45eae257"/>
    <s v="***"/>
    <d v="2026-03-24T13:54:58"/>
    <n v="3"/>
    <x v="1"/>
    <d v="2026-03-24T06:54:58"/>
    <x v="50"/>
    <s v="Tuesday"/>
    <n v="6"/>
  </r>
  <r>
    <s v="2c109665-a6e7-4215-8b82-5f1ddb9c1334"/>
    <s v="***"/>
    <d v="2026-03-24T14:14:57"/>
    <n v="2"/>
    <x v="1"/>
    <d v="2026-03-24T07:14:57"/>
    <x v="50"/>
    <s v="Tuesday"/>
    <n v="7"/>
  </r>
  <r>
    <s v="bb15af15-2e33-45cb-a70c-1a71883e9976"/>
    <s v="***"/>
    <d v="2026-03-24T15:31:20"/>
    <n v="5"/>
    <x v="17"/>
    <d v="2026-03-24T08:31:20"/>
    <x v="50"/>
    <s v="Tuesday"/>
    <n v="8"/>
  </r>
  <r>
    <s v="4a56ee55-d540-41b4-8994-f1438e3e44a6"/>
    <s v="***"/>
    <d v="2026-03-24T16:03:07"/>
    <n v="3"/>
    <x v="1"/>
    <d v="2026-03-24T09:03:07"/>
    <x v="50"/>
    <s v="Tuesday"/>
    <n v="9"/>
  </r>
  <r>
    <s v="f95b0c73-29e2-4d57-b353-b3dea72d8e99"/>
    <s v="***"/>
    <d v="2026-03-24T17:04:03"/>
    <n v="575"/>
    <x v="17"/>
    <d v="2026-03-24T10:04:03"/>
    <x v="50"/>
    <s v="Tuesday"/>
    <n v="10"/>
  </r>
  <r>
    <s v="a7c9b459-8000-425c-9a7d-096dca3ed31b"/>
    <s v="***"/>
    <d v="2026-03-24T21:15:24"/>
    <n v="531"/>
    <x v="17"/>
    <d v="2026-03-24T14:15:24"/>
    <x v="50"/>
    <s v="Tuesday"/>
    <n v="14"/>
  </r>
  <r>
    <s v="96d0fff8-676c-4869-ac63-997f39d53c3a"/>
    <s v="***"/>
    <d v="2026-03-24T21:18:18"/>
    <n v="3"/>
    <x v="1"/>
    <d v="2026-03-24T14:18:18"/>
    <x v="50"/>
    <s v="Tuesday"/>
    <n v="14"/>
  </r>
  <r>
    <s v="ffefa729-3d01-4678-bf94-5c14a637a27c"/>
    <s v="***"/>
    <d v="2026-03-24T21:18:27"/>
    <n v="3"/>
    <x v="10"/>
    <d v="2026-03-24T14:18:27"/>
    <x v="50"/>
    <s v="Tuesday"/>
    <n v="14"/>
  </r>
  <r>
    <s v="e996136c-a8fd-4804-8cd1-d3839d064105"/>
    <s v="***"/>
    <d v="2026-03-24T21:41:51"/>
    <n v="531"/>
    <x v="1"/>
    <d v="2026-03-24T14:41:51"/>
    <x v="50"/>
    <s v="Tuesday"/>
    <n v="14"/>
  </r>
  <r>
    <s v="20e6799a-1eed-4177-b02b-bf01b40b806f"/>
    <s v="***"/>
    <d v="2026-03-24T22:04:43"/>
    <n v="531"/>
    <x v="17"/>
    <d v="2026-03-24T15:04:43"/>
    <x v="50"/>
    <s v="Tuesday"/>
    <n v="15"/>
  </r>
  <r>
    <s v="ef565e3b-fe7f-435d-8fb0-8b8c15e0b737"/>
    <s v="***"/>
    <d v="2026-03-24T23:09:33"/>
    <n v="531"/>
    <x v="17"/>
    <d v="2026-03-24T16:09:33"/>
    <x v="50"/>
    <s v="Tuesday"/>
    <n v="16"/>
  </r>
  <r>
    <s v="ca681421-4b69-4e5e-b8fd-aaea96eb7db6"/>
    <s v="***"/>
    <d v="2026-03-25T00:48:31"/>
    <n v="531"/>
    <x v="17"/>
    <d v="2026-03-24T17:48:31"/>
    <x v="50"/>
    <s v="Tuesday"/>
    <n v="17"/>
  </r>
  <r>
    <s v="2f5bd676-704a-421f-9a12-2fda56062ce7"/>
    <s v="***"/>
    <d v="2026-03-25T02:01:55"/>
    <n v="531"/>
    <x v="17"/>
    <d v="2026-03-24T19:01:55"/>
    <x v="50"/>
    <s v="Tuesday"/>
    <n v="19"/>
  </r>
  <r>
    <s v="f0acad80-68c2-45d5-84a7-9717a4b4c01e"/>
    <s v="***"/>
    <d v="2026-03-25T07:49:59"/>
    <n v="36"/>
    <x v="1"/>
    <d v="2026-03-25T00:49:59"/>
    <x v="51"/>
    <s v="Wednesday"/>
    <n v="0"/>
  </r>
  <r>
    <s v="1b59f256-2ed5-48d3-b2e8-44ae09dba0a4"/>
    <s v="***"/>
    <d v="2026-03-25T07:56:09"/>
    <n v="3"/>
    <x v="109"/>
    <d v="2026-03-25T00:56:09"/>
    <x v="51"/>
    <s v="Wednesday"/>
    <n v="0"/>
  </r>
  <r>
    <s v="7639302c-471b-4ff7-a098-ad43a541026c"/>
    <s v="***"/>
    <d v="2026-03-25T08:00:37"/>
    <n v="3"/>
    <x v="109"/>
    <d v="2026-03-25T01:00:37"/>
    <x v="51"/>
    <s v="Wednesday"/>
    <n v="1"/>
  </r>
  <r>
    <s v="79f98f18-e4cc-4e53-9a84-cc556340e959"/>
    <s v="***"/>
    <d v="2026-03-25T08:29:57"/>
    <n v="36"/>
    <x v="1"/>
    <d v="2026-03-25T01:29:57"/>
    <x v="51"/>
    <s v="Wednesday"/>
    <n v="1"/>
  </r>
  <r>
    <s v="061e404a-edfb-487c-b87e-d75e3b394d00"/>
    <s v="***"/>
    <d v="2026-03-25T10:47:38"/>
    <n v="36"/>
    <x v="1"/>
    <d v="2026-03-25T03:47:38"/>
    <x v="51"/>
    <s v="Wednesday"/>
    <n v="3"/>
  </r>
  <r>
    <s v="cbf52f4b-3536-4348-a53a-154536e1d0d6"/>
    <s v="***"/>
    <d v="2026-03-25T11:13:58"/>
    <n v="2"/>
    <x v="116"/>
    <d v="2026-03-25T04:13:58"/>
    <x v="51"/>
    <s v="Wednesday"/>
    <n v="4"/>
  </r>
  <r>
    <s v="15658532-ebe8-459e-9067-aface7c78a93"/>
    <s v="***"/>
    <d v="2026-03-25T11:26:39"/>
    <n v="593"/>
    <x v="1"/>
    <d v="2026-03-25T04:26:39"/>
    <x v="51"/>
    <s v="Wednesday"/>
    <n v="4"/>
  </r>
  <r>
    <s v="d6431c87-4ecb-4b35-9c00-4192dda29cf4"/>
    <s v="***"/>
    <d v="2026-03-25T12:26:29"/>
    <n v="36"/>
    <x v="1"/>
    <d v="2026-03-25T05:26:29"/>
    <x v="51"/>
    <s v="Wednesday"/>
    <n v="5"/>
  </r>
  <r>
    <s v="8ac60a3b-69da-413d-ac1b-33f63825d2c1"/>
    <s v="***"/>
    <d v="2026-03-25T13:43:00"/>
    <n v="3"/>
    <x v="1"/>
    <d v="2026-03-25T06:43:00"/>
    <x v="51"/>
    <s v="Wednesday"/>
    <n v="6"/>
  </r>
  <r>
    <s v="281806af-56e1-4ce1-8573-b0d46b53a1e4"/>
    <s v="***"/>
    <d v="2026-03-25T15:01:05"/>
    <n v="3"/>
    <x v="17"/>
    <d v="2026-03-25T08:01:05"/>
    <x v="51"/>
    <s v="Wednesday"/>
    <n v="8"/>
  </r>
  <r>
    <s v="2a4cc7ce-f1b8-49b4-87d3-d6fdfe679cdb"/>
    <s v="***"/>
    <d v="2026-03-25T15:10:25"/>
    <n v="575"/>
    <x v="1"/>
    <d v="2026-03-25T08:10:25"/>
    <x v="51"/>
    <s v="Wednesday"/>
    <n v="8"/>
  </r>
  <r>
    <s v="5f0773f1-41c2-499a-b769-509c62afd0ec"/>
    <s v="***"/>
    <d v="2026-03-25T16:19:58"/>
    <n v="531"/>
    <x v="17"/>
    <d v="2026-03-25T09:19:58"/>
    <x v="51"/>
    <s v="Wednesday"/>
    <n v="9"/>
  </r>
  <r>
    <s v="cc2cd297-d3d9-434d-87e7-e5c6130ae4d4"/>
    <s v="***"/>
    <d v="2026-03-25T16:55:23"/>
    <n v="531"/>
    <x v="17"/>
    <d v="2026-03-25T09:55:23"/>
    <x v="51"/>
    <s v="Wednesday"/>
    <n v="9"/>
  </r>
  <r>
    <s v="1d6f97b6-860f-4d1a-a471-8e22101e22f5"/>
    <s v="***"/>
    <d v="2026-03-25T17:06:12"/>
    <n v="1"/>
    <x v="109"/>
    <d v="2026-03-25T10:06:12"/>
    <x v="51"/>
    <s v="Wednesday"/>
    <n v="10"/>
  </r>
  <r>
    <s v="352b4833-6864-451a-877f-57a3852bb4fb"/>
    <s v="***"/>
    <d v="2026-03-25T17:13:35"/>
    <n v="575"/>
    <x v="10"/>
    <d v="2026-03-25T10:13:35"/>
    <x v="51"/>
    <s v="Wednesday"/>
    <n v="10"/>
  </r>
  <r>
    <s v="32d055bc-d1a6-40dc-a7ae-76b5c0e6c72d"/>
    <s v="***"/>
    <d v="2026-03-25T17:21:25"/>
    <n v="531"/>
    <x v="17"/>
    <d v="2026-03-25T10:21:25"/>
    <x v="51"/>
    <s v="Wednesday"/>
    <n v="10"/>
  </r>
  <r>
    <s v="ade4bdc9-bbbd-4fcf-abf5-96caaaf1d2bb"/>
    <s v="***"/>
    <d v="2026-03-25T22:48:52"/>
    <n v="3"/>
    <x v="10"/>
    <d v="2026-03-25T15:48:52"/>
    <x v="51"/>
    <s v="Wednesday"/>
    <n v="15"/>
  </r>
  <r>
    <s v="7d10f139-0295-425b-9341-046d68b7a94d"/>
    <s v="***"/>
    <d v="2026-03-25T22:54:12"/>
    <n v="531"/>
    <x v="1"/>
    <d v="2026-03-25T15:54:12"/>
    <x v="51"/>
    <s v="Wednesday"/>
    <n v="15"/>
  </r>
  <r>
    <s v="2efb216a-f544-421d-832d-59ba740996cf"/>
    <s v="***"/>
    <d v="2026-03-25T23:03:56"/>
    <n v="4"/>
    <x v="10"/>
    <d v="2026-03-25T16:03:56"/>
    <x v="51"/>
    <s v="Wednesday"/>
    <n v="16"/>
  </r>
  <r>
    <s v="d9aea648-89a9-4f1b-b9f0-1502b5761405"/>
    <s v="***"/>
    <d v="2026-03-26T07:01:07"/>
    <n v="891"/>
    <x v="1"/>
    <d v="2026-03-26T00:01:07"/>
    <x v="52"/>
    <s v="Thursday"/>
    <n v="0"/>
  </r>
  <r>
    <s v="fd248853-7186-4f94-87cf-388ce0761d19"/>
    <s v="***"/>
    <d v="2026-03-26T09:22:06"/>
    <n v="1"/>
    <x v="109"/>
    <d v="2026-03-26T02:22:06"/>
    <x v="52"/>
    <s v="Thursday"/>
    <n v="2"/>
  </r>
  <r>
    <s v="c95af929-4934-49f1-864e-4bd0919c29af"/>
    <s v="***"/>
    <d v="2026-03-26T10:42:25"/>
    <n v="3"/>
    <x v="1"/>
    <d v="2026-03-26T03:42:25"/>
    <x v="52"/>
    <s v="Thursday"/>
    <n v="3"/>
  </r>
  <r>
    <s v="4a461c8b-0030-4d78-9d29-974c08bcba02"/>
    <s v="***"/>
    <d v="2026-03-26T11:03:11"/>
    <n v="3"/>
    <x v="1"/>
    <d v="2026-03-26T04:03:11"/>
    <x v="52"/>
    <s v="Thursday"/>
    <n v="4"/>
  </r>
  <r>
    <s v="1853ce82-37b5-4885-99d2-b8dbb1fa34fa"/>
    <s v="***"/>
    <d v="2026-03-26T12:01:07"/>
    <n v="1"/>
    <x v="1"/>
    <d v="2026-03-26T05:01:07"/>
    <x v="52"/>
    <s v="Thursday"/>
    <n v="5"/>
  </r>
  <r>
    <s v="f2990e3c-9b89-43aa-93b5-6bf00fad5389"/>
    <s v="***"/>
    <d v="2026-03-26T12:15:35"/>
    <n v="891"/>
    <x v="1"/>
    <d v="2026-03-26T05:15:35"/>
    <x v="52"/>
    <s v="Thursday"/>
    <n v="5"/>
  </r>
  <r>
    <s v="11918a6f-33e8-491b-b8f8-aea556e3a69a"/>
    <s v="***"/>
    <d v="2026-03-26T13:48:46"/>
    <n v="531"/>
    <x v="1"/>
    <d v="2026-03-26T06:48:46"/>
    <x v="52"/>
    <s v="Thursday"/>
    <n v="6"/>
  </r>
  <r>
    <s v="072ae465-b6a9-4628-9ca0-21159c67d9b5"/>
    <s v="***"/>
    <d v="2026-03-26T14:15:53"/>
    <n v="575"/>
    <x v="71"/>
    <d v="2026-03-26T07:15:53"/>
    <x v="52"/>
    <s v="Thursday"/>
    <n v="7"/>
  </r>
  <r>
    <s v="dadd9e38-835a-445d-8615-aa80320ff8e7"/>
    <s v="***"/>
    <d v="2026-03-26T14:34:08"/>
    <n v="3"/>
    <x v="1"/>
    <d v="2026-03-26T07:34:08"/>
    <x v="52"/>
    <s v="Thursday"/>
    <n v="7"/>
  </r>
  <r>
    <s v="efbcbe18-9c15-4174-8659-3482b7071bf2"/>
    <s v="***"/>
    <d v="2026-03-26T15:09:25"/>
    <n v="531"/>
    <x v="1"/>
    <d v="2026-03-26T08:09:25"/>
    <x v="52"/>
    <s v="Thursday"/>
    <n v="8"/>
  </r>
  <r>
    <s v="77248ce3-9469-4f81-aea5-0b8317c095aa"/>
    <s v="***"/>
    <d v="2026-03-26T16:27:29"/>
    <n v="891"/>
    <x v="1"/>
    <d v="2026-03-26T09:27:29"/>
    <x v="52"/>
    <s v="Thursday"/>
    <n v="9"/>
  </r>
  <r>
    <m/>
    <m/>
    <m/>
    <m/>
    <x v="1"/>
    <m/>
    <x v="53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78E2B5C-D088-F745-A6E2-20F0F9AE2467}" name="PivotTable1" cacheId="27" applyNumberFormats="0" applyBorderFormats="0" applyFontFormats="0" applyPatternFormats="0" applyAlignmentFormats="0" applyWidthHeightFormats="1" dataCaption="Values" updatedVersion="8" minRefreshableVersion="5" useAutoFormatting="1" itemPrintTitles="1" createdVersion="8" indent="0" outline="1" outlineData="1" multipleFieldFilters="0" chartFormat="2">
  <location ref="A3:B121" firstHeaderRow="1" firstDataRow="1" firstDataCol="1"/>
  <pivotFields count="9">
    <pivotField dataField="1" showAll="0"/>
    <pivotField showAll="0"/>
    <pivotField showAll="0"/>
    <pivotField showAll="0"/>
    <pivotField axis="axisRow" showAll="0">
      <items count="118">
        <item x="82"/>
        <item x="53"/>
        <item x="81"/>
        <item x="0"/>
        <item x="24"/>
        <item x="9"/>
        <item x="52"/>
        <item x="25"/>
        <item x="4"/>
        <item x="57"/>
        <item x="58"/>
        <item x="54"/>
        <item x="83"/>
        <item x="22"/>
        <item x="35"/>
        <item x="78"/>
        <item x="76"/>
        <item x="19"/>
        <item x="18"/>
        <item x="15"/>
        <item x="14"/>
        <item x="75"/>
        <item x="80"/>
        <item x="43"/>
        <item x="70"/>
        <item x="40"/>
        <item x="87"/>
        <item x="77"/>
        <item x="36"/>
        <item x="44"/>
        <item x="61"/>
        <item x="28"/>
        <item x="69"/>
        <item x="66"/>
        <item x="65"/>
        <item x="5"/>
        <item x="8"/>
        <item x="72"/>
        <item x="73"/>
        <item x="38"/>
        <item x="79"/>
        <item x="13"/>
        <item x="68"/>
        <item x="67"/>
        <item x="32"/>
        <item x="42"/>
        <item x="31"/>
        <item x="62"/>
        <item x="74"/>
        <item x="29"/>
        <item x="59"/>
        <item x="41"/>
        <item x="48"/>
        <item x="20"/>
        <item x="7"/>
        <item x="3"/>
        <item x="2"/>
        <item x="88"/>
        <item x="49"/>
        <item x="45"/>
        <item x="37"/>
        <item x="64"/>
        <item x="46"/>
        <item x="85"/>
        <item x="21"/>
        <item x="17"/>
        <item x="6"/>
        <item x="11"/>
        <item x="16"/>
        <item x="26"/>
        <item x="39"/>
        <item x="27"/>
        <item x="10"/>
        <item x="33"/>
        <item x="30"/>
        <item x="47"/>
        <item x="86"/>
        <item x="63"/>
        <item x="34"/>
        <item x="60"/>
        <item x="12"/>
        <item x="51"/>
        <item x="50"/>
        <item x="56"/>
        <item x="55"/>
        <item x="23"/>
        <item x="71"/>
        <item x="1"/>
        <item x="89"/>
        <item x="84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t="default"/>
      </items>
    </pivotField>
    <pivotField showAll="0"/>
    <pivotField showAll="0">
      <items count="5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t="default"/>
      </items>
    </pivotField>
    <pivotField showAll="0"/>
    <pivotField showAll="0"/>
  </pivotFields>
  <rowFields count="1">
    <field x="4"/>
  </rowFields>
  <rowItems count="11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 t="grand">
      <x/>
    </i>
  </rowItems>
  <colItems count="1">
    <i/>
  </colItems>
  <dataFields count="1">
    <dataField name="Count of Search ID" fld="0" subtotal="count" baseField="0" baseItem="0"/>
  </dataFields>
  <chartFormats count="119">
    <chartFormat chart="1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9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95">
      <pivotArea type="data" outline="0" fieldPosition="0">
        <references count="2">
          <reference field="4294967294" count="1" selected="0">
            <x v="0"/>
          </reference>
          <reference field="4" count="1" selected="0">
            <x v="0"/>
          </reference>
        </references>
      </pivotArea>
    </chartFormat>
    <chartFormat chart="0" format="96">
      <pivotArea type="data" outline="0" fieldPosition="0">
        <references count="2">
          <reference field="4294967294" count="1" selected="0">
            <x v="0"/>
          </reference>
          <reference field="4" count="1" selected="0">
            <x v="1"/>
          </reference>
        </references>
      </pivotArea>
    </chartFormat>
    <chartFormat chart="0" format="97">
      <pivotArea type="data" outline="0" fieldPosition="0">
        <references count="2">
          <reference field="4294967294" count="1" selected="0">
            <x v="0"/>
          </reference>
          <reference field="4" count="1" selected="0">
            <x v="2"/>
          </reference>
        </references>
      </pivotArea>
    </chartFormat>
    <chartFormat chart="0" format="98">
      <pivotArea type="data" outline="0" fieldPosition="0">
        <references count="2">
          <reference field="4294967294" count="1" selected="0">
            <x v="0"/>
          </reference>
          <reference field="4" count="1" selected="0">
            <x v="3"/>
          </reference>
        </references>
      </pivotArea>
    </chartFormat>
    <chartFormat chart="0" format="99">
      <pivotArea type="data" outline="0" fieldPosition="0">
        <references count="2">
          <reference field="4294967294" count="1" selected="0">
            <x v="0"/>
          </reference>
          <reference field="4" count="1" selected="0">
            <x v="4"/>
          </reference>
        </references>
      </pivotArea>
    </chartFormat>
    <chartFormat chart="0" format="100">
      <pivotArea type="data" outline="0" fieldPosition="0">
        <references count="2">
          <reference field="4294967294" count="1" selected="0">
            <x v="0"/>
          </reference>
          <reference field="4" count="1" selected="0">
            <x v="5"/>
          </reference>
        </references>
      </pivotArea>
    </chartFormat>
    <chartFormat chart="0" format="101">
      <pivotArea type="data" outline="0" fieldPosition="0">
        <references count="2">
          <reference field="4294967294" count="1" selected="0">
            <x v="0"/>
          </reference>
          <reference field="4" count="1" selected="0">
            <x v="6"/>
          </reference>
        </references>
      </pivotArea>
    </chartFormat>
    <chartFormat chart="0" format="102">
      <pivotArea type="data" outline="0" fieldPosition="0">
        <references count="2">
          <reference field="4294967294" count="1" selected="0">
            <x v="0"/>
          </reference>
          <reference field="4" count="1" selected="0">
            <x v="7"/>
          </reference>
        </references>
      </pivotArea>
    </chartFormat>
    <chartFormat chart="0" format="103">
      <pivotArea type="data" outline="0" fieldPosition="0">
        <references count="2">
          <reference field="4294967294" count="1" selected="0">
            <x v="0"/>
          </reference>
          <reference field="4" count="1" selected="0">
            <x v="8"/>
          </reference>
        </references>
      </pivotArea>
    </chartFormat>
    <chartFormat chart="0" format="104">
      <pivotArea type="data" outline="0" fieldPosition="0">
        <references count="2">
          <reference field="4294967294" count="1" selected="0">
            <x v="0"/>
          </reference>
          <reference field="4" count="1" selected="0">
            <x v="9"/>
          </reference>
        </references>
      </pivotArea>
    </chartFormat>
    <chartFormat chart="0" format="105">
      <pivotArea type="data" outline="0" fieldPosition="0">
        <references count="2">
          <reference field="4294967294" count="1" selected="0">
            <x v="0"/>
          </reference>
          <reference field="4" count="1" selected="0">
            <x v="10"/>
          </reference>
        </references>
      </pivotArea>
    </chartFormat>
    <chartFormat chart="0" format="106">
      <pivotArea type="data" outline="0" fieldPosition="0">
        <references count="2">
          <reference field="4294967294" count="1" selected="0">
            <x v="0"/>
          </reference>
          <reference field="4" count="1" selected="0">
            <x v="11"/>
          </reference>
        </references>
      </pivotArea>
    </chartFormat>
    <chartFormat chart="0" format="107">
      <pivotArea type="data" outline="0" fieldPosition="0">
        <references count="2">
          <reference field="4294967294" count="1" selected="0">
            <x v="0"/>
          </reference>
          <reference field="4" count="1" selected="0">
            <x v="12"/>
          </reference>
        </references>
      </pivotArea>
    </chartFormat>
    <chartFormat chart="0" format="108">
      <pivotArea type="data" outline="0" fieldPosition="0">
        <references count="2">
          <reference field="4294967294" count="1" selected="0">
            <x v="0"/>
          </reference>
          <reference field="4" count="1" selected="0">
            <x v="13"/>
          </reference>
        </references>
      </pivotArea>
    </chartFormat>
    <chartFormat chart="0" format="109">
      <pivotArea type="data" outline="0" fieldPosition="0">
        <references count="2">
          <reference field="4294967294" count="1" selected="0">
            <x v="0"/>
          </reference>
          <reference field="4" count="1" selected="0">
            <x v="14"/>
          </reference>
        </references>
      </pivotArea>
    </chartFormat>
    <chartFormat chart="0" format="110">
      <pivotArea type="data" outline="0" fieldPosition="0">
        <references count="2">
          <reference field="4294967294" count="1" selected="0">
            <x v="0"/>
          </reference>
          <reference field="4" count="1" selected="0">
            <x v="15"/>
          </reference>
        </references>
      </pivotArea>
    </chartFormat>
    <chartFormat chart="0" format="111">
      <pivotArea type="data" outline="0" fieldPosition="0">
        <references count="2">
          <reference field="4294967294" count="1" selected="0">
            <x v="0"/>
          </reference>
          <reference field="4" count="1" selected="0">
            <x v="16"/>
          </reference>
        </references>
      </pivotArea>
    </chartFormat>
    <chartFormat chart="0" format="112">
      <pivotArea type="data" outline="0" fieldPosition="0">
        <references count="2">
          <reference field="4294967294" count="1" selected="0">
            <x v="0"/>
          </reference>
          <reference field="4" count="1" selected="0">
            <x v="17"/>
          </reference>
        </references>
      </pivotArea>
    </chartFormat>
    <chartFormat chart="0" format="113">
      <pivotArea type="data" outline="0" fieldPosition="0">
        <references count="2">
          <reference field="4294967294" count="1" selected="0">
            <x v="0"/>
          </reference>
          <reference field="4" count="1" selected="0">
            <x v="18"/>
          </reference>
        </references>
      </pivotArea>
    </chartFormat>
    <chartFormat chart="0" format="114">
      <pivotArea type="data" outline="0" fieldPosition="0">
        <references count="2">
          <reference field="4294967294" count="1" selected="0">
            <x v="0"/>
          </reference>
          <reference field="4" count="1" selected="0">
            <x v="19"/>
          </reference>
        </references>
      </pivotArea>
    </chartFormat>
    <chartFormat chart="0" format="115">
      <pivotArea type="data" outline="0" fieldPosition="0">
        <references count="2">
          <reference field="4294967294" count="1" selected="0">
            <x v="0"/>
          </reference>
          <reference field="4" count="1" selected="0">
            <x v="20"/>
          </reference>
        </references>
      </pivotArea>
    </chartFormat>
    <chartFormat chart="0" format="116">
      <pivotArea type="data" outline="0" fieldPosition="0">
        <references count="2">
          <reference field="4294967294" count="1" selected="0">
            <x v="0"/>
          </reference>
          <reference field="4" count="1" selected="0">
            <x v="21"/>
          </reference>
        </references>
      </pivotArea>
    </chartFormat>
    <chartFormat chart="0" format="117">
      <pivotArea type="data" outline="0" fieldPosition="0">
        <references count="2">
          <reference field="4294967294" count="1" selected="0">
            <x v="0"/>
          </reference>
          <reference field="4" count="1" selected="0">
            <x v="22"/>
          </reference>
        </references>
      </pivotArea>
    </chartFormat>
    <chartFormat chart="0" format="118">
      <pivotArea type="data" outline="0" fieldPosition="0">
        <references count="2">
          <reference field="4294967294" count="1" selected="0">
            <x v="0"/>
          </reference>
          <reference field="4" count="1" selected="0">
            <x v="23"/>
          </reference>
        </references>
      </pivotArea>
    </chartFormat>
    <chartFormat chart="0" format="119">
      <pivotArea type="data" outline="0" fieldPosition="0">
        <references count="2">
          <reference field="4294967294" count="1" selected="0">
            <x v="0"/>
          </reference>
          <reference field="4" count="1" selected="0">
            <x v="24"/>
          </reference>
        </references>
      </pivotArea>
    </chartFormat>
    <chartFormat chart="0" format="120">
      <pivotArea type="data" outline="0" fieldPosition="0">
        <references count="2">
          <reference field="4294967294" count="1" selected="0">
            <x v="0"/>
          </reference>
          <reference field="4" count="1" selected="0">
            <x v="25"/>
          </reference>
        </references>
      </pivotArea>
    </chartFormat>
    <chartFormat chart="0" format="121">
      <pivotArea type="data" outline="0" fieldPosition="0">
        <references count="2">
          <reference field="4294967294" count="1" selected="0">
            <x v="0"/>
          </reference>
          <reference field="4" count="1" selected="0">
            <x v="26"/>
          </reference>
        </references>
      </pivotArea>
    </chartFormat>
    <chartFormat chart="0" format="122">
      <pivotArea type="data" outline="0" fieldPosition="0">
        <references count="2">
          <reference field="4294967294" count="1" selected="0">
            <x v="0"/>
          </reference>
          <reference field="4" count="1" selected="0">
            <x v="27"/>
          </reference>
        </references>
      </pivotArea>
    </chartFormat>
    <chartFormat chart="0" format="123">
      <pivotArea type="data" outline="0" fieldPosition="0">
        <references count="2">
          <reference field="4294967294" count="1" selected="0">
            <x v="0"/>
          </reference>
          <reference field="4" count="1" selected="0">
            <x v="28"/>
          </reference>
        </references>
      </pivotArea>
    </chartFormat>
    <chartFormat chart="0" format="124">
      <pivotArea type="data" outline="0" fieldPosition="0">
        <references count="2">
          <reference field="4294967294" count="1" selected="0">
            <x v="0"/>
          </reference>
          <reference field="4" count="1" selected="0">
            <x v="29"/>
          </reference>
        </references>
      </pivotArea>
    </chartFormat>
    <chartFormat chart="0" format="125">
      <pivotArea type="data" outline="0" fieldPosition="0">
        <references count="2">
          <reference field="4294967294" count="1" selected="0">
            <x v="0"/>
          </reference>
          <reference field="4" count="1" selected="0">
            <x v="30"/>
          </reference>
        </references>
      </pivotArea>
    </chartFormat>
    <chartFormat chart="0" format="126">
      <pivotArea type="data" outline="0" fieldPosition="0">
        <references count="2">
          <reference field="4294967294" count="1" selected="0">
            <x v="0"/>
          </reference>
          <reference field="4" count="1" selected="0">
            <x v="31"/>
          </reference>
        </references>
      </pivotArea>
    </chartFormat>
    <chartFormat chart="0" format="127">
      <pivotArea type="data" outline="0" fieldPosition="0">
        <references count="2">
          <reference field="4294967294" count="1" selected="0">
            <x v="0"/>
          </reference>
          <reference field="4" count="1" selected="0">
            <x v="32"/>
          </reference>
        </references>
      </pivotArea>
    </chartFormat>
    <chartFormat chart="0" format="128">
      <pivotArea type="data" outline="0" fieldPosition="0">
        <references count="2">
          <reference field="4294967294" count="1" selected="0">
            <x v="0"/>
          </reference>
          <reference field="4" count="1" selected="0">
            <x v="33"/>
          </reference>
        </references>
      </pivotArea>
    </chartFormat>
    <chartFormat chart="0" format="129">
      <pivotArea type="data" outline="0" fieldPosition="0">
        <references count="2">
          <reference field="4294967294" count="1" selected="0">
            <x v="0"/>
          </reference>
          <reference field="4" count="1" selected="0">
            <x v="34"/>
          </reference>
        </references>
      </pivotArea>
    </chartFormat>
    <chartFormat chart="0" format="130">
      <pivotArea type="data" outline="0" fieldPosition="0">
        <references count="2">
          <reference field="4294967294" count="1" selected="0">
            <x v="0"/>
          </reference>
          <reference field="4" count="1" selected="0">
            <x v="35"/>
          </reference>
        </references>
      </pivotArea>
    </chartFormat>
    <chartFormat chart="0" format="131">
      <pivotArea type="data" outline="0" fieldPosition="0">
        <references count="2">
          <reference field="4294967294" count="1" selected="0">
            <x v="0"/>
          </reference>
          <reference field="4" count="1" selected="0">
            <x v="36"/>
          </reference>
        </references>
      </pivotArea>
    </chartFormat>
    <chartFormat chart="0" format="132">
      <pivotArea type="data" outline="0" fieldPosition="0">
        <references count="2">
          <reference field="4294967294" count="1" selected="0">
            <x v="0"/>
          </reference>
          <reference field="4" count="1" selected="0">
            <x v="37"/>
          </reference>
        </references>
      </pivotArea>
    </chartFormat>
    <chartFormat chart="0" format="133">
      <pivotArea type="data" outline="0" fieldPosition="0">
        <references count="2">
          <reference field="4294967294" count="1" selected="0">
            <x v="0"/>
          </reference>
          <reference field="4" count="1" selected="0">
            <x v="38"/>
          </reference>
        </references>
      </pivotArea>
    </chartFormat>
    <chartFormat chart="0" format="134">
      <pivotArea type="data" outline="0" fieldPosition="0">
        <references count="2">
          <reference field="4294967294" count="1" selected="0">
            <x v="0"/>
          </reference>
          <reference field="4" count="1" selected="0">
            <x v="39"/>
          </reference>
        </references>
      </pivotArea>
    </chartFormat>
    <chartFormat chart="0" format="135">
      <pivotArea type="data" outline="0" fieldPosition="0">
        <references count="2">
          <reference field="4294967294" count="1" selected="0">
            <x v="0"/>
          </reference>
          <reference field="4" count="1" selected="0">
            <x v="40"/>
          </reference>
        </references>
      </pivotArea>
    </chartFormat>
    <chartFormat chart="0" format="136">
      <pivotArea type="data" outline="0" fieldPosition="0">
        <references count="2">
          <reference field="4294967294" count="1" selected="0">
            <x v="0"/>
          </reference>
          <reference field="4" count="1" selected="0">
            <x v="41"/>
          </reference>
        </references>
      </pivotArea>
    </chartFormat>
    <chartFormat chart="0" format="137">
      <pivotArea type="data" outline="0" fieldPosition="0">
        <references count="2">
          <reference field="4294967294" count="1" selected="0">
            <x v="0"/>
          </reference>
          <reference field="4" count="1" selected="0">
            <x v="42"/>
          </reference>
        </references>
      </pivotArea>
    </chartFormat>
    <chartFormat chart="0" format="138">
      <pivotArea type="data" outline="0" fieldPosition="0">
        <references count="2">
          <reference field="4294967294" count="1" selected="0">
            <x v="0"/>
          </reference>
          <reference field="4" count="1" selected="0">
            <x v="43"/>
          </reference>
        </references>
      </pivotArea>
    </chartFormat>
    <chartFormat chart="0" format="139">
      <pivotArea type="data" outline="0" fieldPosition="0">
        <references count="2">
          <reference field="4294967294" count="1" selected="0">
            <x v="0"/>
          </reference>
          <reference field="4" count="1" selected="0">
            <x v="44"/>
          </reference>
        </references>
      </pivotArea>
    </chartFormat>
    <chartFormat chart="0" format="140">
      <pivotArea type="data" outline="0" fieldPosition="0">
        <references count="2">
          <reference field="4294967294" count="1" selected="0">
            <x v="0"/>
          </reference>
          <reference field="4" count="1" selected="0">
            <x v="45"/>
          </reference>
        </references>
      </pivotArea>
    </chartFormat>
    <chartFormat chart="0" format="141">
      <pivotArea type="data" outline="0" fieldPosition="0">
        <references count="2">
          <reference field="4294967294" count="1" selected="0">
            <x v="0"/>
          </reference>
          <reference field="4" count="1" selected="0">
            <x v="46"/>
          </reference>
        </references>
      </pivotArea>
    </chartFormat>
    <chartFormat chart="0" format="142">
      <pivotArea type="data" outline="0" fieldPosition="0">
        <references count="2">
          <reference field="4294967294" count="1" selected="0">
            <x v="0"/>
          </reference>
          <reference field="4" count="1" selected="0">
            <x v="47"/>
          </reference>
        </references>
      </pivotArea>
    </chartFormat>
    <chartFormat chart="0" format="143">
      <pivotArea type="data" outline="0" fieldPosition="0">
        <references count="2">
          <reference field="4294967294" count="1" selected="0">
            <x v="0"/>
          </reference>
          <reference field="4" count="1" selected="0">
            <x v="48"/>
          </reference>
        </references>
      </pivotArea>
    </chartFormat>
    <chartFormat chart="0" format="144">
      <pivotArea type="data" outline="0" fieldPosition="0">
        <references count="2">
          <reference field="4294967294" count="1" selected="0">
            <x v="0"/>
          </reference>
          <reference field="4" count="1" selected="0">
            <x v="49"/>
          </reference>
        </references>
      </pivotArea>
    </chartFormat>
    <chartFormat chart="0" format="145">
      <pivotArea type="data" outline="0" fieldPosition="0">
        <references count="2">
          <reference field="4294967294" count="1" selected="0">
            <x v="0"/>
          </reference>
          <reference field="4" count="1" selected="0">
            <x v="50"/>
          </reference>
        </references>
      </pivotArea>
    </chartFormat>
    <chartFormat chart="0" format="146">
      <pivotArea type="data" outline="0" fieldPosition="0">
        <references count="2">
          <reference field="4294967294" count="1" selected="0">
            <x v="0"/>
          </reference>
          <reference field="4" count="1" selected="0">
            <x v="51"/>
          </reference>
        </references>
      </pivotArea>
    </chartFormat>
    <chartFormat chart="0" format="147">
      <pivotArea type="data" outline="0" fieldPosition="0">
        <references count="2">
          <reference field="4294967294" count="1" selected="0">
            <x v="0"/>
          </reference>
          <reference field="4" count="1" selected="0">
            <x v="52"/>
          </reference>
        </references>
      </pivotArea>
    </chartFormat>
    <chartFormat chart="0" format="148">
      <pivotArea type="data" outline="0" fieldPosition="0">
        <references count="2">
          <reference field="4294967294" count="1" selected="0">
            <x v="0"/>
          </reference>
          <reference field="4" count="1" selected="0">
            <x v="53"/>
          </reference>
        </references>
      </pivotArea>
    </chartFormat>
    <chartFormat chart="0" format="149">
      <pivotArea type="data" outline="0" fieldPosition="0">
        <references count="2">
          <reference field="4294967294" count="1" selected="0">
            <x v="0"/>
          </reference>
          <reference field="4" count="1" selected="0">
            <x v="54"/>
          </reference>
        </references>
      </pivotArea>
    </chartFormat>
    <chartFormat chart="0" format="150">
      <pivotArea type="data" outline="0" fieldPosition="0">
        <references count="2">
          <reference field="4294967294" count="1" selected="0">
            <x v="0"/>
          </reference>
          <reference field="4" count="1" selected="0">
            <x v="55"/>
          </reference>
        </references>
      </pivotArea>
    </chartFormat>
    <chartFormat chart="0" format="151">
      <pivotArea type="data" outline="0" fieldPosition="0">
        <references count="2">
          <reference field="4294967294" count="1" selected="0">
            <x v="0"/>
          </reference>
          <reference field="4" count="1" selected="0">
            <x v="56"/>
          </reference>
        </references>
      </pivotArea>
    </chartFormat>
    <chartFormat chart="0" format="152">
      <pivotArea type="data" outline="0" fieldPosition="0">
        <references count="2">
          <reference field="4294967294" count="1" selected="0">
            <x v="0"/>
          </reference>
          <reference field="4" count="1" selected="0">
            <x v="57"/>
          </reference>
        </references>
      </pivotArea>
    </chartFormat>
    <chartFormat chart="0" format="153">
      <pivotArea type="data" outline="0" fieldPosition="0">
        <references count="2">
          <reference field="4294967294" count="1" selected="0">
            <x v="0"/>
          </reference>
          <reference field="4" count="1" selected="0">
            <x v="58"/>
          </reference>
        </references>
      </pivotArea>
    </chartFormat>
    <chartFormat chart="0" format="154">
      <pivotArea type="data" outline="0" fieldPosition="0">
        <references count="2">
          <reference field="4294967294" count="1" selected="0">
            <x v="0"/>
          </reference>
          <reference field="4" count="1" selected="0">
            <x v="59"/>
          </reference>
        </references>
      </pivotArea>
    </chartFormat>
    <chartFormat chart="0" format="155">
      <pivotArea type="data" outline="0" fieldPosition="0">
        <references count="2">
          <reference field="4294967294" count="1" selected="0">
            <x v="0"/>
          </reference>
          <reference field="4" count="1" selected="0">
            <x v="60"/>
          </reference>
        </references>
      </pivotArea>
    </chartFormat>
    <chartFormat chart="0" format="156">
      <pivotArea type="data" outline="0" fieldPosition="0">
        <references count="2">
          <reference field="4294967294" count="1" selected="0">
            <x v="0"/>
          </reference>
          <reference field="4" count="1" selected="0">
            <x v="61"/>
          </reference>
        </references>
      </pivotArea>
    </chartFormat>
    <chartFormat chart="0" format="157">
      <pivotArea type="data" outline="0" fieldPosition="0">
        <references count="2">
          <reference field="4294967294" count="1" selected="0">
            <x v="0"/>
          </reference>
          <reference field="4" count="1" selected="0">
            <x v="62"/>
          </reference>
        </references>
      </pivotArea>
    </chartFormat>
    <chartFormat chart="0" format="158">
      <pivotArea type="data" outline="0" fieldPosition="0">
        <references count="2">
          <reference field="4294967294" count="1" selected="0">
            <x v="0"/>
          </reference>
          <reference field="4" count="1" selected="0">
            <x v="63"/>
          </reference>
        </references>
      </pivotArea>
    </chartFormat>
    <chartFormat chart="0" format="159">
      <pivotArea type="data" outline="0" fieldPosition="0">
        <references count="2">
          <reference field="4294967294" count="1" selected="0">
            <x v="0"/>
          </reference>
          <reference field="4" count="1" selected="0">
            <x v="64"/>
          </reference>
        </references>
      </pivotArea>
    </chartFormat>
    <chartFormat chart="0" format="160">
      <pivotArea type="data" outline="0" fieldPosition="0">
        <references count="2">
          <reference field="4294967294" count="1" selected="0">
            <x v="0"/>
          </reference>
          <reference field="4" count="1" selected="0">
            <x v="65"/>
          </reference>
        </references>
      </pivotArea>
    </chartFormat>
    <chartFormat chart="0" format="161">
      <pivotArea type="data" outline="0" fieldPosition="0">
        <references count="2">
          <reference field="4294967294" count="1" selected="0">
            <x v="0"/>
          </reference>
          <reference field="4" count="1" selected="0">
            <x v="66"/>
          </reference>
        </references>
      </pivotArea>
    </chartFormat>
    <chartFormat chart="0" format="162">
      <pivotArea type="data" outline="0" fieldPosition="0">
        <references count="2">
          <reference field="4294967294" count="1" selected="0">
            <x v="0"/>
          </reference>
          <reference field="4" count="1" selected="0">
            <x v="67"/>
          </reference>
        </references>
      </pivotArea>
    </chartFormat>
    <chartFormat chart="0" format="163">
      <pivotArea type="data" outline="0" fieldPosition="0">
        <references count="2">
          <reference field="4294967294" count="1" selected="0">
            <x v="0"/>
          </reference>
          <reference field="4" count="1" selected="0">
            <x v="68"/>
          </reference>
        </references>
      </pivotArea>
    </chartFormat>
    <chartFormat chart="0" format="164">
      <pivotArea type="data" outline="0" fieldPosition="0">
        <references count="2">
          <reference field="4294967294" count="1" selected="0">
            <x v="0"/>
          </reference>
          <reference field="4" count="1" selected="0">
            <x v="69"/>
          </reference>
        </references>
      </pivotArea>
    </chartFormat>
    <chartFormat chart="0" format="165">
      <pivotArea type="data" outline="0" fieldPosition="0">
        <references count="2">
          <reference field="4294967294" count="1" selected="0">
            <x v="0"/>
          </reference>
          <reference field="4" count="1" selected="0">
            <x v="70"/>
          </reference>
        </references>
      </pivotArea>
    </chartFormat>
    <chartFormat chart="0" format="166">
      <pivotArea type="data" outline="0" fieldPosition="0">
        <references count="2">
          <reference field="4294967294" count="1" selected="0">
            <x v="0"/>
          </reference>
          <reference field="4" count="1" selected="0">
            <x v="71"/>
          </reference>
        </references>
      </pivotArea>
    </chartFormat>
    <chartFormat chart="0" format="167">
      <pivotArea type="data" outline="0" fieldPosition="0">
        <references count="2">
          <reference field="4294967294" count="1" selected="0">
            <x v="0"/>
          </reference>
          <reference field="4" count="1" selected="0">
            <x v="72"/>
          </reference>
        </references>
      </pivotArea>
    </chartFormat>
    <chartFormat chart="0" format="168">
      <pivotArea type="data" outline="0" fieldPosition="0">
        <references count="2">
          <reference field="4294967294" count="1" selected="0">
            <x v="0"/>
          </reference>
          <reference field="4" count="1" selected="0">
            <x v="73"/>
          </reference>
        </references>
      </pivotArea>
    </chartFormat>
    <chartFormat chart="0" format="169">
      <pivotArea type="data" outline="0" fieldPosition="0">
        <references count="2">
          <reference field="4294967294" count="1" selected="0">
            <x v="0"/>
          </reference>
          <reference field="4" count="1" selected="0">
            <x v="74"/>
          </reference>
        </references>
      </pivotArea>
    </chartFormat>
    <chartFormat chart="0" format="170">
      <pivotArea type="data" outline="0" fieldPosition="0">
        <references count="2">
          <reference field="4294967294" count="1" selected="0">
            <x v="0"/>
          </reference>
          <reference field="4" count="1" selected="0">
            <x v="75"/>
          </reference>
        </references>
      </pivotArea>
    </chartFormat>
    <chartFormat chart="0" format="171">
      <pivotArea type="data" outline="0" fieldPosition="0">
        <references count="2">
          <reference field="4294967294" count="1" selected="0">
            <x v="0"/>
          </reference>
          <reference field="4" count="1" selected="0">
            <x v="76"/>
          </reference>
        </references>
      </pivotArea>
    </chartFormat>
    <chartFormat chart="0" format="172">
      <pivotArea type="data" outline="0" fieldPosition="0">
        <references count="2">
          <reference field="4294967294" count="1" selected="0">
            <x v="0"/>
          </reference>
          <reference field="4" count="1" selected="0">
            <x v="77"/>
          </reference>
        </references>
      </pivotArea>
    </chartFormat>
    <chartFormat chart="0" format="173">
      <pivotArea type="data" outline="0" fieldPosition="0">
        <references count="2">
          <reference field="4294967294" count="1" selected="0">
            <x v="0"/>
          </reference>
          <reference field="4" count="1" selected="0">
            <x v="78"/>
          </reference>
        </references>
      </pivotArea>
    </chartFormat>
    <chartFormat chart="0" format="174">
      <pivotArea type="data" outline="0" fieldPosition="0">
        <references count="2">
          <reference field="4294967294" count="1" selected="0">
            <x v="0"/>
          </reference>
          <reference field="4" count="1" selected="0">
            <x v="79"/>
          </reference>
        </references>
      </pivotArea>
    </chartFormat>
    <chartFormat chart="0" format="175">
      <pivotArea type="data" outline="0" fieldPosition="0">
        <references count="2">
          <reference field="4294967294" count="1" selected="0">
            <x v="0"/>
          </reference>
          <reference field="4" count="1" selected="0">
            <x v="80"/>
          </reference>
        </references>
      </pivotArea>
    </chartFormat>
    <chartFormat chart="0" format="176">
      <pivotArea type="data" outline="0" fieldPosition="0">
        <references count="2">
          <reference field="4294967294" count="1" selected="0">
            <x v="0"/>
          </reference>
          <reference field="4" count="1" selected="0">
            <x v="81"/>
          </reference>
        </references>
      </pivotArea>
    </chartFormat>
    <chartFormat chart="0" format="177">
      <pivotArea type="data" outline="0" fieldPosition="0">
        <references count="2">
          <reference field="4294967294" count="1" selected="0">
            <x v="0"/>
          </reference>
          <reference field="4" count="1" selected="0">
            <x v="82"/>
          </reference>
        </references>
      </pivotArea>
    </chartFormat>
    <chartFormat chart="0" format="178">
      <pivotArea type="data" outline="0" fieldPosition="0">
        <references count="2">
          <reference field="4294967294" count="1" selected="0">
            <x v="0"/>
          </reference>
          <reference field="4" count="1" selected="0">
            <x v="83"/>
          </reference>
        </references>
      </pivotArea>
    </chartFormat>
    <chartFormat chart="0" format="179">
      <pivotArea type="data" outline="0" fieldPosition="0">
        <references count="2">
          <reference field="4294967294" count="1" selected="0">
            <x v="0"/>
          </reference>
          <reference field="4" count="1" selected="0">
            <x v="84"/>
          </reference>
        </references>
      </pivotArea>
    </chartFormat>
    <chartFormat chart="0" format="180">
      <pivotArea type="data" outline="0" fieldPosition="0">
        <references count="2">
          <reference field="4294967294" count="1" selected="0">
            <x v="0"/>
          </reference>
          <reference field="4" count="1" selected="0">
            <x v="85"/>
          </reference>
        </references>
      </pivotArea>
    </chartFormat>
    <chartFormat chart="0" format="181">
      <pivotArea type="data" outline="0" fieldPosition="0">
        <references count="2">
          <reference field="4294967294" count="1" selected="0">
            <x v="0"/>
          </reference>
          <reference field="4" count="1" selected="0">
            <x v="86"/>
          </reference>
        </references>
      </pivotArea>
    </chartFormat>
    <chartFormat chart="0" format="182">
      <pivotArea type="data" outline="0" fieldPosition="0">
        <references count="2">
          <reference field="4294967294" count="1" selected="0">
            <x v="0"/>
          </reference>
          <reference field="4" count="1" selected="0">
            <x v="87"/>
          </reference>
        </references>
      </pivotArea>
    </chartFormat>
    <chartFormat chart="0" format="183">
      <pivotArea type="data" outline="0" fieldPosition="0">
        <references count="2">
          <reference field="4294967294" count="1" selected="0">
            <x v="0"/>
          </reference>
          <reference field="4" count="1" selected="0">
            <x v="88"/>
          </reference>
        </references>
      </pivotArea>
    </chartFormat>
    <chartFormat chart="0" format="184">
      <pivotArea type="data" outline="0" fieldPosition="0">
        <references count="2">
          <reference field="4294967294" count="1" selected="0">
            <x v="0"/>
          </reference>
          <reference field="4" count="1" selected="0">
            <x v="89"/>
          </reference>
        </references>
      </pivotArea>
    </chartFormat>
    <chartFormat chart="0" format="185">
      <pivotArea type="data" outline="0" fieldPosition="0">
        <references count="2">
          <reference field="4294967294" count="1" selected="0">
            <x v="0"/>
          </reference>
          <reference field="4" count="1" selected="0">
            <x v="90"/>
          </reference>
        </references>
      </pivotArea>
    </chartFormat>
    <chartFormat chart="0" format="186">
      <pivotArea type="data" outline="0" fieldPosition="0">
        <references count="2">
          <reference field="4294967294" count="1" selected="0">
            <x v="0"/>
          </reference>
          <reference field="4" count="1" selected="0">
            <x v="91"/>
          </reference>
        </references>
      </pivotArea>
    </chartFormat>
    <chartFormat chart="0" format="187">
      <pivotArea type="data" outline="0" fieldPosition="0">
        <references count="2">
          <reference field="4294967294" count="1" selected="0">
            <x v="0"/>
          </reference>
          <reference field="4" count="1" selected="0">
            <x v="92"/>
          </reference>
        </references>
      </pivotArea>
    </chartFormat>
    <chartFormat chart="0" format="188">
      <pivotArea type="data" outline="0" fieldPosition="0">
        <references count="2">
          <reference field="4294967294" count="1" selected="0">
            <x v="0"/>
          </reference>
          <reference field="4" count="1" selected="0">
            <x v="93"/>
          </reference>
        </references>
      </pivotArea>
    </chartFormat>
    <chartFormat chart="0" format="189">
      <pivotArea type="data" outline="0" fieldPosition="0">
        <references count="2">
          <reference field="4294967294" count="1" selected="0">
            <x v="0"/>
          </reference>
          <reference field="4" count="1" selected="0">
            <x v="94"/>
          </reference>
        </references>
      </pivotArea>
    </chartFormat>
    <chartFormat chart="0" format="190">
      <pivotArea type="data" outline="0" fieldPosition="0">
        <references count="2">
          <reference field="4294967294" count="1" selected="0">
            <x v="0"/>
          </reference>
          <reference field="4" count="1" selected="0">
            <x v="95"/>
          </reference>
        </references>
      </pivotArea>
    </chartFormat>
    <chartFormat chart="0" format="191">
      <pivotArea type="data" outline="0" fieldPosition="0">
        <references count="2">
          <reference field="4294967294" count="1" selected="0">
            <x v="0"/>
          </reference>
          <reference field="4" count="1" selected="0">
            <x v="96"/>
          </reference>
        </references>
      </pivotArea>
    </chartFormat>
    <chartFormat chart="0" format="192">
      <pivotArea type="data" outline="0" fieldPosition="0">
        <references count="2">
          <reference field="4294967294" count="1" selected="0">
            <x v="0"/>
          </reference>
          <reference field="4" count="1" selected="0">
            <x v="97"/>
          </reference>
        </references>
      </pivotArea>
    </chartFormat>
    <chartFormat chart="0" format="193">
      <pivotArea type="data" outline="0" fieldPosition="0">
        <references count="2">
          <reference field="4294967294" count="1" selected="0">
            <x v="0"/>
          </reference>
          <reference field="4" count="1" selected="0">
            <x v="98"/>
          </reference>
        </references>
      </pivotArea>
    </chartFormat>
    <chartFormat chart="0" format="194">
      <pivotArea type="data" outline="0" fieldPosition="0">
        <references count="2">
          <reference field="4294967294" count="1" selected="0">
            <x v="0"/>
          </reference>
          <reference field="4" count="1" selected="0">
            <x v="99"/>
          </reference>
        </references>
      </pivotArea>
    </chartFormat>
    <chartFormat chart="0" format="195">
      <pivotArea type="data" outline="0" fieldPosition="0">
        <references count="2">
          <reference field="4294967294" count="1" selected="0">
            <x v="0"/>
          </reference>
          <reference field="4" count="1" selected="0">
            <x v="100"/>
          </reference>
        </references>
      </pivotArea>
    </chartFormat>
    <chartFormat chart="0" format="196">
      <pivotArea type="data" outline="0" fieldPosition="0">
        <references count="2">
          <reference field="4294967294" count="1" selected="0">
            <x v="0"/>
          </reference>
          <reference field="4" count="1" selected="0">
            <x v="101"/>
          </reference>
        </references>
      </pivotArea>
    </chartFormat>
    <chartFormat chart="0" format="197">
      <pivotArea type="data" outline="0" fieldPosition="0">
        <references count="2">
          <reference field="4294967294" count="1" selected="0">
            <x v="0"/>
          </reference>
          <reference field="4" count="1" selected="0">
            <x v="102"/>
          </reference>
        </references>
      </pivotArea>
    </chartFormat>
    <chartFormat chart="0" format="198">
      <pivotArea type="data" outline="0" fieldPosition="0">
        <references count="2">
          <reference field="4294967294" count="1" selected="0">
            <x v="0"/>
          </reference>
          <reference field="4" count="1" selected="0">
            <x v="103"/>
          </reference>
        </references>
      </pivotArea>
    </chartFormat>
    <chartFormat chart="0" format="199">
      <pivotArea type="data" outline="0" fieldPosition="0">
        <references count="2">
          <reference field="4294967294" count="1" selected="0">
            <x v="0"/>
          </reference>
          <reference field="4" count="1" selected="0">
            <x v="104"/>
          </reference>
        </references>
      </pivotArea>
    </chartFormat>
    <chartFormat chart="0" format="200">
      <pivotArea type="data" outline="0" fieldPosition="0">
        <references count="2">
          <reference field="4294967294" count="1" selected="0">
            <x v="0"/>
          </reference>
          <reference field="4" count="1" selected="0">
            <x v="105"/>
          </reference>
        </references>
      </pivotArea>
    </chartFormat>
    <chartFormat chart="0" format="201">
      <pivotArea type="data" outline="0" fieldPosition="0">
        <references count="2">
          <reference field="4294967294" count="1" selected="0">
            <x v="0"/>
          </reference>
          <reference field="4" count="1" selected="0">
            <x v="106"/>
          </reference>
        </references>
      </pivotArea>
    </chartFormat>
    <chartFormat chart="0" format="202">
      <pivotArea type="data" outline="0" fieldPosition="0">
        <references count="2">
          <reference field="4294967294" count="1" selected="0">
            <x v="0"/>
          </reference>
          <reference field="4" count="1" selected="0">
            <x v="107"/>
          </reference>
        </references>
      </pivotArea>
    </chartFormat>
    <chartFormat chart="0" format="203">
      <pivotArea type="data" outline="0" fieldPosition="0">
        <references count="2">
          <reference field="4294967294" count="1" selected="0">
            <x v="0"/>
          </reference>
          <reference field="4" count="1" selected="0">
            <x v="108"/>
          </reference>
        </references>
      </pivotArea>
    </chartFormat>
    <chartFormat chart="0" format="204">
      <pivotArea type="data" outline="0" fieldPosition="0">
        <references count="2">
          <reference field="4294967294" count="1" selected="0">
            <x v="0"/>
          </reference>
          <reference field="4" count="1" selected="0">
            <x v="109"/>
          </reference>
        </references>
      </pivotArea>
    </chartFormat>
    <chartFormat chart="0" format="205">
      <pivotArea type="data" outline="0" fieldPosition="0">
        <references count="2">
          <reference field="4294967294" count="1" selected="0">
            <x v="0"/>
          </reference>
          <reference field="4" count="1" selected="0">
            <x v="110"/>
          </reference>
        </references>
      </pivotArea>
    </chartFormat>
    <chartFormat chart="0" format="206">
      <pivotArea type="data" outline="0" fieldPosition="0">
        <references count="2">
          <reference field="4294967294" count="1" selected="0">
            <x v="0"/>
          </reference>
          <reference field="4" count="1" selected="0">
            <x v="111"/>
          </reference>
        </references>
      </pivotArea>
    </chartFormat>
    <chartFormat chart="0" format="207">
      <pivotArea type="data" outline="0" fieldPosition="0">
        <references count="2">
          <reference field="4294967294" count="1" selected="0">
            <x v="0"/>
          </reference>
          <reference field="4" count="1" selected="0">
            <x v="112"/>
          </reference>
        </references>
      </pivotArea>
    </chartFormat>
    <chartFormat chart="0" format="208">
      <pivotArea type="data" outline="0" fieldPosition="0">
        <references count="2">
          <reference field="4294967294" count="1" selected="0">
            <x v="0"/>
          </reference>
          <reference field="4" count="1" selected="0">
            <x v="113"/>
          </reference>
        </references>
      </pivotArea>
    </chartFormat>
    <chartFormat chart="0" format="209">
      <pivotArea type="data" outline="0" fieldPosition="0">
        <references count="2">
          <reference field="4294967294" count="1" selected="0">
            <x v="0"/>
          </reference>
          <reference field="4" count="1" selected="0">
            <x v="114"/>
          </reference>
        </references>
      </pivotArea>
    </chartFormat>
    <chartFormat chart="0" format="210">
      <pivotArea type="data" outline="0" fieldPosition="0">
        <references count="2">
          <reference field="4294967294" count="1" selected="0">
            <x v="0"/>
          </reference>
          <reference field="4" count="1" selected="0">
            <x v="115"/>
          </reference>
        </references>
      </pivotArea>
    </chartFormat>
    <chartFormat chart="0" format="211">
      <pivotArea type="data" outline="0" fieldPosition="0">
        <references count="2">
          <reference field="4294967294" count="1" selected="0">
            <x v="0"/>
          </reference>
          <reference field="4" count="1" selected="0">
            <x v="116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6" type="dateBetween" evalOrder="-1" id="46" name="Date (Pacific)">
      <autoFilter ref="A1">
        <filterColumn colId="0">
          <customFilters and="1">
            <customFilter operator="greaterThanOrEqual" val="46054"/>
            <customFilter operator="lessThanOrEqual" val="46112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0E8AD412-A4EA-8442-8C11-CF751446259D}" autoFormatId="16" applyNumberFormats="0" applyBorderFormats="0" applyFontFormats="0" applyPatternFormats="0" applyAlignmentFormats="0" applyWidthHeightFormats="0">
  <queryTableRefresh nextId="10">
    <queryTableFields count="9">
      <queryTableField id="1" name="Search ID" tableColumnId="1"/>
      <queryTableField id="2" name="User ID" tableColumnId="2"/>
      <queryTableField id="3" name="Search Date (UTC/Zulu)" tableColumnId="3"/>
      <queryTableField id="4" name="Network Count" tableColumnId="4"/>
      <queryTableField id="5" name="Reason" tableColumnId="5"/>
      <queryTableField id="6" name="Search Date (Pacific)" tableColumnId="6"/>
      <queryTableField id="7" name="Date (Pacific)" tableColumnId="7"/>
      <queryTableField id="8" name="Day of Week" tableColumnId="8"/>
      <queryTableField id="9" name="Hour (Pacific)" tableColumnId="9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77752DCC-3BD7-EC4A-AE64-A775AA23DB99}" autoFormatId="16" applyNumberFormats="0" applyBorderFormats="0" applyFontFormats="0" applyPatternFormats="0" applyAlignmentFormats="0" applyWidthHeightFormats="0">
  <queryTableRefresh nextId="11">
    <queryTableFields count="10">
      <queryTableField id="1" name="Run Date/Time" tableColumnId="1"/>
      <queryTableField id="2" name="Rows Before" tableColumnId="2"/>
      <queryTableField id="3" name="Rows After" tableColumnId="3"/>
      <queryTableField id="4" name="New Rows" tableColumnId="4"/>
      <queryTableField id="5" name="New Rows Date Min" tableColumnId="5"/>
      <queryTableField id="6" name="New Rows Date Max" tableColumnId="6"/>
      <queryTableField id="7" name="Blank Reason #" tableColumnId="7"/>
      <queryTableField id="8" name="Blank Reason %" tableColumnId="8"/>
      <queryTableField id="9" name="Backdated Entries" tableColumnId="9"/>
      <queryTableField id="10" name="Backdated Detail" tableColumnId="10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C796341-236E-9446-B972-E05428A0FA8A}" name="search_audit" displayName="search_audit" ref="A1:I1120" tableType="queryTable" totalsRowShown="0">
  <autoFilter ref="A1:I1120" xr:uid="{FC796341-236E-9446-B972-E05428A0FA8A}"/>
  <sortState xmlns:xlrd2="http://schemas.microsoft.com/office/spreadsheetml/2017/richdata2" ref="A2:I1120">
    <sortCondition ref="C1:C1120"/>
  </sortState>
  <tableColumns count="9">
    <tableColumn id="1" xr3:uid="{A0B180BD-E1E4-8548-AD8D-50C3FC37FA3E}" uniqueName="1" name="Search ID" queryTableFieldId="1" dataDxfId="8"/>
    <tableColumn id="2" xr3:uid="{E7AF0C98-A917-C847-88A1-1578BD923E71}" uniqueName="2" name="User ID" queryTableFieldId="2" dataDxfId="7"/>
    <tableColumn id="3" xr3:uid="{DF29F0DD-76C6-D145-92DB-9CD004242E0F}" uniqueName="3" name="Search Date (UTC/Zulu)" queryTableFieldId="3" dataDxfId="6"/>
    <tableColumn id="4" xr3:uid="{1462AA60-65DB-9A44-8631-D5E03BA03718}" uniqueName="4" name="Network Count" queryTableFieldId="4"/>
    <tableColumn id="5" xr3:uid="{174355B0-57C7-284E-BE8A-FE49E8A1C044}" uniqueName="5" name="Reason" queryTableFieldId="5" dataDxfId="5"/>
    <tableColumn id="6" xr3:uid="{C1654857-0C58-2A4D-B2A8-E85B47DF57EC}" uniqueName="6" name="Search Date (Pacific)" queryTableFieldId="6" dataDxfId="4"/>
    <tableColumn id="7" xr3:uid="{2D9B0520-CDAE-704C-9658-B3E5C8EEBBE9}" uniqueName="7" name="Date (Pacific)" queryTableFieldId="7" dataDxfId="3"/>
    <tableColumn id="8" xr3:uid="{95CB1649-B3FF-9245-B5E5-6A290B9FB2D1}" uniqueName="8" name="Day of Week" queryTableFieldId="8"/>
    <tableColumn id="9" xr3:uid="{FC165071-3AB0-C043-A322-52096369D7C0}" uniqueName="9" name="Hour (Pacific)" queryTableFieldId="9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E3F2753-E2F7-744F-BD3D-71BBE1A83250}" name="flock_run_log" displayName="flock_run_log" ref="A1:J93" tableType="queryTable" totalsRowShown="0">
  <autoFilter ref="A1:J93" xr:uid="{CE3F2753-E2F7-744F-BD3D-71BBE1A83250}"/>
  <tableColumns count="10">
    <tableColumn id="1" xr3:uid="{8035F3D7-5496-E142-B43E-CC21EE39FCA4}" uniqueName="1" name="Run Date/Time" queryTableFieldId="1" dataDxfId="2"/>
    <tableColumn id="2" xr3:uid="{499AFA38-6840-DA44-B229-42131DFF5375}" uniqueName="2" name="Rows Before" queryTableFieldId="2"/>
    <tableColumn id="3" xr3:uid="{8FF9D328-6569-4342-BE76-6BE49EC24C1E}" uniqueName="3" name="Rows After" queryTableFieldId="3"/>
    <tableColumn id="4" xr3:uid="{FD7BA2F2-936A-0C48-9902-9F20E2517A1B}" uniqueName="4" name="New Rows" queryTableFieldId="4"/>
    <tableColumn id="5" xr3:uid="{BA691F41-D1F3-6247-8A8B-8B163FB056DA}" uniqueName="5" name="New Rows Date Min" queryTableFieldId="5" dataDxfId="1"/>
    <tableColumn id="6" xr3:uid="{09061F2A-26E7-B24B-B005-C71CDA62C75B}" uniqueName="6" name="New Rows Date Max" queryTableFieldId="6" dataDxfId="0"/>
    <tableColumn id="7" xr3:uid="{AEF051D3-83FC-414F-B33E-90B70D4DF512}" uniqueName="7" name="Blank Reason #" queryTableFieldId="7"/>
    <tableColumn id="8" xr3:uid="{9B7314E8-52DA-9346-B700-41B9F1E307C1}" uniqueName="8" name="Blank Reason %" queryTableFieldId="8"/>
    <tableColumn id="9" xr3:uid="{15D9AD29-D561-EE4E-B798-B787B763C7F8}" uniqueName="9" name="Backdated Entries" queryTableFieldId="9"/>
    <tableColumn id="10" xr3:uid="{45345661-FD6E-2446-B1F0-4EAE6F317DBA}" uniqueName="10" name="Backdated Detail" queryTableFieldId="1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Date__Pacific" xr10:uid="{E1B3C79E-EFD6-7D4B-977C-CE9D7A19EE20}" sourceName="Date (Pacific)">
  <pivotTables>
    <pivotTable tabId="8" name="PivotTable1"/>
  </pivotTables>
  <state minimalRefreshVersion="6" lastRefreshVersion="6" pivotCacheId="1882895124" filterType="dateBetween">
    <selection startDate="2026-02-01T00:00:00" endDate="2026-03-31T00:00:00"/>
    <bounds startDate="2026-01-01T00:00:00" endDate="2027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ate (Pacific)" xr10:uid="{75CFAF78-A7BF-734E-93E5-6ED55AB7433E}" cache="NativeTimeline_Date__Pacific" caption="Date (Pacific)" level="2" selectionLevel="2" scrollPosition="2026-01-01T00:00:00"/>
</timeline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5A173DDE-00A2-ED4A-A9FF-E42255C9A4DB}">
  <we:reference id="wa200009404" version="1.0.0.8" store="en-US" storeType="OMEX"/>
  <we:alternateReferences>
    <we:reference id="WA200009404" version="1.0.0.8" store="" storeType="OMEX"/>
  </we:alternateReferences>
  <we:properties>
    <we:property name="Office.AutoShowTaskpaneWithDocument" value="true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1/relationships/timeline" Target="../timelines/timeline1.xml"/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723865-DFA9-4743-90E6-AAE3B9818DB6}">
  <dimension ref="A1:D28"/>
  <sheetViews>
    <sheetView tabSelected="1" workbookViewId="0">
      <selection activeCell="A29" sqref="A29"/>
    </sheetView>
  </sheetViews>
  <sheetFormatPr baseColWidth="10" defaultRowHeight="15" x14ac:dyDescent="0.2"/>
  <cols>
    <col min="1" max="1" width="11.33203125" bestFit="1" customWidth="1"/>
    <col min="2" max="2" width="9.6640625" bestFit="1" customWidth="1"/>
    <col min="3" max="3" width="11.1640625" bestFit="1" customWidth="1"/>
    <col min="4" max="4" width="7" bestFit="1" customWidth="1"/>
  </cols>
  <sheetData>
    <row r="1" spans="1:4" x14ac:dyDescent="0.2">
      <c r="A1" s="9" t="s">
        <v>6</v>
      </c>
      <c r="B1" s="9" t="s">
        <v>1013</v>
      </c>
      <c r="C1" s="9" t="s">
        <v>1014</v>
      </c>
      <c r="D1" s="9" t="s">
        <v>1015</v>
      </c>
    </row>
    <row r="2" spans="1:4" x14ac:dyDescent="0.2">
      <c r="A2" s="11" t="s">
        <v>1017</v>
      </c>
      <c r="B2">
        <f>COUNTIFS('Search Audit'!I:I,1,'Search Audit'!E:E,"&lt;&gt;")</f>
        <v>33</v>
      </c>
      <c r="C2">
        <f>COUNTIFS('Search Audit'!I:I,1,'Search Audit'!E:E,"")</f>
        <v>40</v>
      </c>
      <c r="D2" s="10">
        <f t="shared" ref="D2:D25" si="0">IF((B2+C2)=0,0,C2/(B2+C2))</f>
        <v>0.54794520547945202</v>
      </c>
    </row>
    <row r="3" spans="1:4" x14ac:dyDescent="0.2">
      <c r="A3" s="11" t="s">
        <v>1029</v>
      </c>
      <c r="B3">
        <f>COUNTIFS('Search Audit'!I:I,13,'Search Audit'!E:E,"&lt;&gt;")</f>
        <v>19</v>
      </c>
      <c r="C3">
        <f>COUNTIFS('Search Audit'!I:I,13,'Search Audit'!E:E,"")</f>
        <v>17</v>
      </c>
      <c r="D3" s="10">
        <f t="shared" si="0"/>
        <v>0.47222222222222221</v>
      </c>
    </row>
    <row r="4" spans="1:4" x14ac:dyDescent="0.2">
      <c r="A4" s="11" t="s">
        <v>1026</v>
      </c>
      <c r="B4">
        <f>COUNTIFS('Search Audit'!I:I,10,'Search Audit'!E:E,"&lt;&gt;")</f>
        <v>30</v>
      </c>
      <c r="C4">
        <f>COUNTIFS('Search Audit'!I:I,10,'Search Audit'!E:E,"")</f>
        <v>36</v>
      </c>
      <c r="D4" s="10">
        <f t="shared" si="0"/>
        <v>0.54545454545454541</v>
      </c>
    </row>
    <row r="5" spans="1:4" x14ac:dyDescent="0.2">
      <c r="A5" s="11" t="s">
        <v>1038</v>
      </c>
      <c r="B5">
        <f>COUNTIFS('Search Audit'!I:I,22,'Search Audit'!E:E,"&lt;&gt;")</f>
        <v>4</v>
      </c>
      <c r="C5">
        <f>COUNTIFS('Search Audit'!I:I,22,'Search Audit'!E:E,"")</f>
        <v>6</v>
      </c>
      <c r="D5" s="10">
        <f t="shared" si="0"/>
        <v>0.6</v>
      </c>
    </row>
    <row r="6" spans="1:4" x14ac:dyDescent="0.2">
      <c r="A6" s="11" t="s">
        <v>1027</v>
      </c>
      <c r="B6">
        <f>COUNTIFS('Search Audit'!I:I,11,'Search Audit'!E:E,"&lt;&gt;")</f>
        <v>20</v>
      </c>
      <c r="C6">
        <f>COUNTIFS('Search Audit'!I:I,11,'Search Audit'!E:E,"")</f>
        <v>14</v>
      </c>
      <c r="D6" s="10">
        <f t="shared" si="0"/>
        <v>0.41176470588235292</v>
      </c>
    </row>
    <row r="7" spans="1:4" x14ac:dyDescent="0.2">
      <c r="A7" s="11" t="s">
        <v>1039</v>
      </c>
      <c r="B7">
        <f>COUNTIFS('Search Audit'!I:I,23,'Search Audit'!E:E,"&lt;&gt;")</f>
        <v>5</v>
      </c>
      <c r="C7">
        <f>COUNTIFS('Search Audit'!I:I,23,'Search Audit'!E:E,"")</f>
        <v>20</v>
      </c>
      <c r="D7" s="10">
        <f t="shared" si="0"/>
        <v>0.8</v>
      </c>
    </row>
    <row r="8" spans="1:4" x14ac:dyDescent="0.2">
      <c r="A8" s="11" t="s">
        <v>1016</v>
      </c>
      <c r="B8">
        <f>COUNTIFS('Search Audit'!I:I,0,'Search Audit'!E:E,"&lt;&gt;")</f>
        <v>18</v>
      </c>
      <c r="C8">
        <f>COUNTIFS('Search Audit'!I:I,0,'Search Audit'!E:E,"")</f>
        <v>30</v>
      </c>
      <c r="D8" s="10">
        <f t="shared" si="0"/>
        <v>0.625</v>
      </c>
    </row>
    <row r="9" spans="1:4" x14ac:dyDescent="0.2">
      <c r="A9" s="11" t="s">
        <v>1028</v>
      </c>
      <c r="B9">
        <f>COUNTIFS('Search Audit'!I:I,12,'Search Audit'!E:E,"&lt;&gt;")</f>
        <v>21</v>
      </c>
      <c r="C9">
        <f>COUNTIFS('Search Audit'!I:I,12,'Search Audit'!E:E,"")</f>
        <v>25</v>
      </c>
      <c r="D9" s="10">
        <f t="shared" si="0"/>
        <v>0.54347826086956519</v>
      </c>
    </row>
    <row r="10" spans="1:4" x14ac:dyDescent="0.2">
      <c r="A10" s="11" t="s">
        <v>1018</v>
      </c>
      <c r="B10">
        <f>COUNTIFS('Search Audit'!I:I,2,'Search Audit'!E:E,"&lt;&gt;")</f>
        <v>37</v>
      </c>
      <c r="C10">
        <f>COUNTIFS('Search Audit'!I:I,2,'Search Audit'!E:E,"")</f>
        <v>42</v>
      </c>
      <c r="D10" s="10">
        <f t="shared" si="0"/>
        <v>0.53164556962025311</v>
      </c>
    </row>
    <row r="11" spans="1:4" x14ac:dyDescent="0.2">
      <c r="A11" s="11" t="s">
        <v>1030</v>
      </c>
      <c r="B11">
        <f>COUNTIFS('Search Audit'!I:I,14,'Search Audit'!E:E,"&lt;&gt;")</f>
        <v>16</v>
      </c>
      <c r="C11">
        <f>COUNTIFS('Search Audit'!I:I,14,'Search Audit'!E:E,"")</f>
        <v>20</v>
      </c>
      <c r="D11" s="10">
        <f t="shared" si="0"/>
        <v>0.55555555555555558</v>
      </c>
    </row>
    <row r="12" spans="1:4" x14ac:dyDescent="0.2">
      <c r="A12" s="11" t="s">
        <v>1019</v>
      </c>
      <c r="B12">
        <f>COUNTIFS('Search Audit'!I:I,3,'Search Audit'!E:E,"&lt;&gt;")</f>
        <v>42</v>
      </c>
      <c r="C12">
        <f>COUNTIFS('Search Audit'!I:I,3,'Search Audit'!E:E,"")</f>
        <v>52</v>
      </c>
      <c r="D12" s="10">
        <f t="shared" si="0"/>
        <v>0.55319148936170215</v>
      </c>
    </row>
    <row r="13" spans="1:4" x14ac:dyDescent="0.2">
      <c r="A13" s="11" t="s">
        <v>1031</v>
      </c>
      <c r="B13">
        <f>COUNTIFS('Search Audit'!I:I,15,'Search Audit'!E:E,"&lt;&gt;")</f>
        <v>20</v>
      </c>
      <c r="C13">
        <f>COUNTIFS('Search Audit'!I:I,15,'Search Audit'!E:E,"")</f>
        <v>21</v>
      </c>
      <c r="D13" s="10">
        <f t="shared" si="0"/>
        <v>0.51219512195121952</v>
      </c>
    </row>
    <row r="14" spans="1:4" x14ac:dyDescent="0.2">
      <c r="A14" s="11" t="s">
        <v>1020</v>
      </c>
      <c r="B14">
        <f>COUNTIFS('Search Audit'!I:I,4,'Search Audit'!E:E,"&lt;&gt;")</f>
        <v>37</v>
      </c>
      <c r="C14">
        <f>COUNTIFS('Search Audit'!I:I,4,'Search Audit'!E:E,"")</f>
        <v>45</v>
      </c>
      <c r="D14" s="10">
        <f t="shared" si="0"/>
        <v>0.54878048780487809</v>
      </c>
    </row>
    <row r="15" spans="1:4" x14ac:dyDescent="0.2">
      <c r="A15" s="11" t="s">
        <v>1032</v>
      </c>
      <c r="B15">
        <f>COUNTIFS('Search Audit'!I:I,16,'Search Audit'!E:E,"&lt;&gt;")</f>
        <v>9</v>
      </c>
      <c r="C15">
        <f>COUNTIFS('Search Audit'!I:I,16,'Search Audit'!E:E,"")</f>
        <v>14</v>
      </c>
      <c r="D15" s="10">
        <f t="shared" si="0"/>
        <v>0.60869565217391308</v>
      </c>
    </row>
    <row r="16" spans="1:4" x14ac:dyDescent="0.2">
      <c r="A16" s="11" t="s">
        <v>1021</v>
      </c>
      <c r="B16">
        <f>COUNTIFS('Search Audit'!I:I,5,'Search Audit'!E:E,"&lt;&gt;")</f>
        <v>32</v>
      </c>
      <c r="C16">
        <f>COUNTIFS('Search Audit'!I:I,5,'Search Audit'!E:E,"")</f>
        <v>46</v>
      </c>
      <c r="D16" s="10">
        <f t="shared" si="0"/>
        <v>0.58974358974358976</v>
      </c>
    </row>
    <row r="17" spans="1:4" x14ac:dyDescent="0.2">
      <c r="A17" s="11" t="s">
        <v>1033</v>
      </c>
      <c r="B17">
        <f>COUNTIFS('Search Audit'!I:I,17,'Search Audit'!E:E,"&lt;&gt;")</f>
        <v>10</v>
      </c>
      <c r="C17">
        <f>COUNTIFS('Search Audit'!I:I,17,'Search Audit'!E:E,"")</f>
        <v>9</v>
      </c>
      <c r="D17" s="10">
        <f t="shared" si="0"/>
        <v>0.47368421052631576</v>
      </c>
    </row>
    <row r="18" spans="1:4" x14ac:dyDescent="0.2">
      <c r="A18" s="11" t="s">
        <v>1022</v>
      </c>
      <c r="B18">
        <f>COUNTIFS('Search Audit'!I:I,6,'Search Audit'!E:E,"&lt;&gt;")</f>
        <v>30</v>
      </c>
      <c r="C18">
        <f>COUNTIFS('Search Audit'!I:I,6,'Search Audit'!E:E,"")</f>
        <v>40</v>
      </c>
      <c r="D18" s="10">
        <f t="shared" si="0"/>
        <v>0.5714285714285714</v>
      </c>
    </row>
    <row r="19" spans="1:4" x14ac:dyDescent="0.2">
      <c r="A19" s="11" t="s">
        <v>1034</v>
      </c>
      <c r="B19">
        <f>COUNTIFS('Search Audit'!I:I,18,'Search Audit'!E:E,"&lt;&gt;")</f>
        <v>9</v>
      </c>
      <c r="C19">
        <f>COUNTIFS('Search Audit'!I:I,18,'Search Audit'!E:E,"")</f>
        <v>6</v>
      </c>
      <c r="D19" s="10">
        <f t="shared" si="0"/>
        <v>0.4</v>
      </c>
    </row>
    <row r="20" spans="1:4" x14ac:dyDescent="0.2">
      <c r="A20" s="11" t="s">
        <v>1023</v>
      </c>
      <c r="B20">
        <f>COUNTIFS('Search Audit'!I:I,7,'Search Audit'!E:E,"&lt;&gt;")</f>
        <v>38</v>
      </c>
      <c r="C20">
        <f>COUNTIFS('Search Audit'!I:I,7,'Search Audit'!E:E,"")</f>
        <v>40</v>
      </c>
      <c r="D20" s="10">
        <f t="shared" si="0"/>
        <v>0.51282051282051277</v>
      </c>
    </row>
    <row r="21" spans="1:4" x14ac:dyDescent="0.2">
      <c r="A21" s="11" t="s">
        <v>1035</v>
      </c>
      <c r="B21">
        <f>COUNTIFS('Search Audit'!I:I,19,'Search Audit'!E:E,"&lt;&gt;")</f>
        <v>7</v>
      </c>
      <c r="C21">
        <f>COUNTIFS('Search Audit'!I:I,19,'Search Audit'!E:E,"")</f>
        <v>8</v>
      </c>
      <c r="D21" s="10">
        <f t="shared" si="0"/>
        <v>0.53333333333333333</v>
      </c>
    </row>
    <row r="22" spans="1:4" x14ac:dyDescent="0.2">
      <c r="A22" s="11" t="s">
        <v>1024</v>
      </c>
      <c r="B22">
        <f>COUNTIFS('Search Audit'!I:I,8,'Search Audit'!E:E,"&lt;&gt;")</f>
        <v>36</v>
      </c>
      <c r="C22">
        <f>COUNTIFS('Search Audit'!I:I,8,'Search Audit'!E:E,"")</f>
        <v>36</v>
      </c>
      <c r="D22" s="10">
        <f t="shared" si="0"/>
        <v>0.5</v>
      </c>
    </row>
    <row r="23" spans="1:4" x14ac:dyDescent="0.2">
      <c r="A23" s="11" t="s">
        <v>1036</v>
      </c>
      <c r="B23">
        <f>COUNTIFS('Search Audit'!I:I,20,'Search Audit'!E:E,"&lt;&gt;")</f>
        <v>3</v>
      </c>
      <c r="C23">
        <f>COUNTIFS('Search Audit'!I:I,20,'Search Audit'!E:E,"")</f>
        <v>8</v>
      </c>
      <c r="D23" s="10">
        <f t="shared" si="0"/>
        <v>0.72727272727272729</v>
      </c>
    </row>
    <row r="24" spans="1:4" x14ac:dyDescent="0.2">
      <c r="A24" s="11" t="s">
        <v>1025</v>
      </c>
      <c r="B24">
        <f>COUNTIFS('Search Audit'!I:I,9,'Search Audit'!E:E,"&lt;&gt;")</f>
        <v>27</v>
      </c>
      <c r="C24">
        <f>COUNTIFS('Search Audit'!I:I,9,'Search Audit'!E:E,"")</f>
        <v>30</v>
      </c>
      <c r="D24" s="10">
        <f t="shared" si="0"/>
        <v>0.52631578947368418</v>
      </c>
    </row>
    <row r="25" spans="1:4" x14ac:dyDescent="0.2">
      <c r="A25" s="11" t="s">
        <v>1037</v>
      </c>
      <c r="B25">
        <f>COUNTIFS('Search Audit'!I:I,21,'Search Audit'!E:E,"&lt;&gt;")</f>
        <v>3</v>
      </c>
      <c r="C25">
        <f>COUNTIFS('Search Audit'!I:I,21,'Search Audit'!E:E,"")</f>
        <v>8</v>
      </c>
      <c r="D25" s="10">
        <f t="shared" si="0"/>
        <v>0.72727272727272729</v>
      </c>
    </row>
    <row r="28" spans="1:4" x14ac:dyDescent="0.2">
      <c r="A28" s="8" t="s">
        <v>752</v>
      </c>
      <c r="B28">
        <f>SUM(B2:C25)</f>
        <v>1119</v>
      </c>
    </row>
  </sheetData>
  <autoFilter ref="A1:D25" xr:uid="{53723865-DFA9-4743-90E6-AAE3B9818DB6}">
    <sortState xmlns:xlrd2="http://schemas.microsoft.com/office/spreadsheetml/2017/richdata2" ref="A2:D25">
      <sortCondition ref="A1:A25"/>
    </sortState>
  </autoFilter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D8829A-76AB-274C-B505-D78542196E45}">
  <dimension ref="A3:B121"/>
  <sheetViews>
    <sheetView workbookViewId="0">
      <selection activeCell="C53" sqref="C53"/>
    </sheetView>
  </sheetViews>
  <sheetFormatPr baseColWidth="10" defaultRowHeight="15" x14ac:dyDescent="0.2"/>
  <cols>
    <col min="1" max="1" width="44.1640625" bestFit="1" customWidth="1"/>
    <col min="2" max="2" width="15.1640625" bestFit="1" customWidth="1"/>
    <col min="3" max="3" width="34.5" bestFit="1" customWidth="1"/>
    <col min="4" max="5" width="33.5" bestFit="1" customWidth="1"/>
    <col min="6" max="6" width="34" bestFit="1" customWidth="1"/>
    <col min="7" max="7" width="35.6640625" bestFit="1" customWidth="1"/>
    <col min="8" max="8" width="34.33203125" bestFit="1" customWidth="1"/>
    <col min="9" max="9" width="34.83203125" bestFit="1" customWidth="1"/>
    <col min="10" max="10" width="33.33203125" bestFit="1" customWidth="1"/>
    <col min="11" max="11" width="35.1640625" bestFit="1" customWidth="1"/>
    <col min="12" max="12" width="34.5" bestFit="1" customWidth="1"/>
    <col min="13" max="13" width="34.1640625" bestFit="1" customWidth="1"/>
    <col min="14" max="14" width="33.6640625" bestFit="1" customWidth="1"/>
    <col min="15" max="15" width="34.5" bestFit="1" customWidth="1"/>
    <col min="16" max="16" width="35.33203125" bestFit="1" customWidth="1"/>
    <col min="17" max="17" width="34.6640625" bestFit="1" customWidth="1"/>
    <col min="18" max="19" width="34.33203125" bestFit="1" customWidth="1"/>
    <col min="20" max="20" width="33.6640625" bestFit="1" customWidth="1"/>
    <col min="21" max="21" width="35.33203125" bestFit="1" customWidth="1"/>
    <col min="22" max="22" width="33.6640625" bestFit="1" customWidth="1"/>
    <col min="23" max="23" width="34.83203125" bestFit="1" customWidth="1"/>
    <col min="24" max="24" width="34.1640625" bestFit="1" customWidth="1"/>
    <col min="25" max="25" width="34.6640625" bestFit="1" customWidth="1"/>
    <col min="26" max="26" width="34.1640625" bestFit="1" customWidth="1"/>
    <col min="27" max="27" width="34.33203125" bestFit="1" customWidth="1"/>
    <col min="28" max="28" width="35.33203125" bestFit="1" customWidth="1"/>
    <col min="29" max="29" width="35.1640625" bestFit="1" customWidth="1"/>
    <col min="30" max="30" width="34.1640625" bestFit="1" customWidth="1"/>
    <col min="31" max="31" width="33.5" bestFit="1" customWidth="1"/>
    <col min="32" max="32" width="34" bestFit="1" customWidth="1"/>
    <col min="33" max="33" width="34.33203125" bestFit="1" customWidth="1"/>
    <col min="34" max="34" width="34.83203125" bestFit="1" customWidth="1"/>
    <col min="35" max="35" width="34.1640625" bestFit="1" customWidth="1"/>
    <col min="36" max="36" width="34.5" bestFit="1" customWidth="1"/>
    <col min="37" max="37" width="33.1640625" bestFit="1" customWidth="1"/>
    <col min="38" max="38" width="34.83203125" bestFit="1" customWidth="1"/>
    <col min="39" max="39" width="35" bestFit="1" customWidth="1"/>
    <col min="40" max="40" width="34" bestFit="1" customWidth="1"/>
    <col min="41" max="41" width="33.6640625" bestFit="1" customWidth="1"/>
    <col min="42" max="42" width="34.1640625" bestFit="1" customWidth="1"/>
    <col min="43" max="43" width="34.6640625" bestFit="1" customWidth="1"/>
    <col min="44" max="44" width="33.6640625" bestFit="1" customWidth="1"/>
    <col min="45" max="45" width="34" bestFit="1" customWidth="1"/>
    <col min="46" max="46" width="34.1640625" bestFit="1" customWidth="1"/>
    <col min="47" max="47" width="35" bestFit="1" customWidth="1"/>
    <col min="48" max="48" width="35.1640625" bestFit="1" customWidth="1"/>
    <col min="49" max="49" width="35" bestFit="1" customWidth="1"/>
    <col min="50" max="50" width="34.83203125" bestFit="1" customWidth="1"/>
    <col min="51" max="51" width="32.5" bestFit="1" customWidth="1"/>
    <col min="52" max="52" width="33.83203125" bestFit="1" customWidth="1"/>
    <col min="53" max="53" width="34" bestFit="1" customWidth="1"/>
    <col min="54" max="54" width="34.5" bestFit="1" customWidth="1"/>
    <col min="55" max="55" width="34.1640625" bestFit="1" customWidth="1"/>
    <col min="56" max="56" width="33.83203125" bestFit="1" customWidth="1"/>
    <col min="57" max="57" width="34.5" bestFit="1" customWidth="1"/>
    <col min="58" max="58" width="32.5" bestFit="1" customWidth="1"/>
    <col min="59" max="59" width="33.83203125" bestFit="1" customWidth="1"/>
    <col min="60" max="60" width="33.6640625" bestFit="1" customWidth="1"/>
    <col min="61" max="61" width="34.6640625" bestFit="1" customWidth="1"/>
    <col min="62" max="62" width="33.83203125" bestFit="1" customWidth="1"/>
    <col min="63" max="63" width="34.5" bestFit="1" customWidth="1"/>
    <col min="64" max="64" width="34.33203125" bestFit="1" customWidth="1"/>
    <col min="65" max="65" width="33.83203125" bestFit="1" customWidth="1"/>
    <col min="66" max="66" width="34.5" bestFit="1" customWidth="1"/>
    <col min="67" max="67" width="34.83203125" bestFit="1" customWidth="1"/>
    <col min="68" max="68" width="34" bestFit="1" customWidth="1"/>
    <col min="69" max="69" width="33.5" bestFit="1" customWidth="1"/>
    <col min="70" max="70" width="34.1640625" bestFit="1" customWidth="1"/>
    <col min="71" max="71" width="35.1640625" bestFit="1" customWidth="1"/>
    <col min="72" max="72" width="34.6640625" bestFit="1" customWidth="1"/>
    <col min="73" max="73" width="34.1640625" bestFit="1" customWidth="1"/>
    <col min="74" max="74" width="33.83203125" bestFit="1" customWidth="1"/>
    <col min="75" max="75" width="34.1640625" bestFit="1" customWidth="1"/>
    <col min="76" max="78" width="35" bestFit="1" customWidth="1"/>
    <col min="79" max="79" width="35.1640625" bestFit="1" customWidth="1"/>
    <col min="80" max="80" width="34" bestFit="1" customWidth="1"/>
    <col min="81" max="81" width="35.33203125" bestFit="1" customWidth="1"/>
    <col min="82" max="82" width="34" bestFit="1" customWidth="1"/>
    <col min="83" max="83" width="33.83203125" bestFit="1" customWidth="1"/>
    <col min="84" max="84" width="34.83203125" bestFit="1" customWidth="1"/>
    <col min="85" max="85" width="33.83203125" bestFit="1" customWidth="1"/>
    <col min="86" max="86" width="33.5" bestFit="1" customWidth="1"/>
    <col min="87" max="88" width="35.33203125" bestFit="1" customWidth="1"/>
    <col min="89" max="89" width="33.83203125" bestFit="1" customWidth="1"/>
    <col min="90" max="90" width="34.1640625" bestFit="1" customWidth="1"/>
    <col min="91" max="91" width="32.83203125" bestFit="1" customWidth="1"/>
    <col min="92" max="92" width="33.6640625" bestFit="1" customWidth="1"/>
    <col min="93" max="93" width="34.6640625" bestFit="1" customWidth="1"/>
    <col min="94" max="94" width="34.1640625" bestFit="1" customWidth="1"/>
    <col min="95" max="95" width="33.5" bestFit="1" customWidth="1"/>
    <col min="96" max="96" width="34.5" bestFit="1" customWidth="1"/>
    <col min="97" max="97" width="34.33203125" bestFit="1" customWidth="1"/>
    <col min="98" max="98" width="34.83203125" bestFit="1" customWidth="1"/>
    <col min="99" max="99" width="34.1640625" bestFit="1" customWidth="1"/>
    <col min="100" max="103" width="32.6640625" bestFit="1" customWidth="1"/>
    <col min="104" max="104" width="33.83203125" bestFit="1" customWidth="1"/>
    <col min="105" max="105" width="33.33203125" bestFit="1" customWidth="1"/>
    <col min="106" max="106" width="35.33203125" bestFit="1" customWidth="1"/>
    <col min="107" max="107" width="34.33203125" bestFit="1" customWidth="1"/>
    <col min="108" max="108" width="33.5" bestFit="1" customWidth="1"/>
    <col min="109" max="109" width="34.33203125" bestFit="1" customWidth="1"/>
    <col min="110" max="110" width="34.5" bestFit="1" customWidth="1"/>
    <col min="111" max="111" width="35.6640625" bestFit="1" customWidth="1"/>
    <col min="112" max="112" width="34.83203125" bestFit="1" customWidth="1"/>
    <col min="113" max="113" width="35.5" bestFit="1" customWidth="1"/>
    <col min="114" max="114" width="34.33203125" bestFit="1" customWidth="1"/>
    <col min="115" max="115" width="34" bestFit="1" customWidth="1"/>
    <col min="116" max="117" width="34.33203125" bestFit="1" customWidth="1"/>
    <col min="118" max="118" width="34.6640625" bestFit="1" customWidth="1"/>
    <col min="119" max="119" width="34.83203125" bestFit="1" customWidth="1"/>
    <col min="120" max="120" width="34.1640625" bestFit="1" customWidth="1"/>
    <col min="121" max="121" width="34.83203125" bestFit="1" customWidth="1"/>
    <col min="122" max="122" width="34.5" bestFit="1" customWidth="1"/>
    <col min="123" max="123" width="34.33203125" bestFit="1" customWidth="1"/>
    <col min="124" max="124" width="33.33203125" bestFit="1" customWidth="1"/>
    <col min="125" max="125" width="33.1640625" bestFit="1" customWidth="1"/>
    <col min="126" max="126" width="34.33203125" bestFit="1" customWidth="1"/>
    <col min="127" max="127" width="33.6640625" bestFit="1" customWidth="1"/>
    <col min="128" max="128" width="34.33203125" bestFit="1" customWidth="1"/>
    <col min="129" max="129" width="33.6640625" bestFit="1" customWidth="1"/>
    <col min="130" max="130" width="34.6640625" bestFit="1" customWidth="1"/>
    <col min="131" max="131" width="34.33203125" bestFit="1" customWidth="1"/>
    <col min="132" max="132" width="34" bestFit="1" customWidth="1"/>
    <col min="133" max="133" width="33.33203125" bestFit="1" customWidth="1"/>
    <col min="134" max="134" width="35.5" bestFit="1" customWidth="1"/>
    <col min="135" max="135" width="33.1640625" bestFit="1" customWidth="1"/>
    <col min="136" max="136" width="34.33203125" bestFit="1" customWidth="1"/>
    <col min="137" max="137" width="34.83203125" bestFit="1" customWidth="1"/>
    <col min="138" max="138" width="32.83203125" bestFit="1" customWidth="1"/>
    <col min="139" max="139" width="33.5" bestFit="1" customWidth="1"/>
    <col min="140" max="140" width="35" bestFit="1" customWidth="1"/>
    <col min="141" max="141" width="34.1640625" bestFit="1" customWidth="1"/>
    <col min="142" max="142" width="34.83203125" bestFit="1" customWidth="1"/>
    <col min="143" max="143" width="34" bestFit="1" customWidth="1"/>
    <col min="144" max="144" width="35" bestFit="1" customWidth="1"/>
    <col min="145" max="145" width="34.83203125" bestFit="1" customWidth="1"/>
    <col min="146" max="146" width="34.1640625" bestFit="1" customWidth="1"/>
    <col min="147" max="147" width="34.33203125" bestFit="1" customWidth="1"/>
    <col min="148" max="148" width="34.5" bestFit="1" customWidth="1"/>
    <col min="149" max="149" width="34.33203125" bestFit="1" customWidth="1"/>
    <col min="150" max="151" width="35" bestFit="1" customWidth="1"/>
    <col min="152" max="152" width="34.1640625" bestFit="1" customWidth="1"/>
    <col min="153" max="153" width="34.6640625" bestFit="1" customWidth="1"/>
    <col min="154" max="154" width="33.5" bestFit="1" customWidth="1"/>
    <col min="155" max="155" width="34.33203125" bestFit="1" customWidth="1"/>
    <col min="156" max="157" width="34.6640625" bestFit="1" customWidth="1"/>
    <col min="158" max="158" width="35.33203125" bestFit="1" customWidth="1"/>
    <col min="159" max="160" width="34.5" bestFit="1" customWidth="1"/>
    <col min="161" max="161" width="34.6640625" bestFit="1" customWidth="1"/>
    <col min="162" max="162" width="35.6640625" bestFit="1" customWidth="1"/>
    <col min="163" max="163" width="34.33203125" bestFit="1" customWidth="1"/>
    <col min="164" max="164" width="34.6640625" bestFit="1" customWidth="1"/>
    <col min="165" max="165" width="33.83203125" bestFit="1" customWidth="1"/>
    <col min="166" max="166" width="34" bestFit="1" customWidth="1"/>
    <col min="167" max="167" width="34.6640625" bestFit="1" customWidth="1"/>
    <col min="168" max="168" width="32.6640625" bestFit="1" customWidth="1"/>
    <col min="169" max="169" width="34.1640625" bestFit="1" customWidth="1"/>
    <col min="170" max="170" width="35" bestFit="1" customWidth="1"/>
    <col min="171" max="171" width="33.33203125" bestFit="1" customWidth="1"/>
    <col min="172" max="172" width="34.33203125" bestFit="1" customWidth="1"/>
    <col min="173" max="173" width="33.1640625" bestFit="1" customWidth="1"/>
    <col min="174" max="174" width="34.5" bestFit="1" customWidth="1"/>
    <col min="175" max="175" width="34" bestFit="1" customWidth="1"/>
    <col min="176" max="176" width="33.5" bestFit="1" customWidth="1"/>
    <col min="177" max="177" width="34.83203125" bestFit="1" customWidth="1"/>
    <col min="178" max="178" width="33.83203125" bestFit="1" customWidth="1"/>
    <col min="179" max="179" width="34.33203125" bestFit="1" customWidth="1"/>
    <col min="180" max="180" width="35.1640625" bestFit="1" customWidth="1"/>
    <col min="181" max="181" width="34.1640625" bestFit="1" customWidth="1"/>
    <col min="182" max="182" width="34.5" bestFit="1" customWidth="1"/>
    <col min="183" max="183" width="34.6640625" bestFit="1" customWidth="1"/>
    <col min="184" max="184" width="35.1640625" bestFit="1" customWidth="1"/>
    <col min="185" max="185" width="34.33203125" bestFit="1" customWidth="1"/>
    <col min="186" max="186" width="33.33203125" bestFit="1" customWidth="1"/>
    <col min="187" max="188" width="34.33203125" bestFit="1" customWidth="1"/>
    <col min="189" max="189" width="35.5" bestFit="1" customWidth="1"/>
    <col min="190" max="190" width="35.1640625" bestFit="1" customWidth="1"/>
    <col min="191" max="191" width="35" bestFit="1" customWidth="1"/>
    <col min="192" max="192" width="34.33203125" bestFit="1" customWidth="1"/>
    <col min="193" max="193" width="35" bestFit="1" customWidth="1"/>
    <col min="194" max="194" width="34.83203125" bestFit="1" customWidth="1"/>
    <col min="195" max="195" width="33.5" bestFit="1" customWidth="1"/>
    <col min="196" max="196" width="35" bestFit="1" customWidth="1"/>
    <col min="197" max="197" width="34.1640625" bestFit="1" customWidth="1"/>
    <col min="198" max="198" width="32.6640625" bestFit="1" customWidth="1"/>
    <col min="199" max="199" width="33.33203125" bestFit="1" customWidth="1"/>
    <col min="200" max="200" width="35.1640625" bestFit="1" customWidth="1"/>
    <col min="201" max="201" width="34.33203125" bestFit="1" customWidth="1"/>
    <col min="202" max="203" width="34.1640625" bestFit="1" customWidth="1"/>
    <col min="204" max="204" width="35.33203125" bestFit="1" customWidth="1"/>
    <col min="205" max="205" width="34" bestFit="1" customWidth="1"/>
    <col min="206" max="206" width="33.6640625" bestFit="1" customWidth="1"/>
    <col min="207" max="207" width="33.33203125" bestFit="1" customWidth="1"/>
    <col min="208" max="208" width="33" bestFit="1" customWidth="1"/>
    <col min="209" max="209" width="34.83203125" bestFit="1" customWidth="1"/>
    <col min="210" max="210" width="35.33203125" bestFit="1" customWidth="1"/>
    <col min="211" max="211" width="33.6640625" bestFit="1" customWidth="1"/>
    <col min="212" max="212" width="34.6640625" bestFit="1" customWidth="1"/>
    <col min="213" max="213" width="32.6640625" bestFit="1" customWidth="1"/>
    <col min="214" max="214" width="34.33203125" bestFit="1" customWidth="1"/>
    <col min="215" max="215" width="34.83203125" bestFit="1" customWidth="1"/>
    <col min="216" max="216" width="34" bestFit="1" customWidth="1"/>
    <col min="217" max="217" width="35" bestFit="1" customWidth="1"/>
    <col min="218" max="218" width="34.33203125" bestFit="1" customWidth="1"/>
    <col min="219" max="219" width="32.6640625" bestFit="1" customWidth="1"/>
    <col min="220" max="220" width="33.1640625" bestFit="1" customWidth="1"/>
    <col min="221" max="221" width="34.1640625" bestFit="1" customWidth="1"/>
    <col min="222" max="222" width="34.6640625" bestFit="1" customWidth="1"/>
    <col min="223" max="223" width="33" bestFit="1" customWidth="1"/>
    <col min="224" max="224" width="35" bestFit="1" customWidth="1"/>
    <col min="225" max="225" width="35.5" bestFit="1" customWidth="1"/>
    <col min="226" max="226" width="34.83203125" bestFit="1" customWidth="1"/>
    <col min="227" max="227" width="35" bestFit="1" customWidth="1"/>
    <col min="228" max="228" width="33" bestFit="1" customWidth="1"/>
    <col min="229" max="229" width="34" bestFit="1" customWidth="1"/>
    <col min="230" max="230" width="35" bestFit="1" customWidth="1"/>
    <col min="231" max="231" width="34.83203125" bestFit="1" customWidth="1"/>
    <col min="232" max="232" width="34.33203125" bestFit="1" customWidth="1"/>
    <col min="233" max="233" width="34.83203125" bestFit="1" customWidth="1"/>
    <col min="234" max="234" width="32.5" bestFit="1" customWidth="1"/>
    <col min="235" max="235" width="35.33203125" bestFit="1" customWidth="1"/>
    <col min="236" max="236" width="35.1640625" bestFit="1" customWidth="1"/>
    <col min="237" max="237" width="33.6640625" bestFit="1" customWidth="1"/>
    <col min="238" max="238" width="32.6640625" bestFit="1" customWidth="1"/>
    <col min="239" max="239" width="34.83203125" bestFit="1" customWidth="1"/>
    <col min="240" max="240" width="33" bestFit="1" customWidth="1"/>
    <col min="241" max="241" width="34.33203125" bestFit="1" customWidth="1"/>
    <col min="242" max="242" width="35" bestFit="1" customWidth="1"/>
    <col min="243" max="243" width="34.6640625" bestFit="1" customWidth="1"/>
    <col min="244" max="244" width="34.33203125" bestFit="1" customWidth="1"/>
    <col min="245" max="245" width="33.5" bestFit="1" customWidth="1"/>
    <col min="246" max="246" width="35.33203125" bestFit="1" customWidth="1"/>
    <col min="247" max="247" width="34.5" bestFit="1" customWidth="1"/>
    <col min="248" max="248" width="34.83203125" bestFit="1" customWidth="1"/>
    <col min="249" max="249" width="35" bestFit="1" customWidth="1"/>
    <col min="250" max="250" width="34" bestFit="1" customWidth="1"/>
    <col min="251" max="251" width="34.33203125" bestFit="1" customWidth="1"/>
    <col min="252" max="252" width="34.6640625" bestFit="1" customWidth="1"/>
    <col min="253" max="253" width="33.1640625" bestFit="1" customWidth="1"/>
    <col min="254" max="254" width="34.83203125" bestFit="1" customWidth="1"/>
    <col min="255" max="255" width="33.5" bestFit="1" customWidth="1"/>
    <col min="256" max="256" width="34.33203125" bestFit="1" customWidth="1"/>
    <col min="257" max="257" width="32.6640625" bestFit="1" customWidth="1"/>
    <col min="258" max="258" width="34.83203125" bestFit="1" customWidth="1"/>
    <col min="259" max="259" width="32.83203125" bestFit="1" customWidth="1"/>
    <col min="260" max="260" width="34.1640625" bestFit="1" customWidth="1"/>
    <col min="261" max="261" width="32.6640625" bestFit="1" customWidth="1"/>
    <col min="262" max="262" width="33.33203125" bestFit="1" customWidth="1"/>
    <col min="263" max="264" width="35" bestFit="1" customWidth="1"/>
    <col min="265" max="265" width="33.6640625" bestFit="1" customWidth="1"/>
    <col min="266" max="266" width="34.5" bestFit="1" customWidth="1"/>
    <col min="267" max="267" width="34.33203125" bestFit="1" customWidth="1"/>
    <col min="268" max="268" width="34.83203125" bestFit="1" customWidth="1"/>
    <col min="269" max="269" width="34.33203125" bestFit="1" customWidth="1"/>
    <col min="270" max="270" width="33.6640625" bestFit="1" customWidth="1"/>
    <col min="271" max="271" width="34.6640625" bestFit="1" customWidth="1"/>
    <col min="272" max="272" width="34.1640625" bestFit="1" customWidth="1"/>
    <col min="273" max="273" width="34.5" bestFit="1" customWidth="1"/>
    <col min="274" max="275" width="34.6640625" bestFit="1" customWidth="1"/>
    <col min="276" max="276" width="34.83203125" bestFit="1" customWidth="1"/>
    <col min="277" max="278" width="35.1640625" bestFit="1" customWidth="1"/>
    <col min="279" max="279" width="34" bestFit="1" customWidth="1"/>
    <col min="280" max="280" width="34.6640625" bestFit="1" customWidth="1"/>
    <col min="281" max="281" width="34.33203125" bestFit="1" customWidth="1"/>
    <col min="282" max="282" width="35.5" bestFit="1" customWidth="1"/>
    <col min="283" max="283" width="33.83203125" bestFit="1" customWidth="1"/>
    <col min="284" max="284" width="34.1640625" bestFit="1" customWidth="1"/>
    <col min="285" max="285" width="34" bestFit="1" customWidth="1"/>
    <col min="286" max="286" width="31.83203125" bestFit="1" customWidth="1"/>
    <col min="287" max="287" width="33.83203125" bestFit="1" customWidth="1"/>
    <col min="288" max="288" width="32.5" bestFit="1" customWidth="1"/>
    <col min="289" max="289" width="35.1640625" bestFit="1" customWidth="1"/>
    <col min="290" max="291" width="34.6640625" bestFit="1" customWidth="1"/>
    <col min="292" max="292" width="35.1640625" bestFit="1" customWidth="1"/>
    <col min="293" max="293" width="35" bestFit="1" customWidth="1"/>
    <col min="294" max="294" width="34.1640625" bestFit="1" customWidth="1"/>
    <col min="295" max="295" width="32.5" bestFit="1" customWidth="1"/>
    <col min="296" max="296" width="34.33203125" bestFit="1" customWidth="1"/>
    <col min="297" max="297" width="35.83203125" bestFit="1" customWidth="1"/>
    <col min="298" max="298" width="33.5" bestFit="1" customWidth="1"/>
    <col min="299" max="299" width="34.1640625" bestFit="1" customWidth="1"/>
    <col min="300" max="300" width="34.5" bestFit="1" customWidth="1"/>
    <col min="301" max="301" width="33.83203125" bestFit="1" customWidth="1"/>
    <col min="302" max="302" width="35.5" bestFit="1" customWidth="1"/>
    <col min="303" max="303" width="34.1640625" bestFit="1" customWidth="1"/>
    <col min="304" max="304" width="35.33203125" bestFit="1" customWidth="1"/>
    <col min="305" max="305" width="34" bestFit="1" customWidth="1"/>
    <col min="306" max="306" width="34.1640625" bestFit="1" customWidth="1"/>
    <col min="307" max="307" width="35.5" bestFit="1" customWidth="1"/>
    <col min="308" max="308" width="33.5" bestFit="1" customWidth="1"/>
    <col min="309" max="309" width="35.33203125" bestFit="1" customWidth="1"/>
    <col min="310" max="310" width="34.6640625" bestFit="1" customWidth="1"/>
    <col min="311" max="311" width="35" bestFit="1" customWidth="1"/>
    <col min="312" max="312" width="33" bestFit="1" customWidth="1"/>
    <col min="313" max="313" width="35" bestFit="1" customWidth="1"/>
    <col min="314" max="314" width="33.5" bestFit="1" customWidth="1"/>
    <col min="315" max="315" width="35" bestFit="1" customWidth="1"/>
    <col min="316" max="316" width="34.83203125" bestFit="1" customWidth="1"/>
    <col min="317" max="318" width="34.6640625" bestFit="1" customWidth="1"/>
    <col min="319" max="319" width="34" bestFit="1" customWidth="1"/>
    <col min="320" max="320" width="33.6640625" bestFit="1" customWidth="1"/>
    <col min="321" max="321" width="34.33203125" bestFit="1" customWidth="1"/>
    <col min="322" max="322" width="35.1640625" bestFit="1" customWidth="1"/>
    <col min="323" max="323" width="33.5" bestFit="1" customWidth="1"/>
    <col min="324" max="324" width="34.1640625" bestFit="1" customWidth="1"/>
    <col min="325" max="325" width="34.33203125" bestFit="1" customWidth="1"/>
    <col min="326" max="326" width="35" bestFit="1" customWidth="1"/>
    <col min="327" max="328" width="34.5" bestFit="1" customWidth="1"/>
    <col min="329" max="329" width="35" bestFit="1" customWidth="1"/>
    <col min="330" max="331" width="34.1640625" bestFit="1" customWidth="1"/>
    <col min="332" max="332" width="32.6640625" bestFit="1" customWidth="1"/>
    <col min="333" max="333" width="34.6640625" bestFit="1" customWidth="1"/>
    <col min="334" max="334" width="35" bestFit="1" customWidth="1"/>
    <col min="335" max="335" width="34.83203125" bestFit="1" customWidth="1"/>
    <col min="336" max="336" width="33.83203125" bestFit="1" customWidth="1"/>
    <col min="337" max="337" width="34.5" bestFit="1" customWidth="1"/>
    <col min="338" max="338" width="35" bestFit="1" customWidth="1"/>
    <col min="339" max="339" width="33.33203125" bestFit="1" customWidth="1"/>
    <col min="340" max="340" width="33.6640625" bestFit="1" customWidth="1"/>
    <col min="341" max="342" width="34.6640625" bestFit="1" customWidth="1"/>
    <col min="343" max="343" width="34" bestFit="1" customWidth="1"/>
    <col min="344" max="344" width="34.33203125" bestFit="1" customWidth="1"/>
    <col min="345" max="345" width="34.83203125" bestFit="1" customWidth="1"/>
    <col min="346" max="346" width="33.1640625" bestFit="1" customWidth="1"/>
    <col min="347" max="347" width="34.1640625" bestFit="1" customWidth="1"/>
    <col min="348" max="348" width="33" bestFit="1" customWidth="1"/>
    <col min="349" max="349" width="34.6640625" bestFit="1" customWidth="1"/>
    <col min="350" max="350" width="34.5" bestFit="1" customWidth="1"/>
    <col min="351" max="351" width="35.1640625" bestFit="1" customWidth="1"/>
    <col min="352" max="352" width="34.1640625" bestFit="1" customWidth="1"/>
    <col min="353" max="354" width="34.33203125" bestFit="1" customWidth="1"/>
    <col min="355" max="355" width="34.5" bestFit="1" customWidth="1"/>
    <col min="356" max="356" width="34.83203125" bestFit="1" customWidth="1"/>
    <col min="357" max="357" width="34.33203125" bestFit="1" customWidth="1"/>
    <col min="358" max="358" width="35" bestFit="1" customWidth="1"/>
    <col min="359" max="359" width="34" bestFit="1" customWidth="1"/>
    <col min="360" max="361" width="34.33203125" bestFit="1" customWidth="1"/>
    <col min="362" max="362" width="34.6640625" bestFit="1" customWidth="1"/>
    <col min="363" max="363" width="35.33203125" bestFit="1" customWidth="1"/>
    <col min="364" max="364" width="33.83203125" bestFit="1" customWidth="1"/>
    <col min="365" max="365" width="34.1640625" bestFit="1" customWidth="1"/>
    <col min="366" max="366" width="33.83203125" bestFit="1" customWidth="1"/>
    <col min="367" max="368" width="34.33203125" bestFit="1" customWidth="1"/>
    <col min="369" max="369" width="32.6640625" bestFit="1" customWidth="1"/>
    <col min="370" max="370" width="35.1640625" bestFit="1" customWidth="1"/>
    <col min="371" max="371" width="33.83203125" bestFit="1" customWidth="1"/>
    <col min="372" max="372" width="34.6640625" bestFit="1" customWidth="1"/>
    <col min="373" max="373" width="34.83203125" bestFit="1" customWidth="1"/>
    <col min="374" max="374" width="34.1640625" bestFit="1" customWidth="1"/>
    <col min="375" max="375" width="34.83203125" bestFit="1" customWidth="1"/>
    <col min="376" max="376" width="35.5" bestFit="1" customWidth="1"/>
    <col min="377" max="377" width="35.1640625" bestFit="1" customWidth="1"/>
    <col min="378" max="378" width="32.33203125" bestFit="1" customWidth="1"/>
    <col min="379" max="379" width="35" bestFit="1" customWidth="1"/>
    <col min="380" max="380" width="32.5" bestFit="1" customWidth="1"/>
    <col min="381" max="381" width="34.1640625" bestFit="1" customWidth="1"/>
    <col min="382" max="382" width="35" bestFit="1" customWidth="1"/>
    <col min="383" max="383" width="33.1640625" bestFit="1" customWidth="1"/>
    <col min="384" max="384" width="35.33203125" bestFit="1" customWidth="1"/>
    <col min="385" max="385" width="34.83203125" bestFit="1" customWidth="1"/>
    <col min="386" max="386" width="34.6640625" bestFit="1" customWidth="1"/>
    <col min="387" max="387" width="33.6640625" bestFit="1" customWidth="1"/>
    <col min="388" max="388" width="33.5" bestFit="1" customWidth="1"/>
    <col min="389" max="389" width="34.33203125" bestFit="1" customWidth="1"/>
    <col min="390" max="390" width="34.5" bestFit="1" customWidth="1"/>
    <col min="391" max="391" width="34.83203125" bestFit="1" customWidth="1"/>
    <col min="392" max="392" width="34.33203125" bestFit="1" customWidth="1"/>
    <col min="393" max="393" width="35.1640625" bestFit="1" customWidth="1"/>
    <col min="394" max="394" width="34.1640625" bestFit="1" customWidth="1"/>
    <col min="395" max="395" width="34.83203125" bestFit="1" customWidth="1"/>
    <col min="396" max="396" width="34.6640625" bestFit="1" customWidth="1"/>
    <col min="397" max="397" width="35" bestFit="1" customWidth="1"/>
    <col min="398" max="398" width="34.33203125" bestFit="1" customWidth="1"/>
    <col min="399" max="399" width="34.1640625" bestFit="1" customWidth="1"/>
    <col min="400" max="400" width="33.83203125" bestFit="1" customWidth="1"/>
    <col min="401" max="401" width="32.6640625" bestFit="1" customWidth="1"/>
    <col min="402" max="402" width="35.1640625" bestFit="1" customWidth="1"/>
    <col min="403" max="403" width="35.33203125" bestFit="1" customWidth="1"/>
    <col min="404" max="404" width="33.5" bestFit="1" customWidth="1"/>
    <col min="405" max="405" width="34.1640625" bestFit="1" customWidth="1"/>
    <col min="406" max="406" width="35.1640625" bestFit="1" customWidth="1"/>
    <col min="407" max="407" width="34.6640625" bestFit="1" customWidth="1"/>
    <col min="408" max="408" width="34.33203125" bestFit="1" customWidth="1"/>
    <col min="409" max="409" width="34.5" bestFit="1" customWidth="1"/>
    <col min="410" max="410" width="33" bestFit="1" customWidth="1"/>
    <col min="411" max="411" width="34.6640625" bestFit="1" customWidth="1"/>
    <col min="412" max="412" width="34.5" bestFit="1" customWidth="1"/>
    <col min="413" max="413" width="32.5" bestFit="1" customWidth="1"/>
    <col min="414" max="414" width="35.33203125" bestFit="1" customWidth="1"/>
    <col min="415" max="415" width="32.5" bestFit="1" customWidth="1"/>
    <col min="416" max="416" width="34.83203125" bestFit="1" customWidth="1"/>
    <col min="417" max="417" width="35.1640625" bestFit="1" customWidth="1"/>
    <col min="418" max="419" width="34.33203125" bestFit="1" customWidth="1"/>
    <col min="420" max="420" width="33" bestFit="1" customWidth="1"/>
    <col min="421" max="421" width="35.33203125" bestFit="1" customWidth="1"/>
    <col min="422" max="422" width="34.33203125" bestFit="1" customWidth="1"/>
    <col min="423" max="423" width="34.5" bestFit="1" customWidth="1"/>
    <col min="424" max="424" width="34" bestFit="1" customWidth="1"/>
    <col min="425" max="425" width="33.5" bestFit="1" customWidth="1"/>
    <col min="426" max="426" width="34.1640625" bestFit="1" customWidth="1"/>
    <col min="427" max="427" width="34.6640625" bestFit="1" customWidth="1"/>
    <col min="428" max="428" width="35.6640625" bestFit="1" customWidth="1"/>
    <col min="429" max="429" width="33.1640625" bestFit="1" customWidth="1"/>
    <col min="430" max="430" width="33.83203125" bestFit="1" customWidth="1"/>
    <col min="431" max="431" width="33" bestFit="1" customWidth="1"/>
    <col min="432" max="432" width="34.83203125" bestFit="1" customWidth="1"/>
    <col min="433" max="433" width="33.6640625" bestFit="1" customWidth="1"/>
    <col min="434" max="434" width="34.33203125" bestFit="1" customWidth="1"/>
    <col min="435" max="435" width="33.83203125" bestFit="1" customWidth="1"/>
    <col min="436" max="436" width="34.5" bestFit="1" customWidth="1"/>
    <col min="437" max="437" width="35.1640625" bestFit="1" customWidth="1"/>
    <col min="438" max="439" width="35" bestFit="1" customWidth="1"/>
    <col min="440" max="440" width="32.83203125" bestFit="1" customWidth="1"/>
    <col min="441" max="441" width="34.83203125" bestFit="1" customWidth="1"/>
    <col min="442" max="442" width="34.5" bestFit="1" customWidth="1"/>
    <col min="443" max="443" width="34" bestFit="1" customWidth="1"/>
    <col min="444" max="444" width="33.6640625" bestFit="1" customWidth="1"/>
    <col min="445" max="445" width="34.83203125" bestFit="1" customWidth="1"/>
    <col min="446" max="446" width="35.5" bestFit="1" customWidth="1"/>
    <col min="447" max="447" width="34.5" bestFit="1" customWidth="1"/>
    <col min="448" max="448" width="33" bestFit="1" customWidth="1"/>
    <col min="449" max="450" width="34.5" bestFit="1" customWidth="1"/>
    <col min="451" max="451" width="34.6640625" bestFit="1" customWidth="1"/>
    <col min="452" max="452" width="32.5" bestFit="1" customWidth="1"/>
    <col min="453" max="453" width="34.1640625" bestFit="1" customWidth="1"/>
    <col min="454" max="455" width="34" bestFit="1" customWidth="1"/>
    <col min="456" max="456" width="33" bestFit="1" customWidth="1"/>
    <col min="457" max="457" width="34.33203125" bestFit="1" customWidth="1"/>
    <col min="458" max="458" width="33.6640625" bestFit="1" customWidth="1"/>
    <col min="459" max="459" width="35.1640625" bestFit="1" customWidth="1"/>
    <col min="460" max="460" width="34.1640625" bestFit="1" customWidth="1"/>
    <col min="461" max="461" width="33.1640625" bestFit="1" customWidth="1"/>
    <col min="462" max="462" width="35" bestFit="1" customWidth="1"/>
    <col min="463" max="463" width="34.33203125" bestFit="1" customWidth="1"/>
    <col min="464" max="464" width="35" bestFit="1" customWidth="1"/>
    <col min="465" max="465" width="34.5" bestFit="1" customWidth="1"/>
    <col min="466" max="466" width="34.6640625" bestFit="1" customWidth="1"/>
    <col min="467" max="467" width="34.5" bestFit="1" customWidth="1"/>
    <col min="468" max="468" width="32.6640625" bestFit="1" customWidth="1"/>
    <col min="469" max="469" width="34" bestFit="1" customWidth="1"/>
    <col min="470" max="471" width="33.6640625" bestFit="1" customWidth="1"/>
    <col min="472" max="472" width="35" bestFit="1" customWidth="1"/>
    <col min="473" max="473" width="34.5" bestFit="1" customWidth="1"/>
    <col min="474" max="474" width="33.83203125" bestFit="1" customWidth="1"/>
    <col min="475" max="475" width="34.83203125" bestFit="1" customWidth="1"/>
    <col min="476" max="476" width="33.1640625" bestFit="1" customWidth="1"/>
    <col min="477" max="477" width="33.33203125" bestFit="1" customWidth="1"/>
    <col min="478" max="479" width="34.5" bestFit="1" customWidth="1"/>
    <col min="480" max="480" width="33.5" bestFit="1" customWidth="1"/>
    <col min="481" max="481" width="33.33203125" bestFit="1" customWidth="1"/>
    <col min="482" max="482" width="33.83203125" bestFit="1" customWidth="1"/>
    <col min="483" max="483" width="34.33203125" bestFit="1" customWidth="1"/>
    <col min="484" max="485" width="34.1640625" bestFit="1" customWidth="1"/>
    <col min="486" max="487" width="34.5" bestFit="1" customWidth="1"/>
    <col min="488" max="488" width="34.6640625" bestFit="1" customWidth="1"/>
    <col min="489" max="489" width="33.83203125" bestFit="1" customWidth="1"/>
    <col min="490" max="490" width="33" bestFit="1" customWidth="1"/>
    <col min="491" max="491" width="32.5" bestFit="1" customWidth="1"/>
    <col min="492" max="492" width="33.33203125" bestFit="1" customWidth="1"/>
    <col min="493" max="493" width="34.33203125" bestFit="1" customWidth="1"/>
    <col min="494" max="494" width="34.1640625" bestFit="1" customWidth="1"/>
    <col min="495" max="495" width="35.33203125" bestFit="1" customWidth="1"/>
    <col min="496" max="496" width="34" bestFit="1" customWidth="1"/>
    <col min="497" max="497" width="35.33203125" bestFit="1" customWidth="1"/>
    <col min="498" max="498" width="33.5" bestFit="1" customWidth="1"/>
    <col min="499" max="500" width="34.1640625" bestFit="1" customWidth="1"/>
    <col min="501" max="501" width="33.6640625" bestFit="1" customWidth="1"/>
    <col min="502" max="502" width="35" bestFit="1" customWidth="1"/>
    <col min="503" max="503" width="35.33203125" bestFit="1" customWidth="1"/>
    <col min="504" max="504" width="33.33203125" bestFit="1" customWidth="1"/>
    <col min="505" max="505" width="34.83203125" bestFit="1" customWidth="1"/>
    <col min="506" max="506" width="35" bestFit="1" customWidth="1"/>
    <col min="507" max="507" width="34.83203125" bestFit="1" customWidth="1"/>
    <col min="508" max="508" width="34.33203125" bestFit="1" customWidth="1"/>
    <col min="509" max="509" width="35.1640625" bestFit="1" customWidth="1"/>
    <col min="510" max="510" width="33.33203125" bestFit="1" customWidth="1"/>
    <col min="511" max="512" width="35.1640625" bestFit="1" customWidth="1"/>
    <col min="513" max="513" width="35.5" bestFit="1" customWidth="1"/>
    <col min="514" max="514" width="35.33203125" bestFit="1" customWidth="1"/>
    <col min="515" max="515" width="34.5" bestFit="1" customWidth="1"/>
    <col min="516" max="516" width="33.83203125" bestFit="1" customWidth="1"/>
    <col min="517" max="518" width="33.5" bestFit="1" customWidth="1"/>
    <col min="519" max="519" width="34.33203125" bestFit="1" customWidth="1"/>
    <col min="520" max="520" width="34.1640625" bestFit="1" customWidth="1"/>
    <col min="521" max="521" width="34.33203125" bestFit="1" customWidth="1"/>
    <col min="522" max="522" width="33" bestFit="1" customWidth="1"/>
    <col min="523" max="524" width="33.5" bestFit="1" customWidth="1"/>
    <col min="525" max="525" width="34.1640625" bestFit="1" customWidth="1"/>
    <col min="526" max="526" width="34.6640625" bestFit="1" customWidth="1"/>
    <col min="527" max="527" width="33.33203125" bestFit="1" customWidth="1"/>
    <col min="528" max="528" width="34.6640625" bestFit="1" customWidth="1"/>
    <col min="529" max="529" width="33.83203125" bestFit="1" customWidth="1"/>
    <col min="530" max="530" width="34.83203125" bestFit="1" customWidth="1"/>
    <col min="531" max="531" width="35.33203125" bestFit="1" customWidth="1"/>
    <col min="532" max="532" width="35" bestFit="1" customWidth="1"/>
    <col min="533" max="533" width="34.6640625" bestFit="1" customWidth="1"/>
    <col min="534" max="534" width="34.33203125" bestFit="1" customWidth="1"/>
    <col min="535" max="535" width="33.33203125" bestFit="1" customWidth="1"/>
    <col min="536" max="536" width="33.5" bestFit="1" customWidth="1"/>
    <col min="537" max="537" width="33" bestFit="1" customWidth="1"/>
    <col min="538" max="538" width="34" bestFit="1" customWidth="1"/>
    <col min="539" max="539" width="33.83203125" bestFit="1" customWidth="1"/>
    <col min="540" max="540" width="33" bestFit="1" customWidth="1"/>
    <col min="541" max="541" width="34.83203125" bestFit="1" customWidth="1"/>
    <col min="542" max="542" width="31.33203125" bestFit="1" customWidth="1"/>
    <col min="543" max="543" width="35.33203125" bestFit="1" customWidth="1"/>
    <col min="544" max="544" width="33" bestFit="1" customWidth="1"/>
    <col min="545" max="545" width="33.33203125" bestFit="1" customWidth="1"/>
    <col min="546" max="546" width="34.1640625" bestFit="1" customWidth="1"/>
    <col min="547" max="547" width="34" bestFit="1" customWidth="1"/>
    <col min="548" max="548" width="35" bestFit="1" customWidth="1"/>
    <col min="549" max="550" width="34.1640625" bestFit="1" customWidth="1"/>
    <col min="551" max="551" width="32.6640625" bestFit="1" customWidth="1"/>
    <col min="552" max="552" width="34.33203125" bestFit="1" customWidth="1"/>
    <col min="553" max="553" width="34.1640625" bestFit="1" customWidth="1"/>
    <col min="554" max="555" width="33.83203125" bestFit="1" customWidth="1"/>
    <col min="556" max="556" width="34.6640625" bestFit="1" customWidth="1"/>
    <col min="557" max="557" width="34.5" bestFit="1" customWidth="1"/>
    <col min="558" max="559" width="34" bestFit="1" customWidth="1"/>
    <col min="560" max="560" width="34.5" bestFit="1" customWidth="1"/>
    <col min="561" max="561" width="33.1640625" bestFit="1" customWidth="1"/>
    <col min="562" max="562" width="35.1640625" bestFit="1" customWidth="1"/>
    <col min="563" max="563" width="34.33203125" bestFit="1" customWidth="1"/>
    <col min="564" max="564" width="33.33203125" bestFit="1" customWidth="1"/>
    <col min="565" max="565" width="34.33203125" bestFit="1" customWidth="1"/>
    <col min="566" max="566" width="35.33203125" bestFit="1" customWidth="1"/>
    <col min="567" max="567" width="34.1640625" bestFit="1" customWidth="1"/>
    <col min="568" max="568" width="33.6640625" bestFit="1" customWidth="1"/>
    <col min="569" max="569" width="34.33203125" bestFit="1" customWidth="1"/>
    <col min="570" max="570" width="33" bestFit="1" customWidth="1"/>
    <col min="571" max="571" width="34" bestFit="1" customWidth="1"/>
    <col min="572" max="572" width="33.5" bestFit="1" customWidth="1"/>
    <col min="573" max="573" width="34.6640625" bestFit="1" customWidth="1"/>
    <col min="574" max="574" width="33" bestFit="1" customWidth="1"/>
    <col min="575" max="575" width="34" bestFit="1" customWidth="1"/>
    <col min="576" max="576" width="34.5" bestFit="1" customWidth="1"/>
    <col min="577" max="577" width="33.1640625" bestFit="1" customWidth="1"/>
    <col min="578" max="578" width="32.33203125" bestFit="1" customWidth="1"/>
    <col min="579" max="579" width="34.83203125" bestFit="1" customWidth="1"/>
    <col min="580" max="580" width="34.1640625" bestFit="1" customWidth="1"/>
    <col min="581" max="581" width="34.6640625" bestFit="1" customWidth="1"/>
    <col min="582" max="582" width="31.5" bestFit="1" customWidth="1"/>
    <col min="583" max="583" width="34.33203125" bestFit="1" customWidth="1"/>
    <col min="584" max="584" width="34.1640625" bestFit="1" customWidth="1"/>
    <col min="585" max="585" width="33.1640625" bestFit="1" customWidth="1"/>
    <col min="586" max="586" width="34.1640625" bestFit="1" customWidth="1"/>
    <col min="587" max="587" width="33.83203125" bestFit="1" customWidth="1"/>
    <col min="588" max="588" width="34" bestFit="1" customWidth="1"/>
    <col min="589" max="589" width="34.1640625" bestFit="1" customWidth="1"/>
    <col min="590" max="590" width="34.5" bestFit="1" customWidth="1"/>
    <col min="591" max="591" width="34" bestFit="1" customWidth="1"/>
    <col min="592" max="592" width="33" bestFit="1" customWidth="1"/>
    <col min="593" max="593" width="34.33203125" bestFit="1" customWidth="1"/>
    <col min="594" max="594" width="33.1640625" bestFit="1" customWidth="1"/>
    <col min="595" max="595" width="33.83203125" bestFit="1" customWidth="1"/>
    <col min="596" max="596" width="33.6640625" bestFit="1" customWidth="1"/>
    <col min="597" max="597" width="34" bestFit="1" customWidth="1"/>
    <col min="598" max="598" width="34.6640625" bestFit="1" customWidth="1"/>
    <col min="599" max="599" width="34" bestFit="1" customWidth="1"/>
    <col min="600" max="600" width="35.33203125" bestFit="1" customWidth="1"/>
    <col min="601" max="601" width="34.1640625" bestFit="1" customWidth="1"/>
    <col min="602" max="602" width="34.6640625" bestFit="1" customWidth="1"/>
    <col min="603" max="603" width="33" bestFit="1" customWidth="1"/>
    <col min="604" max="605" width="35.33203125" bestFit="1" customWidth="1"/>
    <col min="606" max="606" width="35.1640625" bestFit="1" customWidth="1"/>
    <col min="607" max="607" width="34.1640625" bestFit="1" customWidth="1"/>
    <col min="608" max="608" width="35" bestFit="1" customWidth="1"/>
    <col min="609" max="609" width="34.1640625" bestFit="1" customWidth="1"/>
    <col min="610" max="610" width="34.33203125" bestFit="1" customWidth="1"/>
    <col min="611" max="611" width="33.1640625" bestFit="1" customWidth="1"/>
    <col min="612" max="612" width="34.6640625" bestFit="1" customWidth="1"/>
    <col min="613" max="613" width="34.1640625" bestFit="1" customWidth="1"/>
    <col min="614" max="614" width="35.1640625" bestFit="1" customWidth="1"/>
    <col min="615" max="615" width="34.5" bestFit="1" customWidth="1"/>
    <col min="616" max="616" width="34" bestFit="1" customWidth="1"/>
    <col min="617" max="618" width="34.33203125" bestFit="1" customWidth="1"/>
    <col min="619" max="619" width="34.5" bestFit="1" customWidth="1"/>
    <col min="620" max="620" width="33.5" bestFit="1" customWidth="1"/>
    <col min="621" max="621" width="34.83203125" bestFit="1" customWidth="1"/>
    <col min="622" max="622" width="35" bestFit="1" customWidth="1"/>
    <col min="623" max="623" width="33.5" bestFit="1" customWidth="1"/>
    <col min="624" max="624" width="33.83203125" bestFit="1" customWidth="1"/>
    <col min="625" max="625" width="34.1640625" bestFit="1" customWidth="1"/>
    <col min="626" max="626" width="34.33203125" bestFit="1" customWidth="1"/>
    <col min="627" max="627" width="34.1640625" bestFit="1" customWidth="1"/>
    <col min="628" max="628" width="34.33203125" bestFit="1" customWidth="1"/>
    <col min="629" max="629" width="34.1640625" bestFit="1" customWidth="1"/>
    <col min="630" max="632" width="34.5" bestFit="1" customWidth="1"/>
    <col min="633" max="633" width="34.1640625" bestFit="1" customWidth="1"/>
    <col min="634" max="634" width="34" bestFit="1" customWidth="1"/>
    <col min="635" max="635" width="33.5" bestFit="1" customWidth="1"/>
    <col min="636" max="636" width="34" bestFit="1" customWidth="1"/>
    <col min="637" max="637" width="34.1640625" bestFit="1" customWidth="1"/>
    <col min="638" max="638" width="34.5" bestFit="1" customWidth="1"/>
    <col min="639" max="639" width="35" bestFit="1" customWidth="1"/>
    <col min="640" max="640" width="34.83203125" bestFit="1" customWidth="1"/>
    <col min="641" max="641" width="35.1640625" bestFit="1" customWidth="1"/>
    <col min="642" max="643" width="34" bestFit="1" customWidth="1"/>
    <col min="644" max="644" width="35" bestFit="1" customWidth="1"/>
    <col min="645" max="645" width="34.83203125" bestFit="1" customWidth="1"/>
    <col min="646" max="646" width="34.33203125" bestFit="1" customWidth="1"/>
    <col min="647" max="647" width="33.6640625" bestFit="1" customWidth="1"/>
    <col min="648" max="649" width="34.33203125" bestFit="1" customWidth="1"/>
    <col min="650" max="650" width="34.6640625" bestFit="1" customWidth="1"/>
    <col min="651" max="651" width="34.33203125" bestFit="1" customWidth="1"/>
    <col min="652" max="652" width="34.6640625" bestFit="1" customWidth="1"/>
    <col min="653" max="653" width="35.83203125" bestFit="1" customWidth="1"/>
    <col min="654" max="654" width="35.33203125" bestFit="1" customWidth="1"/>
    <col min="655" max="655" width="34.33203125" bestFit="1" customWidth="1"/>
    <col min="656" max="656" width="34.83203125" bestFit="1" customWidth="1"/>
    <col min="657" max="657" width="34.6640625" bestFit="1" customWidth="1"/>
    <col min="658" max="660" width="34.5" bestFit="1" customWidth="1"/>
    <col min="661" max="661" width="34" bestFit="1" customWidth="1"/>
    <col min="662" max="662" width="33.5" bestFit="1" customWidth="1"/>
    <col min="663" max="663" width="33.83203125" bestFit="1" customWidth="1"/>
    <col min="664" max="664" width="35" bestFit="1" customWidth="1"/>
    <col min="665" max="665" width="34" bestFit="1" customWidth="1"/>
    <col min="666" max="666" width="34.5" bestFit="1" customWidth="1"/>
    <col min="667" max="667" width="34" bestFit="1" customWidth="1"/>
    <col min="668" max="668" width="34.5" bestFit="1" customWidth="1"/>
    <col min="669" max="669" width="34.6640625" bestFit="1" customWidth="1"/>
    <col min="670" max="670" width="33.83203125" bestFit="1" customWidth="1"/>
    <col min="671" max="672" width="34.6640625" bestFit="1" customWidth="1"/>
    <col min="673" max="673" width="33.1640625" bestFit="1" customWidth="1"/>
    <col min="674" max="674" width="34.83203125" bestFit="1" customWidth="1"/>
    <col min="675" max="675" width="32.83203125" bestFit="1" customWidth="1"/>
    <col min="676" max="676" width="33.6640625" bestFit="1" customWidth="1"/>
    <col min="677" max="678" width="34.1640625" bestFit="1" customWidth="1"/>
    <col min="679" max="679" width="33.83203125" bestFit="1" customWidth="1"/>
    <col min="680" max="680" width="34.6640625" bestFit="1" customWidth="1"/>
    <col min="681" max="681" width="34" bestFit="1" customWidth="1"/>
    <col min="682" max="682" width="34.6640625" bestFit="1" customWidth="1"/>
    <col min="683" max="683" width="34" bestFit="1" customWidth="1"/>
    <col min="684" max="684" width="34.1640625" bestFit="1" customWidth="1"/>
    <col min="685" max="685" width="34.33203125" bestFit="1" customWidth="1"/>
    <col min="686" max="686" width="34.6640625" bestFit="1" customWidth="1"/>
    <col min="687" max="687" width="34.33203125" bestFit="1" customWidth="1"/>
    <col min="688" max="688" width="33.1640625" bestFit="1" customWidth="1"/>
    <col min="689" max="689" width="32.1640625" bestFit="1" customWidth="1"/>
    <col min="690" max="690" width="34" bestFit="1" customWidth="1"/>
    <col min="691" max="691" width="34.5" bestFit="1" customWidth="1"/>
    <col min="692" max="692" width="33.6640625" bestFit="1" customWidth="1"/>
    <col min="693" max="693" width="34.6640625" bestFit="1" customWidth="1"/>
    <col min="694" max="694" width="34" bestFit="1" customWidth="1"/>
    <col min="695" max="695" width="34.1640625" bestFit="1" customWidth="1"/>
    <col min="696" max="696" width="34.33203125" bestFit="1" customWidth="1"/>
    <col min="697" max="697" width="34" bestFit="1" customWidth="1"/>
    <col min="698" max="698" width="34.6640625" bestFit="1" customWidth="1"/>
    <col min="699" max="699" width="34.1640625" bestFit="1" customWidth="1"/>
    <col min="700" max="700" width="34.5" bestFit="1" customWidth="1"/>
    <col min="701" max="701" width="34.33203125" bestFit="1" customWidth="1"/>
    <col min="702" max="702" width="32.5" bestFit="1" customWidth="1"/>
    <col min="703" max="703" width="34" bestFit="1" customWidth="1"/>
    <col min="704" max="704" width="32.6640625" bestFit="1" customWidth="1"/>
    <col min="705" max="705" width="33.5" bestFit="1" customWidth="1"/>
    <col min="706" max="706" width="32" bestFit="1" customWidth="1"/>
    <col min="707" max="708" width="33.33203125" bestFit="1" customWidth="1"/>
    <col min="709" max="709" width="33.6640625" bestFit="1" customWidth="1"/>
    <col min="710" max="710" width="34.83203125" bestFit="1" customWidth="1"/>
    <col min="711" max="711" width="32.83203125" bestFit="1" customWidth="1"/>
    <col min="712" max="712" width="33.83203125" bestFit="1" customWidth="1"/>
    <col min="713" max="713" width="34" bestFit="1" customWidth="1"/>
    <col min="714" max="714" width="33.6640625" bestFit="1" customWidth="1"/>
    <col min="715" max="715" width="34.33203125" bestFit="1" customWidth="1"/>
    <col min="716" max="716" width="34.83203125" bestFit="1" customWidth="1"/>
    <col min="717" max="717" width="34.5" bestFit="1" customWidth="1"/>
    <col min="718" max="718" width="33.83203125" bestFit="1" customWidth="1"/>
    <col min="719" max="719" width="33.6640625" bestFit="1" customWidth="1"/>
    <col min="720" max="720" width="6.33203125" bestFit="1" customWidth="1"/>
    <col min="721" max="721" width="10" bestFit="1" customWidth="1"/>
  </cols>
  <sheetData>
    <row r="3" spans="1:2" x14ac:dyDescent="0.2">
      <c r="A3" s="4" t="s">
        <v>751</v>
      </c>
      <c r="B3" t="s">
        <v>977</v>
      </c>
    </row>
    <row r="4" spans="1:2" x14ac:dyDescent="0.2">
      <c r="A4" s="5">
        <v>20</v>
      </c>
      <c r="B4" s="16">
        <v>1</v>
      </c>
    </row>
    <row r="5" spans="1:2" x14ac:dyDescent="0.2">
      <c r="A5" s="5">
        <v>207</v>
      </c>
      <c r="B5" s="16">
        <v>6</v>
      </c>
    </row>
    <row r="6" spans="1:2" x14ac:dyDescent="0.2">
      <c r="A6" s="5">
        <v>242</v>
      </c>
      <c r="B6" s="16">
        <v>1</v>
      </c>
    </row>
    <row r="7" spans="1:2" x14ac:dyDescent="0.2">
      <c r="A7" s="5">
        <v>288</v>
      </c>
      <c r="B7" s="16">
        <v>3</v>
      </c>
    </row>
    <row r="8" spans="1:2" x14ac:dyDescent="0.2">
      <c r="A8" s="5">
        <v>836</v>
      </c>
      <c r="B8" s="16">
        <v>1</v>
      </c>
    </row>
    <row r="9" spans="1:2" x14ac:dyDescent="0.2">
      <c r="A9" s="5">
        <v>1036</v>
      </c>
      <c r="B9" s="16">
        <v>3</v>
      </c>
    </row>
    <row r="10" spans="1:2" x14ac:dyDescent="0.2">
      <c r="A10" s="5">
        <v>2800.2</v>
      </c>
      <c r="B10" s="16">
        <v>1</v>
      </c>
    </row>
    <row r="11" spans="1:2" x14ac:dyDescent="0.2">
      <c r="A11" s="5">
        <v>5150</v>
      </c>
      <c r="B11" s="16">
        <v>1</v>
      </c>
    </row>
    <row r="12" spans="1:2" x14ac:dyDescent="0.2">
      <c r="A12" s="5">
        <v>10851</v>
      </c>
      <c r="B12" s="16">
        <v>18</v>
      </c>
    </row>
    <row r="13" spans="1:2" x14ac:dyDescent="0.2">
      <c r="A13" s="5">
        <v>49949</v>
      </c>
      <c r="B13" s="16">
        <v>2</v>
      </c>
    </row>
    <row r="14" spans="1:2" x14ac:dyDescent="0.2">
      <c r="A14" s="5" t="s">
        <v>804</v>
      </c>
      <c r="B14" s="16">
        <v>2</v>
      </c>
    </row>
    <row r="15" spans="1:2" x14ac:dyDescent="0.2">
      <c r="A15" s="5" t="s">
        <v>397</v>
      </c>
      <c r="B15" s="16">
        <v>1</v>
      </c>
    </row>
    <row r="16" spans="1:2" x14ac:dyDescent="0.2">
      <c r="A16" s="5" t="s">
        <v>697</v>
      </c>
      <c r="B16" s="16">
        <v>3</v>
      </c>
    </row>
    <row r="17" spans="1:2" x14ac:dyDescent="0.2">
      <c r="A17" s="5" t="s">
        <v>121</v>
      </c>
      <c r="B17" s="16">
        <v>1</v>
      </c>
    </row>
    <row r="18" spans="1:2" x14ac:dyDescent="0.2">
      <c r="A18" s="5" t="s">
        <v>190</v>
      </c>
      <c r="B18" s="16">
        <v>8</v>
      </c>
    </row>
    <row r="19" spans="1:2" x14ac:dyDescent="0.2">
      <c r="A19" s="5" t="s">
        <v>651</v>
      </c>
      <c r="B19" s="16">
        <v>1</v>
      </c>
    </row>
    <row r="20" spans="1:2" x14ac:dyDescent="0.2">
      <c r="A20" s="5" t="s">
        <v>613</v>
      </c>
      <c r="B20" s="16">
        <v>3</v>
      </c>
    </row>
    <row r="21" spans="1:2" x14ac:dyDescent="0.2">
      <c r="A21" s="5" t="s">
        <v>104</v>
      </c>
      <c r="B21" s="16">
        <v>1</v>
      </c>
    </row>
    <row r="22" spans="1:2" x14ac:dyDescent="0.2">
      <c r="A22" s="5" t="s">
        <v>100</v>
      </c>
      <c r="B22" s="16">
        <v>1</v>
      </c>
    </row>
    <row r="23" spans="1:2" x14ac:dyDescent="0.2">
      <c r="A23" s="5" t="s">
        <v>83</v>
      </c>
      <c r="B23" s="16">
        <v>1</v>
      </c>
    </row>
    <row r="24" spans="1:2" x14ac:dyDescent="0.2">
      <c r="A24" s="5" t="s">
        <v>81</v>
      </c>
      <c r="B24" s="16">
        <v>1</v>
      </c>
    </row>
    <row r="25" spans="1:2" x14ac:dyDescent="0.2">
      <c r="A25" s="5" t="s">
        <v>605</v>
      </c>
      <c r="B25" s="16">
        <v>2</v>
      </c>
    </row>
    <row r="26" spans="1:2" x14ac:dyDescent="0.2">
      <c r="A26" s="5" t="s">
        <v>683</v>
      </c>
      <c r="B26" s="16">
        <v>1</v>
      </c>
    </row>
    <row r="27" spans="1:2" x14ac:dyDescent="0.2">
      <c r="A27" s="5" t="s">
        <v>289</v>
      </c>
      <c r="B27" s="16">
        <v>1</v>
      </c>
    </row>
    <row r="28" spans="1:2" x14ac:dyDescent="0.2">
      <c r="A28" s="5" t="s">
        <v>578</v>
      </c>
      <c r="B28" s="16">
        <v>1</v>
      </c>
    </row>
    <row r="29" spans="1:2" x14ac:dyDescent="0.2">
      <c r="A29" s="5" t="s">
        <v>260</v>
      </c>
      <c r="B29" s="16">
        <v>1</v>
      </c>
    </row>
    <row r="30" spans="1:2" x14ac:dyDescent="0.2">
      <c r="A30" s="5" t="s">
        <v>728</v>
      </c>
      <c r="B30" s="16">
        <v>1</v>
      </c>
    </row>
    <row r="31" spans="1:2" x14ac:dyDescent="0.2">
      <c r="A31" s="5" t="s">
        <v>620</v>
      </c>
      <c r="B31" s="16">
        <v>4</v>
      </c>
    </row>
    <row r="32" spans="1:2" x14ac:dyDescent="0.2">
      <c r="A32" s="5" t="s">
        <v>241</v>
      </c>
      <c r="B32" s="16">
        <v>1</v>
      </c>
    </row>
    <row r="33" spans="1:2" x14ac:dyDescent="0.2">
      <c r="A33" s="5" t="s">
        <v>301</v>
      </c>
      <c r="B33" s="16">
        <v>4</v>
      </c>
    </row>
    <row r="34" spans="1:2" x14ac:dyDescent="0.2">
      <c r="A34" s="5" t="s">
        <v>504</v>
      </c>
      <c r="B34" s="16">
        <v>2</v>
      </c>
    </row>
    <row r="35" spans="1:2" x14ac:dyDescent="0.2">
      <c r="A35" s="5" t="s">
        <v>140</v>
      </c>
      <c r="B35" s="16">
        <v>1</v>
      </c>
    </row>
    <row r="36" spans="1:2" x14ac:dyDescent="0.2">
      <c r="A36" s="5" t="s">
        <v>561</v>
      </c>
      <c r="B36" s="16">
        <v>6</v>
      </c>
    </row>
    <row r="37" spans="1:2" x14ac:dyDescent="0.2">
      <c r="A37" s="5" t="s">
        <v>536</v>
      </c>
      <c r="B37" s="16">
        <v>6</v>
      </c>
    </row>
    <row r="38" spans="1:2" x14ac:dyDescent="0.2">
      <c r="A38" s="5" t="s">
        <v>526</v>
      </c>
      <c r="B38" s="16">
        <v>5</v>
      </c>
    </row>
    <row r="39" spans="1:2" x14ac:dyDescent="0.2">
      <c r="A39" s="5" t="s">
        <v>31</v>
      </c>
      <c r="B39" s="16">
        <v>55</v>
      </c>
    </row>
    <row r="40" spans="1:2" x14ac:dyDescent="0.2">
      <c r="A40" s="5" t="s">
        <v>50</v>
      </c>
      <c r="B40" s="16">
        <v>2</v>
      </c>
    </row>
    <row r="41" spans="1:2" x14ac:dyDescent="0.2">
      <c r="A41" s="5" t="s">
        <v>584</v>
      </c>
      <c r="B41" s="16">
        <v>1</v>
      </c>
    </row>
    <row r="42" spans="1:2" x14ac:dyDescent="0.2">
      <c r="A42" s="5" t="s">
        <v>590</v>
      </c>
      <c r="B42" s="16">
        <v>2</v>
      </c>
    </row>
    <row r="43" spans="1:2" x14ac:dyDescent="0.2">
      <c r="A43" s="5" t="s">
        <v>252</v>
      </c>
      <c r="B43" s="16">
        <v>2</v>
      </c>
    </row>
    <row r="44" spans="1:2" x14ac:dyDescent="0.2">
      <c r="A44" s="5" t="s">
        <v>681</v>
      </c>
      <c r="B44" s="16">
        <v>1</v>
      </c>
    </row>
    <row r="45" spans="1:2" x14ac:dyDescent="0.2">
      <c r="A45" s="5" t="s">
        <v>79</v>
      </c>
      <c r="B45" s="16">
        <v>1</v>
      </c>
    </row>
    <row r="46" spans="1:2" x14ac:dyDescent="0.2">
      <c r="A46" s="5" t="s">
        <v>553</v>
      </c>
      <c r="B46" s="16">
        <v>1</v>
      </c>
    </row>
    <row r="47" spans="1:2" x14ac:dyDescent="0.2">
      <c r="A47" s="5" t="s">
        <v>551</v>
      </c>
      <c r="B47" s="16">
        <v>1</v>
      </c>
    </row>
    <row r="48" spans="1:2" x14ac:dyDescent="0.2">
      <c r="A48" s="5" t="s">
        <v>168</v>
      </c>
      <c r="B48" s="16">
        <v>1</v>
      </c>
    </row>
    <row r="49" spans="1:2" x14ac:dyDescent="0.2">
      <c r="A49" s="5" t="s">
        <v>280</v>
      </c>
      <c r="B49" s="16">
        <v>1</v>
      </c>
    </row>
    <row r="50" spans="1:2" x14ac:dyDescent="0.2">
      <c r="A50" s="5" t="s">
        <v>165</v>
      </c>
      <c r="B50" s="16">
        <v>5</v>
      </c>
    </row>
    <row r="51" spans="1:2" x14ac:dyDescent="0.2">
      <c r="A51" s="5" t="s">
        <v>507</v>
      </c>
      <c r="B51" s="16">
        <v>1</v>
      </c>
    </row>
    <row r="52" spans="1:2" x14ac:dyDescent="0.2">
      <c r="A52" s="5" t="s">
        <v>603</v>
      </c>
      <c r="B52" s="16">
        <v>1</v>
      </c>
    </row>
    <row r="53" spans="1:2" x14ac:dyDescent="0.2">
      <c r="A53" s="5" t="s">
        <v>147</v>
      </c>
      <c r="B53" s="16">
        <v>1</v>
      </c>
    </row>
    <row r="54" spans="1:2" x14ac:dyDescent="0.2">
      <c r="A54" s="5" t="s">
        <v>469</v>
      </c>
      <c r="B54" s="16">
        <v>1</v>
      </c>
    </row>
    <row r="55" spans="1:2" x14ac:dyDescent="0.2">
      <c r="A55" s="5" t="s">
        <v>267</v>
      </c>
      <c r="B55" s="16">
        <v>2</v>
      </c>
    </row>
    <row r="56" spans="1:2" x14ac:dyDescent="0.2">
      <c r="A56" s="5" t="s">
        <v>336</v>
      </c>
      <c r="B56" s="16">
        <v>1</v>
      </c>
    </row>
    <row r="57" spans="1:2" x14ac:dyDescent="0.2">
      <c r="A57" s="5" t="s">
        <v>108</v>
      </c>
      <c r="B57" s="16">
        <v>1</v>
      </c>
    </row>
    <row r="58" spans="1:2" x14ac:dyDescent="0.2">
      <c r="A58" s="5" t="s">
        <v>42</v>
      </c>
      <c r="B58" s="16">
        <v>1</v>
      </c>
    </row>
    <row r="59" spans="1:2" x14ac:dyDescent="0.2">
      <c r="A59" s="5" t="s">
        <v>17</v>
      </c>
      <c r="B59" s="16">
        <v>1</v>
      </c>
    </row>
    <row r="60" spans="1:2" x14ac:dyDescent="0.2">
      <c r="A60" s="5" t="s">
        <v>15</v>
      </c>
      <c r="B60" s="16">
        <v>5</v>
      </c>
    </row>
    <row r="61" spans="1:2" x14ac:dyDescent="0.2">
      <c r="A61" s="5" t="s">
        <v>744</v>
      </c>
      <c r="B61" s="16">
        <v>1</v>
      </c>
    </row>
    <row r="62" spans="1:2" x14ac:dyDescent="0.2">
      <c r="A62" s="5" t="s">
        <v>360</v>
      </c>
      <c r="B62" s="16">
        <v>1</v>
      </c>
    </row>
    <row r="63" spans="1:2" x14ac:dyDescent="0.2">
      <c r="A63" s="5" t="s">
        <v>305</v>
      </c>
      <c r="B63" s="16">
        <v>6</v>
      </c>
    </row>
    <row r="64" spans="1:2" x14ac:dyDescent="0.2">
      <c r="A64" s="5" t="s">
        <v>247</v>
      </c>
      <c r="B64" s="16">
        <v>1</v>
      </c>
    </row>
    <row r="65" spans="1:2" x14ac:dyDescent="0.2">
      <c r="A65" s="5" t="s">
        <v>522</v>
      </c>
      <c r="B65" s="16">
        <v>1</v>
      </c>
    </row>
    <row r="66" spans="1:2" x14ac:dyDescent="0.2">
      <c r="A66" s="5" t="s">
        <v>323</v>
      </c>
      <c r="B66" s="16">
        <v>5</v>
      </c>
    </row>
    <row r="67" spans="1:2" x14ac:dyDescent="0.2">
      <c r="A67" s="5" t="s">
        <v>705</v>
      </c>
      <c r="B67" s="16">
        <v>1</v>
      </c>
    </row>
    <row r="68" spans="1:2" x14ac:dyDescent="0.2">
      <c r="A68" s="5" t="s">
        <v>112</v>
      </c>
      <c r="B68" s="16">
        <v>3</v>
      </c>
    </row>
    <row r="69" spans="1:2" x14ac:dyDescent="0.2">
      <c r="A69" s="5" t="s">
        <v>89</v>
      </c>
      <c r="B69" s="16">
        <v>44</v>
      </c>
    </row>
    <row r="70" spans="1:2" x14ac:dyDescent="0.2">
      <c r="A70" s="5" t="s">
        <v>34</v>
      </c>
      <c r="B70" s="16">
        <v>82</v>
      </c>
    </row>
    <row r="71" spans="1:2" x14ac:dyDescent="0.2">
      <c r="A71" s="5" t="s">
        <v>68</v>
      </c>
      <c r="B71" s="16">
        <v>2</v>
      </c>
    </row>
    <row r="72" spans="1:2" x14ac:dyDescent="0.2">
      <c r="A72" s="5" t="s">
        <v>86</v>
      </c>
      <c r="B72" s="16">
        <v>4</v>
      </c>
    </row>
    <row r="73" spans="1:2" x14ac:dyDescent="0.2">
      <c r="A73" s="5" t="s">
        <v>135</v>
      </c>
      <c r="B73" s="16">
        <v>5</v>
      </c>
    </row>
    <row r="74" spans="1:2" x14ac:dyDescent="0.2">
      <c r="A74" s="5" t="s">
        <v>257</v>
      </c>
      <c r="B74" s="16">
        <v>1</v>
      </c>
    </row>
    <row r="75" spans="1:2" x14ac:dyDescent="0.2">
      <c r="A75" s="5" t="s">
        <v>137</v>
      </c>
      <c r="B75" s="16">
        <v>1</v>
      </c>
    </row>
    <row r="76" spans="1:2" x14ac:dyDescent="0.2">
      <c r="A76" s="5" t="s">
        <v>60</v>
      </c>
      <c r="B76" s="16">
        <v>45</v>
      </c>
    </row>
    <row r="77" spans="1:2" x14ac:dyDescent="0.2">
      <c r="A77" s="5" t="s">
        <v>175</v>
      </c>
      <c r="B77" s="16">
        <v>1</v>
      </c>
    </row>
    <row r="78" spans="1:2" x14ac:dyDescent="0.2">
      <c r="A78" s="5" t="s">
        <v>152</v>
      </c>
      <c r="B78" s="16">
        <v>3</v>
      </c>
    </row>
    <row r="79" spans="1:2" x14ac:dyDescent="0.2">
      <c r="A79" s="5" t="s">
        <v>325</v>
      </c>
      <c r="B79" s="16">
        <v>6</v>
      </c>
    </row>
    <row r="80" spans="1:2" x14ac:dyDescent="0.2">
      <c r="A80" s="5" t="s">
        <v>716</v>
      </c>
      <c r="B80" s="16">
        <v>1</v>
      </c>
    </row>
    <row r="81" spans="1:2" x14ac:dyDescent="0.2">
      <c r="A81" s="5" t="s">
        <v>517</v>
      </c>
      <c r="B81" s="16">
        <v>1</v>
      </c>
    </row>
    <row r="82" spans="1:2" x14ac:dyDescent="0.2">
      <c r="A82" s="5" t="s">
        <v>188</v>
      </c>
      <c r="B82" s="16">
        <v>2</v>
      </c>
    </row>
    <row r="83" spans="1:2" x14ac:dyDescent="0.2">
      <c r="A83" s="5" t="s">
        <v>477</v>
      </c>
      <c r="B83" s="16">
        <v>1</v>
      </c>
    </row>
    <row r="84" spans="1:2" x14ac:dyDescent="0.2">
      <c r="A84" s="5" t="s">
        <v>70</v>
      </c>
      <c r="B84" s="16">
        <v>9</v>
      </c>
    </row>
    <row r="85" spans="1:2" x14ac:dyDescent="0.2">
      <c r="A85" s="5" t="s">
        <v>383</v>
      </c>
      <c r="B85" s="16">
        <v>1</v>
      </c>
    </row>
    <row r="86" spans="1:2" x14ac:dyDescent="0.2">
      <c r="A86" s="5" t="s">
        <v>367</v>
      </c>
      <c r="B86" s="16">
        <v>7</v>
      </c>
    </row>
    <row r="87" spans="1:2" x14ac:dyDescent="0.2">
      <c r="A87" s="5" t="s">
        <v>409</v>
      </c>
      <c r="B87" s="16">
        <v>1</v>
      </c>
    </row>
    <row r="88" spans="1:2" x14ac:dyDescent="0.2">
      <c r="A88" s="5" t="s">
        <v>401</v>
      </c>
      <c r="B88" s="16">
        <v>11</v>
      </c>
    </row>
    <row r="89" spans="1:2" x14ac:dyDescent="0.2">
      <c r="A89" s="5" t="s">
        <v>128</v>
      </c>
      <c r="B89" s="16">
        <v>2</v>
      </c>
    </row>
    <row r="90" spans="1:2" x14ac:dyDescent="0.2">
      <c r="A90" s="5" t="s">
        <v>582</v>
      </c>
      <c r="B90" s="16">
        <v>16</v>
      </c>
    </row>
    <row r="91" spans="1:2" x14ac:dyDescent="0.2">
      <c r="A91" s="5" t="s">
        <v>829</v>
      </c>
      <c r="B91" s="16">
        <v>596</v>
      </c>
    </row>
    <row r="92" spans="1:2" x14ac:dyDescent="0.2">
      <c r="A92" s="5" t="s">
        <v>853</v>
      </c>
      <c r="B92" s="16">
        <v>1</v>
      </c>
    </row>
    <row r="93" spans="1:2" x14ac:dyDescent="0.2">
      <c r="A93" s="5" t="s">
        <v>859</v>
      </c>
      <c r="B93" s="16">
        <v>2</v>
      </c>
    </row>
    <row r="94" spans="1:2" x14ac:dyDescent="0.2">
      <c r="A94" s="5" t="s">
        <v>874</v>
      </c>
      <c r="B94" s="16">
        <v>3</v>
      </c>
    </row>
    <row r="95" spans="1:2" x14ac:dyDescent="0.2">
      <c r="A95" s="5" t="s">
        <v>878</v>
      </c>
      <c r="B95" s="16">
        <v>3</v>
      </c>
    </row>
    <row r="96" spans="1:2" x14ac:dyDescent="0.2">
      <c r="A96" s="5" t="s">
        <v>880</v>
      </c>
      <c r="B96" s="16">
        <v>1</v>
      </c>
    </row>
    <row r="97" spans="1:2" x14ac:dyDescent="0.2">
      <c r="A97" s="5" t="s">
        <v>907</v>
      </c>
      <c r="B97" s="16">
        <v>1</v>
      </c>
    </row>
    <row r="98" spans="1:2" x14ac:dyDescent="0.2">
      <c r="A98" s="5" t="s">
        <v>910</v>
      </c>
      <c r="B98" s="16">
        <v>1</v>
      </c>
    </row>
    <row r="99" spans="1:2" x14ac:dyDescent="0.2">
      <c r="A99" s="5" t="s">
        <v>920</v>
      </c>
      <c r="B99" s="16">
        <v>2</v>
      </c>
    </row>
    <row r="100" spans="1:2" x14ac:dyDescent="0.2">
      <c r="A100" s="5" t="s">
        <v>939</v>
      </c>
      <c r="B100" s="16">
        <v>1</v>
      </c>
    </row>
    <row r="101" spans="1:2" x14ac:dyDescent="0.2">
      <c r="A101" s="5" t="s">
        <v>968</v>
      </c>
      <c r="B101" s="16">
        <v>1</v>
      </c>
    </row>
    <row r="102" spans="1:2" x14ac:dyDescent="0.2">
      <c r="A102" s="5" t="s">
        <v>973</v>
      </c>
      <c r="B102" s="16">
        <v>1</v>
      </c>
    </row>
    <row r="103" spans="1:2" x14ac:dyDescent="0.2">
      <c r="A103" s="5" t="s">
        <v>990</v>
      </c>
      <c r="B103" s="16">
        <v>2</v>
      </c>
    </row>
    <row r="104" spans="1:2" x14ac:dyDescent="0.2">
      <c r="A104" s="5" t="s">
        <v>1000</v>
      </c>
      <c r="B104" s="16">
        <v>1</v>
      </c>
    </row>
    <row r="105" spans="1:2" x14ac:dyDescent="0.2">
      <c r="A105" s="5" t="s">
        <v>1071</v>
      </c>
      <c r="B105" s="16">
        <v>1</v>
      </c>
    </row>
    <row r="106" spans="1:2" x14ac:dyDescent="0.2">
      <c r="A106" s="5" t="s">
        <v>1073</v>
      </c>
      <c r="B106" s="16">
        <v>1</v>
      </c>
    </row>
    <row r="107" spans="1:2" x14ac:dyDescent="0.2">
      <c r="A107" s="5" t="s">
        <v>1086</v>
      </c>
      <c r="B107" s="16">
        <v>1</v>
      </c>
    </row>
    <row r="108" spans="1:2" x14ac:dyDescent="0.2">
      <c r="A108" s="5" t="s">
        <v>1088</v>
      </c>
      <c r="B108" s="16">
        <v>2</v>
      </c>
    </row>
    <row r="109" spans="1:2" x14ac:dyDescent="0.2">
      <c r="A109" s="5" t="s">
        <v>1097</v>
      </c>
      <c r="B109" s="16">
        <v>1</v>
      </c>
    </row>
    <row r="110" spans="1:2" x14ac:dyDescent="0.2">
      <c r="A110" s="5" t="s">
        <v>1099</v>
      </c>
      <c r="B110" s="16">
        <v>2</v>
      </c>
    </row>
    <row r="111" spans="1:2" x14ac:dyDescent="0.2">
      <c r="A111" s="5" t="s">
        <v>1101</v>
      </c>
      <c r="B111" s="16">
        <v>2</v>
      </c>
    </row>
    <row r="112" spans="1:2" x14ac:dyDescent="0.2">
      <c r="A112" s="5" t="s">
        <v>1112</v>
      </c>
      <c r="B112" s="16">
        <v>1</v>
      </c>
    </row>
    <row r="113" spans="1:2" x14ac:dyDescent="0.2">
      <c r="A113" s="5" t="s">
        <v>1115</v>
      </c>
      <c r="B113" s="16">
        <v>5</v>
      </c>
    </row>
    <row r="114" spans="1:2" x14ac:dyDescent="0.2">
      <c r="A114" s="5" t="s">
        <v>1130</v>
      </c>
      <c r="B114" s="16">
        <v>1</v>
      </c>
    </row>
    <row r="115" spans="1:2" x14ac:dyDescent="0.2">
      <c r="A115" s="5" t="s">
        <v>1139</v>
      </c>
      <c r="B115" s="16">
        <v>2</v>
      </c>
    </row>
    <row r="116" spans="1:2" x14ac:dyDescent="0.2">
      <c r="A116" s="5" t="s">
        <v>1151</v>
      </c>
      <c r="B116" s="16">
        <v>2</v>
      </c>
    </row>
    <row r="117" spans="1:2" x14ac:dyDescent="0.2">
      <c r="A117" s="5" t="s">
        <v>1180</v>
      </c>
      <c r="B117" s="16">
        <v>1</v>
      </c>
    </row>
    <row r="118" spans="1:2" x14ac:dyDescent="0.2">
      <c r="A118" s="5" t="s">
        <v>1294</v>
      </c>
      <c r="B118" s="16">
        <v>1</v>
      </c>
    </row>
    <row r="119" spans="1:2" x14ac:dyDescent="0.2">
      <c r="A119" s="5" t="s">
        <v>1302</v>
      </c>
      <c r="B119" s="16">
        <v>1</v>
      </c>
    </row>
    <row r="120" spans="1:2" x14ac:dyDescent="0.2">
      <c r="A120" s="5" t="s">
        <v>1334</v>
      </c>
      <c r="B120" s="16">
        <v>1</v>
      </c>
    </row>
    <row r="121" spans="1:2" x14ac:dyDescent="0.2">
      <c r="A121" s="5" t="s">
        <v>752</v>
      </c>
      <c r="B121" s="16">
        <v>1090</v>
      </c>
    </row>
  </sheetData>
  <pageMargins left="0.7" right="0.7" top="0.75" bottom="0.75" header="0.3" footer="0.3"/>
  <drawing r:id="rId2"/>
  <extLst>
    <ext xmlns:x15="http://schemas.microsoft.com/office/spreadsheetml/2010/11/main" uri="{7E03D99C-DC04-49d9-9315-930204A7B6E9}">
      <x15:timelineRefs>
        <x15:timelineRef r:id="rId3"/>
      </x15:timelineRef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28"/>
  <sheetViews>
    <sheetView workbookViewId="0">
      <pane ySplit="1" topLeftCell="A2" activePane="bottomLeft" state="frozen"/>
      <selection pane="bottomLeft" activeCell="A28" sqref="A28"/>
    </sheetView>
  </sheetViews>
  <sheetFormatPr baseColWidth="10" defaultColWidth="8.83203125" defaultRowHeight="15" x14ac:dyDescent="0.2"/>
  <cols>
    <col min="1" max="2" width="16" customWidth="1"/>
    <col min="5" max="5" width="10.33203125" bestFit="1" customWidth="1"/>
  </cols>
  <sheetData>
    <row r="1" spans="1:6" x14ac:dyDescent="0.2">
      <c r="A1" s="1" t="s">
        <v>6</v>
      </c>
      <c r="B1" s="1" t="s">
        <v>688</v>
      </c>
    </row>
    <row r="2" spans="1:6" x14ac:dyDescent="0.2">
      <c r="A2">
        <v>0</v>
      </c>
      <c r="B2">
        <f>COUNTIF('Search Audit'!I:I,0)</f>
        <v>48</v>
      </c>
      <c r="F2" s="6"/>
    </row>
    <row r="3" spans="1:6" x14ac:dyDescent="0.2">
      <c r="A3">
        <v>1</v>
      </c>
      <c r="B3">
        <f>COUNTIF('Search Audit'!I:I,1)</f>
        <v>73</v>
      </c>
    </row>
    <row r="4" spans="1:6" x14ac:dyDescent="0.2">
      <c r="A4">
        <v>2</v>
      </c>
      <c r="B4">
        <f>COUNTIF('Search Audit'!I:I,2)</f>
        <v>79</v>
      </c>
    </row>
    <row r="5" spans="1:6" x14ac:dyDescent="0.2">
      <c r="A5">
        <v>3</v>
      </c>
      <c r="B5">
        <f>COUNTIF('Search Audit'!I:I,3)</f>
        <v>94</v>
      </c>
    </row>
    <row r="6" spans="1:6" x14ac:dyDescent="0.2">
      <c r="A6">
        <v>4</v>
      </c>
      <c r="B6">
        <f>COUNTIF('Search Audit'!I:I,4)</f>
        <v>82</v>
      </c>
    </row>
    <row r="7" spans="1:6" x14ac:dyDescent="0.2">
      <c r="A7">
        <v>5</v>
      </c>
      <c r="B7">
        <f>COUNTIF('Search Audit'!I:I,5)</f>
        <v>78</v>
      </c>
    </row>
    <row r="8" spans="1:6" x14ac:dyDescent="0.2">
      <c r="A8">
        <v>6</v>
      </c>
      <c r="B8">
        <f>COUNTIF('Search Audit'!I:I,6)</f>
        <v>70</v>
      </c>
    </row>
    <row r="9" spans="1:6" x14ac:dyDescent="0.2">
      <c r="A9">
        <v>7</v>
      </c>
      <c r="B9">
        <f>COUNTIF('Search Audit'!I:I,7)</f>
        <v>78</v>
      </c>
    </row>
    <row r="10" spans="1:6" x14ac:dyDescent="0.2">
      <c r="A10">
        <v>8</v>
      </c>
      <c r="B10">
        <f>COUNTIF('Search Audit'!I:I,8)</f>
        <v>72</v>
      </c>
    </row>
    <row r="11" spans="1:6" x14ac:dyDescent="0.2">
      <c r="A11">
        <v>9</v>
      </c>
      <c r="B11">
        <f>COUNTIF('Search Audit'!I:I,9)</f>
        <v>57</v>
      </c>
    </row>
    <row r="12" spans="1:6" x14ac:dyDescent="0.2">
      <c r="A12">
        <v>10</v>
      </c>
      <c r="B12">
        <f>COUNTIF('Search Audit'!I:I,10)</f>
        <v>66</v>
      </c>
    </row>
    <row r="13" spans="1:6" x14ac:dyDescent="0.2">
      <c r="A13">
        <v>11</v>
      </c>
      <c r="B13">
        <f>COUNTIF('Search Audit'!I:I,11)</f>
        <v>34</v>
      </c>
    </row>
    <row r="14" spans="1:6" x14ac:dyDescent="0.2">
      <c r="A14">
        <v>12</v>
      </c>
      <c r="B14">
        <f>COUNTIF('Search Audit'!I:I,12)</f>
        <v>46</v>
      </c>
    </row>
    <row r="15" spans="1:6" x14ac:dyDescent="0.2">
      <c r="A15">
        <v>13</v>
      </c>
      <c r="B15">
        <f>COUNTIF('Search Audit'!I:I,13)</f>
        <v>36</v>
      </c>
    </row>
    <row r="16" spans="1:6" x14ac:dyDescent="0.2">
      <c r="A16">
        <v>14</v>
      </c>
      <c r="B16">
        <f>COUNTIF('Search Audit'!I:I,14)</f>
        <v>36</v>
      </c>
    </row>
    <row r="17" spans="1:2" x14ac:dyDescent="0.2">
      <c r="A17">
        <v>15</v>
      </c>
      <c r="B17">
        <f>COUNTIF('Search Audit'!I:I,15)</f>
        <v>41</v>
      </c>
    </row>
    <row r="18" spans="1:2" x14ac:dyDescent="0.2">
      <c r="A18">
        <v>16</v>
      </c>
      <c r="B18">
        <f>COUNTIF('Search Audit'!I:I,16)</f>
        <v>23</v>
      </c>
    </row>
    <row r="19" spans="1:2" x14ac:dyDescent="0.2">
      <c r="A19">
        <v>17</v>
      </c>
      <c r="B19">
        <f>COUNTIF('Search Audit'!I:I,17)</f>
        <v>19</v>
      </c>
    </row>
    <row r="20" spans="1:2" x14ac:dyDescent="0.2">
      <c r="A20">
        <v>18</v>
      </c>
      <c r="B20">
        <f>COUNTIF('Search Audit'!I:I,18)</f>
        <v>15</v>
      </c>
    </row>
    <row r="21" spans="1:2" x14ac:dyDescent="0.2">
      <c r="A21">
        <v>19</v>
      </c>
      <c r="B21">
        <f>COUNTIF('Search Audit'!I:I,19)</f>
        <v>15</v>
      </c>
    </row>
    <row r="22" spans="1:2" x14ac:dyDescent="0.2">
      <c r="A22">
        <v>20</v>
      </c>
      <c r="B22">
        <f>COUNTIF('Search Audit'!I:I,20)</f>
        <v>11</v>
      </c>
    </row>
    <row r="23" spans="1:2" x14ac:dyDescent="0.2">
      <c r="A23">
        <v>21</v>
      </c>
      <c r="B23">
        <f>COUNTIF('Search Audit'!I:I,21)</f>
        <v>11</v>
      </c>
    </row>
    <row r="24" spans="1:2" x14ac:dyDescent="0.2">
      <c r="A24">
        <v>22</v>
      </c>
      <c r="B24">
        <f>COUNTIF('Search Audit'!I:I,22)</f>
        <v>10</v>
      </c>
    </row>
    <row r="25" spans="1:2" x14ac:dyDescent="0.2">
      <c r="A25">
        <v>23</v>
      </c>
      <c r="B25">
        <f>COUNTIF('Search Audit'!I:I,23)</f>
        <v>25</v>
      </c>
    </row>
    <row r="28" spans="1:2" x14ac:dyDescent="0.2">
      <c r="A28" s="8" t="s">
        <v>1012</v>
      </c>
      <c r="B28">
        <f>SUM(B2:B25)</f>
        <v>1119</v>
      </c>
    </row>
  </sheetData>
  <autoFilter ref="A1:B25" xr:uid="{00000000-0001-0000-0200-000000000000}">
    <sortState xmlns:xlrd2="http://schemas.microsoft.com/office/spreadsheetml/2017/richdata2" ref="A2:B25">
      <sortCondition descending="1" ref="B1:B25"/>
    </sortState>
  </autoFilter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8736C5-572E-E54D-9427-8F13C5623EBF}">
  <dimension ref="A1:G63"/>
  <sheetViews>
    <sheetView workbookViewId="0">
      <selection activeCell="C4" sqref="C4"/>
    </sheetView>
  </sheetViews>
  <sheetFormatPr baseColWidth="10" defaultRowHeight="15" x14ac:dyDescent="0.2"/>
  <cols>
    <col min="1" max="1" width="37.33203125" bestFit="1" customWidth="1"/>
    <col min="2" max="2" width="12.1640625" bestFit="1" customWidth="1"/>
    <col min="3" max="3" width="11.1640625" bestFit="1" customWidth="1"/>
    <col min="4" max="4" width="9.6640625" bestFit="1" customWidth="1"/>
    <col min="5" max="5" width="7" bestFit="1" customWidth="1"/>
    <col min="6" max="6" width="21.5" bestFit="1" customWidth="1"/>
    <col min="7" max="7" width="14.83203125" bestFit="1" customWidth="1"/>
  </cols>
  <sheetData>
    <row r="1" spans="1:7" ht="19" x14ac:dyDescent="0.25">
      <c r="A1" s="12" t="s">
        <v>1040</v>
      </c>
    </row>
    <row r="3" spans="1:7" x14ac:dyDescent="0.2">
      <c r="A3" s="9" t="s">
        <v>7</v>
      </c>
      <c r="B3" s="9" t="s">
        <v>688</v>
      </c>
      <c r="C3" s="9" t="s">
        <v>1014</v>
      </c>
      <c r="D3" s="9" t="s">
        <v>1013</v>
      </c>
      <c r="E3" s="9" t="s">
        <v>1015</v>
      </c>
      <c r="F3" s="9" t="s">
        <v>1041</v>
      </c>
      <c r="G3" s="9" t="s">
        <v>1042</v>
      </c>
    </row>
    <row r="4" spans="1:7" x14ac:dyDescent="0.2">
      <c r="A4">
        <v>2</v>
      </c>
      <c r="B4">
        <f>COUNTIF('Search Audit'!D:D,A4)</f>
        <v>204</v>
      </c>
      <c r="C4">
        <f>COUNTIFS('Search Audit'!D:D,A4,'Search Audit'!E:E,"")</f>
        <v>125</v>
      </c>
      <c r="D4">
        <f t="shared" ref="D4:D34" si="0">B4-C4</f>
        <v>79</v>
      </c>
      <c r="E4" s="10">
        <f t="shared" ref="E4:E35" si="1">IF(B4=0,0,C4/B4)</f>
        <v>0.61274509803921573</v>
      </c>
      <c r="F4" s="15" t="s">
        <v>60</v>
      </c>
      <c r="G4">
        <v>8</v>
      </c>
    </row>
    <row r="5" spans="1:7" x14ac:dyDescent="0.2">
      <c r="A5">
        <v>3</v>
      </c>
      <c r="B5">
        <f>COUNTIF('Search Audit'!D:D,A5)</f>
        <v>213</v>
      </c>
      <c r="C5">
        <f>COUNTIFS('Search Audit'!D:D,A5,'Search Audit'!E:E,"")</f>
        <v>112</v>
      </c>
      <c r="D5">
        <f t="shared" si="0"/>
        <v>101</v>
      </c>
      <c r="E5" s="10">
        <f t="shared" si="1"/>
        <v>0.5258215962441315</v>
      </c>
      <c r="F5" s="15" t="s">
        <v>60</v>
      </c>
      <c r="G5">
        <v>15</v>
      </c>
    </row>
    <row r="6" spans="1:7" x14ac:dyDescent="0.2">
      <c r="A6">
        <v>36</v>
      </c>
      <c r="B6">
        <f>COUNTIF('Search Audit'!D:D,A6)</f>
        <v>96</v>
      </c>
      <c r="C6">
        <f>COUNTIFS('Search Audit'!D:D,A6,'Search Audit'!E:E,"")</f>
        <v>81</v>
      </c>
      <c r="D6">
        <f t="shared" si="0"/>
        <v>15</v>
      </c>
      <c r="E6" s="10">
        <f t="shared" si="1"/>
        <v>0.84375</v>
      </c>
      <c r="F6" s="15" t="s">
        <v>60</v>
      </c>
      <c r="G6">
        <v>7</v>
      </c>
    </row>
    <row r="7" spans="1:7" x14ac:dyDescent="0.2">
      <c r="A7">
        <v>15</v>
      </c>
      <c r="B7">
        <f>COUNTIF('Search Audit'!D:D,A7)</f>
        <v>81</v>
      </c>
      <c r="C7">
        <f>COUNTIFS('Search Audit'!D:D,A7,'Search Audit'!E:E,"")</f>
        <v>44</v>
      </c>
      <c r="D7">
        <f t="shared" si="0"/>
        <v>37</v>
      </c>
      <c r="E7" s="10">
        <f t="shared" si="1"/>
        <v>0.54320987654320985</v>
      </c>
      <c r="F7" s="15" t="s">
        <v>1044</v>
      </c>
      <c r="G7">
        <v>11</v>
      </c>
    </row>
    <row r="8" spans="1:7" x14ac:dyDescent="0.2">
      <c r="A8">
        <v>531</v>
      </c>
      <c r="B8">
        <f>COUNTIF('Search Audit'!D:D,A8)</f>
        <v>122</v>
      </c>
      <c r="C8">
        <f>COUNTIFS('Search Audit'!D:D,A8,'Search Audit'!E:E,"")</f>
        <v>72</v>
      </c>
      <c r="D8">
        <f t="shared" si="0"/>
        <v>50</v>
      </c>
      <c r="E8" s="10">
        <f t="shared" si="1"/>
        <v>0.5901639344262295</v>
      </c>
      <c r="F8" s="15" t="s">
        <v>34</v>
      </c>
      <c r="G8">
        <v>6</v>
      </c>
    </row>
    <row r="9" spans="1:7" x14ac:dyDescent="0.2">
      <c r="A9">
        <v>1</v>
      </c>
      <c r="B9">
        <f>COUNTIF('Search Audit'!D:D,A9)</f>
        <v>54</v>
      </c>
      <c r="C9">
        <f>COUNTIFS('Search Audit'!D:D,A9,'Search Audit'!E:E,"")</f>
        <v>29</v>
      </c>
      <c r="D9">
        <f t="shared" si="0"/>
        <v>25</v>
      </c>
      <c r="E9" s="10">
        <f t="shared" si="1"/>
        <v>0.53703703703703709</v>
      </c>
      <c r="F9" s="15" t="s">
        <v>325</v>
      </c>
      <c r="G9">
        <v>6</v>
      </c>
    </row>
    <row r="10" spans="1:7" x14ac:dyDescent="0.2">
      <c r="A10">
        <v>433</v>
      </c>
      <c r="B10">
        <f>COUNTIF('Search Audit'!D:D,A10)</f>
        <v>43</v>
      </c>
      <c r="C10">
        <f>COUNTIFS('Search Audit'!D:D,A10,'Search Audit'!E:E,"")</f>
        <v>6</v>
      </c>
      <c r="D10">
        <f t="shared" si="0"/>
        <v>37</v>
      </c>
      <c r="E10" s="10">
        <f t="shared" si="1"/>
        <v>0.13953488372093023</v>
      </c>
      <c r="F10" s="15" t="s">
        <v>31</v>
      </c>
      <c r="G10">
        <v>17</v>
      </c>
    </row>
    <row r="11" spans="1:7" x14ac:dyDescent="0.2">
      <c r="A11">
        <v>532</v>
      </c>
      <c r="B11">
        <f>COUNTIF('Search Audit'!D:D,A11)</f>
        <v>39</v>
      </c>
      <c r="C11">
        <f>COUNTIFS('Search Audit'!D:D,A11,'Search Audit'!E:E,"")</f>
        <v>20</v>
      </c>
      <c r="D11">
        <f t="shared" si="0"/>
        <v>19</v>
      </c>
      <c r="E11" s="10">
        <f t="shared" si="1"/>
        <v>0.51282051282051277</v>
      </c>
      <c r="F11" s="15" t="s">
        <v>31</v>
      </c>
      <c r="G11">
        <v>7</v>
      </c>
    </row>
    <row r="12" spans="1:7" x14ac:dyDescent="0.2">
      <c r="A12">
        <v>432</v>
      </c>
      <c r="B12">
        <f>COUNTIF('Search Audit'!D:D,A12)</f>
        <v>40</v>
      </c>
      <c r="C12">
        <f>COUNTIFS('Search Audit'!D:D,A12,'Search Audit'!E:E,"")</f>
        <v>5</v>
      </c>
      <c r="D12">
        <f t="shared" si="0"/>
        <v>35</v>
      </c>
      <c r="E12" s="10">
        <f t="shared" si="1"/>
        <v>0.125</v>
      </c>
      <c r="F12" s="15" t="s">
        <v>34</v>
      </c>
      <c r="G12">
        <v>21</v>
      </c>
    </row>
    <row r="13" spans="1:7" x14ac:dyDescent="0.2">
      <c r="A13">
        <v>35</v>
      </c>
      <c r="B13">
        <f>COUNTIF('Search Audit'!D:D,A13)</f>
        <v>36</v>
      </c>
      <c r="C13">
        <f>COUNTIFS('Search Audit'!D:D,A13,'Search Audit'!E:E,"")</f>
        <v>28</v>
      </c>
      <c r="D13">
        <f t="shared" si="0"/>
        <v>8</v>
      </c>
      <c r="E13" s="10">
        <f t="shared" si="1"/>
        <v>0.77777777777777779</v>
      </c>
      <c r="F13" s="15" t="s">
        <v>165</v>
      </c>
      <c r="G13">
        <v>4</v>
      </c>
    </row>
    <row r="14" spans="1:7" x14ac:dyDescent="0.2">
      <c r="A14">
        <v>575</v>
      </c>
      <c r="B14">
        <f>COUNTIF('Search Audit'!D:D,A14)</f>
        <v>64</v>
      </c>
      <c r="C14">
        <f>COUNTIFS('Search Audit'!D:D,A14,'Search Audit'!E:E,"")</f>
        <v>37</v>
      </c>
      <c r="D14">
        <f t="shared" si="0"/>
        <v>27</v>
      </c>
      <c r="E14" s="10">
        <f t="shared" si="1"/>
        <v>0.578125</v>
      </c>
      <c r="F14" s="15" t="s">
        <v>582</v>
      </c>
      <c r="G14">
        <v>4</v>
      </c>
    </row>
    <row r="15" spans="1:7" x14ac:dyDescent="0.2">
      <c r="A15">
        <v>4</v>
      </c>
      <c r="B15">
        <f>COUNTIF('Search Audit'!D:D,A15)</f>
        <v>29</v>
      </c>
      <c r="C15">
        <f>COUNTIFS('Search Audit'!D:D,A15,'Search Audit'!E:E,"")</f>
        <v>20</v>
      </c>
      <c r="D15">
        <f t="shared" si="0"/>
        <v>9</v>
      </c>
      <c r="E15" s="10">
        <f t="shared" si="1"/>
        <v>0.68965517241379315</v>
      </c>
      <c r="F15" s="15" t="s">
        <v>15</v>
      </c>
      <c r="G15">
        <v>2</v>
      </c>
    </row>
    <row r="16" spans="1:7" x14ac:dyDescent="0.2">
      <c r="A16">
        <v>576</v>
      </c>
      <c r="B16">
        <f>COUNTIF('Search Audit'!D:D,A16)</f>
        <v>26</v>
      </c>
      <c r="C16">
        <f>COUNTIFS('Search Audit'!D:D,A16,'Search Audit'!E:E,"")</f>
        <v>5</v>
      </c>
      <c r="D16">
        <f t="shared" si="0"/>
        <v>21</v>
      </c>
      <c r="E16" s="10">
        <f t="shared" si="1"/>
        <v>0.19230769230769232</v>
      </c>
      <c r="F16" s="15" t="s">
        <v>34</v>
      </c>
      <c r="G16">
        <v>10</v>
      </c>
    </row>
    <row r="17" spans="1:7" x14ac:dyDescent="0.2">
      <c r="A17">
        <v>40</v>
      </c>
      <c r="B17">
        <f>COUNTIF('Search Audit'!D:D,A17)</f>
        <v>15</v>
      </c>
      <c r="C17">
        <f>COUNTIFS('Search Audit'!D:D,A17,'Search Audit'!E:E,"")</f>
        <v>3</v>
      </c>
      <c r="D17">
        <f t="shared" si="0"/>
        <v>12</v>
      </c>
      <c r="E17" s="10">
        <f t="shared" si="1"/>
        <v>0.2</v>
      </c>
      <c r="F17" s="15" t="s">
        <v>401</v>
      </c>
      <c r="G17">
        <v>8</v>
      </c>
    </row>
    <row r="18" spans="1:7" x14ac:dyDescent="0.2">
      <c r="A18">
        <v>471</v>
      </c>
      <c r="B18">
        <f>COUNTIF('Search Audit'!D:D,A18)</f>
        <v>13</v>
      </c>
      <c r="C18">
        <f>COUNTIFS('Search Audit'!D:D,A18,'Search Audit'!E:E,"")</f>
        <v>0</v>
      </c>
      <c r="D18">
        <f t="shared" si="0"/>
        <v>13</v>
      </c>
      <c r="E18" s="10">
        <f t="shared" si="1"/>
        <v>0</v>
      </c>
      <c r="F18" s="15" t="s">
        <v>526</v>
      </c>
      <c r="G18">
        <v>5</v>
      </c>
    </row>
    <row r="19" spans="1:7" x14ac:dyDescent="0.2">
      <c r="A19">
        <v>16</v>
      </c>
      <c r="B19">
        <f>COUNTIF('Search Audit'!D:D,A19)</f>
        <v>9</v>
      </c>
      <c r="C19">
        <f>COUNTIFS('Search Audit'!D:D,A19,'Search Audit'!E:E,"")</f>
        <v>3</v>
      </c>
      <c r="D19">
        <f t="shared" si="0"/>
        <v>6</v>
      </c>
      <c r="E19" s="10">
        <f t="shared" si="1"/>
        <v>0.33333333333333331</v>
      </c>
      <c r="F19" s="15" t="s">
        <v>60</v>
      </c>
      <c r="G19">
        <v>3</v>
      </c>
    </row>
    <row r="20" spans="1:7" x14ac:dyDescent="0.2">
      <c r="A20">
        <v>41</v>
      </c>
      <c r="B20">
        <f>COUNTIF('Search Audit'!D:D,A20)</f>
        <v>3</v>
      </c>
      <c r="C20">
        <f>COUNTIFS('Search Audit'!D:D,A20,'Search Audit'!E:E,"")</f>
        <v>3</v>
      </c>
      <c r="D20">
        <f t="shared" si="0"/>
        <v>0</v>
      </c>
      <c r="E20" s="10">
        <f t="shared" si="1"/>
        <v>1</v>
      </c>
      <c r="F20" s="15" t="s">
        <v>1045</v>
      </c>
      <c r="G20">
        <v>0</v>
      </c>
    </row>
    <row r="21" spans="1:7" x14ac:dyDescent="0.2">
      <c r="A21">
        <v>528</v>
      </c>
      <c r="B21">
        <f>COUNTIF('Search Audit'!D:D,A21)</f>
        <v>3</v>
      </c>
      <c r="C21">
        <f>COUNTIFS('Search Audit'!D:D,A21,'Search Audit'!E:E,"")</f>
        <v>3</v>
      </c>
      <c r="D21">
        <f t="shared" si="0"/>
        <v>0</v>
      </c>
      <c r="E21" s="10">
        <f t="shared" si="1"/>
        <v>1</v>
      </c>
      <c r="F21" s="15" t="s">
        <v>1045</v>
      </c>
      <c r="G21">
        <v>0</v>
      </c>
    </row>
    <row r="22" spans="1:7" x14ac:dyDescent="0.2">
      <c r="A22">
        <v>632</v>
      </c>
      <c r="B22">
        <f>COUNTIF('Search Audit'!D:D,A22)</f>
        <v>3</v>
      </c>
      <c r="C22">
        <f>COUNTIFS('Search Audit'!D:D,A22,'Search Audit'!E:E,"")</f>
        <v>1</v>
      </c>
      <c r="D22">
        <f t="shared" si="0"/>
        <v>2</v>
      </c>
      <c r="E22" s="10">
        <f t="shared" si="1"/>
        <v>0.33333333333333331</v>
      </c>
      <c r="F22" s="15" t="s">
        <v>1046</v>
      </c>
      <c r="G22">
        <v>1</v>
      </c>
    </row>
    <row r="23" spans="1:7" x14ac:dyDescent="0.2">
      <c r="A23">
        <v>634</v>
      </c>
      <c r="B23">
        <f>COUNTIF('Search Audit'!D:D,A23)</f>
        <v>3</v>
      </c>
      <c r="C23">
        <f>COUNTIFS('Search Audit'!D:D,A23,'Search Audit'!E:E,"")</f>
        <v>0</v>
      </c>
      <c r="D23">
        <f t="shared" si="0"/>
        <v>3</v>
      </c>
      <c r="E23" s="10">
        <f t="shared" si="1"/>
        <v>0</v>
      </c>
      <c r="F23" s="15" t="s">
        <v>429</v>
      </c>
      <c r="G23">
        <v>2</v>
      </c>
    </row>
    <row r="24" spans="1:7" x14ac:dyDescent="0.2">
      <c r="A24">
        <v>472</v>
      </c>
      <c r="B24">
        <f>COUNTIF('Search Audit'!D:D,A24)</f>
        <v>2</v>
      </c>
      <c r="C24">
        <f>COUNTIFS('Search Audit'!D:D,A24,'Search Audit'!E:E,"")</f>
        <v>1</v>
      </c>
      <c r="D24">
        <f t="shared" si="0"/>
        <v>1</v>
      </c>
      <c r="E24" s="10">
        <f t="shared" si="1"/>
        <v>0.5</v>
      </c>
      <c r="F24" s="15" t="s">
        <v>140</v>
      </c>
      <c r="G24">
        <v>1</v>
      </c>
    </row>
    <row r="25" spans="1:7" x14ac:dyDescent="0.2">
      <c r="A25">
        <v>5</v>
      </c>
      <c r="B25">
        <f>COUNTIF('Search Audit'!D:D,A25)</f>
        <v>5</v>
      </c>
      <c r="C25">
        <f>COUNTIFS('Search Audit'!D:D,A25,'Search Audit'!E:E,"")</f>
        <v>1</v>
      </c>
      <c r="D25">
        <f t="shared" si="0"/>
        <v>4</v>
      </c>
      <c r="E25" s="10">
        <f t="shared" si="1"/>
        <v>0.2</v>
      </c>
      <c r="F25" s="15" t="s">
        <v>1045</v>
      </c>
      <c r="G25">
        <v>0</v>
      </c>
    </row>
    <row r="26" spans="1:7" x14ac:dyDescent="0.2">
      <c r="A26">
        <v>6</v>
      </c>
      <c r="B26">
        <f>COUNTIF('Search Audit'!D:D,A26)</f>
        <v>1</v>
      </c>
      <c r="C26">
        <f>COUNTIFS('Search Audit'!D:D,A26,'Search Audit'!E:E,"")</f>
        <v>1</v>
      </c>
      <c r="D26">
        <f t="shared" si="0"/>
        <v>0</v>
      </c>
      <c r="E26" s="10">
        <f t="shared" si="1"/>
        <v>1</v>
      </c>
      <c r="F26" s="15" t="s">
        <v>1045</v>
      </c>
      <c r="G26">
        <v>0</v>
      </c>
    </row>
    <row r="27" spans="1:7" x14ac:dyDescent="0.2">
      <c r="A27">
        <v>13</v>
      </c>
      <c r="B27">
        <f>COUNTIF('Search Audit'!D:D,A27)</f>
        <v>1</v>
      </c>
      <c r="C27">
        <f>COUNTIFS('Search Audit'!D:D,A27,'Search Audit'!E:E,"")</f>
        <v>0</v>
      </c>
      <c r="D27">
        <f t="shared" si="0"/>
        <v>1</v>
      </c>
      <c r="E27" s="10">
        <f t="shared" si="1"/>
        <v>0</v>
      </c>
      <c r="F27" s="15" t="s">
        <v>86</v>
      </c>
      <c r="G27">
        <v>1</v>
      </c>
    </row>
    <row r="28" spans="1:7" x14ac:dyDescent="0.2">
      <c r="A28">
        <v>429</v>
      </c>
      <c r="B28">
        <f>COUNTIF('Search Audit'!D:D,A28)</f>
        <v>1</v>
      </c>
      <c r="C28">
        <f>COUNTIFS('Search Audit'!D:D,A28,'Search Audit'!E:E,"")</f>
        <v>1</v>
      </c>
      <c r="D28">
        <f t="shared" si="0"/>
        <v>0</v>
      </c>
      <c r="E28" s="10">
        <f t="shared" si="1"/>
        <v>1</v>
      </c>
      <c r="F28" s="15" t="s">
        <v>1045</v>
      </c>
      <c r="G28">
        <v>0</v>
      </c>
    </row>
    <row r="29" spans="1:7" x14ac:dyDescent="0.2">
      <c r="A29">
        <v>572</v>
      </c>
      <c r="B29">
        <f>COUNTIF('Search Audit'!D:D,A29)</f>
        <v>2</v>
      </c>
      <c r="C29">
        <f>COUNTIFS('Search Audit'!D:D,A29,'Search Audit'!E:E,"")</f>
        <v>2</v>
      </c>
      <c r="D29">
        <f t="shared" si="0"/>
        <v>0</v>
      </c>
      <c r="E29" s="10">
        <f t="shared" si="1"/>
        <v>1</v>
      </c>
      <c r="F29" s="15" t="s">
        <v>1045</v>
      </c>
      <c r="G29">
        <v>0</v>
      </c>
    </row>
    <row r="30" spans="1:7" x14ac:dyDescent="0.2">
      <c r="A30">
        <v>617</v>
      </c>
      <c r="B30">
        <f>COUNTIF('Search Audit'!D:D,A30)</f>
        <v>1</v>
      </c>
      <c r="C30">
        <f>COUNTIFS('Search Audit'!D:D,A30,'Search Audit'!E:E,"")</f>
        <v>1</v>
      </c>
      <c r="D30">
        <f t="shared" si="0"/>
        <v>0</v>
      </c>
      <c r="E30" s="10">
        <f t="shared" si="1"/>
        <v>1</v>
      </c>
      <c r="F30" s="15" t="s">
        <v>1045</v>
      </c>
      <c r="G30">
        <v>0</v>
      </c>
    </row>
    <row r="31" spans="1:7" x14ac:dyDescent="0.2">
      <c r="A31">
        <v>618</v>
      </c>
      <c r="B31">
        <f>COUNTIF('Search Audit'!D:D,A31)</f>
        <v>1</v>
      </c>
      <c r="C31">
        <f>COUNTIFS('Search Audit'!D:D,A31,'Search Audit'!E:E,"")</f>
        <v>1</v>
      </c>
      <c r="D31">
        <f t="shared" si="0"/>
        <v>0</v>
      </c>
      <c r="E31" s="10">
        <f t="shared" si="1"/>
        <v>1</v>
      </c>
      <c r="F31" s="15" t="s">
        <v>1045</v>
      </c>
      <c r="G31">
        <v>0</v>
      </c>
    </row>
    <row r="32" spans="1:7" x14ac:dyDescent="0.2">
      <c r="A32">
        <v>619</v>
      </c>
      <c r="B32">
        <f>COUNTIF('Search Audit'!D:D,A32)</f>
        <v>1</v>
      </c>
      <c r="C32">
        <f>COUNTIFS('Search Audit'!D:D,A32,'Search Audit'!E:E,"")</f>
        <v>1</v>
      </c>
      <c r="D32">
        <f t="shared" si="0"/>
        <v>0</v>
      </c>
      <c r="E32" s="10">
        <f t="shared" si="1"/>
        <v>1</v>
      </c>
      <c r="F32" s="15" t="s">
        <v>1045</v>
      </c>
      <c r="G32">
        <v>0</v>
      </c>
    </row>
    <row r="33" spans="1:7" x14ac:dyDescent="0.2">
      <c r="A33">
        <v>624</v>
      </c>
      <c r="B33">
        <f>COUNTIF('Search Audit'!D:D,A33)</f>
        <v>1</v>
      </c>
      <c r="C33">
        <f>COUNTIFS('Search Audit'!D:D,A33,'Search Audit'!E:E,"")</f>
        <v>1</v>
      </c>
      <c r="D33">
        <f t="shared" si="0"/>
        <v>0</v>
      </c>
      <c r="E33" s="10">
        <f t="shared" si="1"/>
        <v>1</v>
      </c>
      <c r="F33" s="15" t="s">
        <v>1045</v>
      </c>
      <c r="G33">
        <v>0</v>
      </c>
    </row>
    <row r="34" spans="1:7" ht="16" thickBot="1" x14ac:dyDescent="0.25">
      <c r="A34">
        <v>826</v>
      </c>
      <c r="B34">
        <f>COUNTIF('Search Audit'!D:D,A34)</f>
        <v>1</v>
      </c>
      <c r="C34">
        <f>COUNTIFS('Search Audit'!D:D,A34,'Search Audit'!E:E,"")</f>
        <v>0</v>
      </c>
      <c r="D34">
        <f t="shared" si="0"/>
        <v>1</v>
      </c>
      <c r="E34" s="10">
        <f t="shared" si="1"/>
        <v>0</v>
      </c>
      <c r="F34" s="15" t="s">
        <v>620</v>
      </c>
      <c r="G34">
        <v>1</v>
      </c>
    </row>
    <row r="35" spans="1:7" x14ac:dyDescent="0.2">
      <c r="A35" s="13" t="s">
        <v>1043</v>
      </c>
      <c r="B35" s="13">
        <f>SUM(B4:B34)</f>
        <v>1113</v>
      </c>
      <c r="C35" s="13">
        <f>SUM(C4:C34)</f>
        <v>607</v>
      </c>
      <c r="D35" s="13">
        <f>SUM(D4:D34)</f>
        <v>506</v>
      </c>
      <c r="E35" s="14">
        <f t="shared" si="1"/>
        <v>0.54537286612758307</v>
      </c>
      <c r="F35" s="13"/>
      <c r="G35" s="13"/>
    </row>
    <row r="38" spans="1:7" x14ac:dyDescent="0.2">
      <c r="A38" s="8" t="s">
        <v>1047</v>
      </c>
    </row>
    <row r="39" spans="1:7" x14ac:dyDescent="0.2">
      <c r="A39" s="9" t="s">
        <v>7</v>
      </c>
      <c r="B39" s="9" t="s">
        <v>1013</v>
      </c>
      <c r="C39" s="9" t="s">
        <v>1014</v>
      </c>
    </row>
    <row r="40" spans="1:7" x14ac:dyDescent="0.2">
      <c r="A40" t="s">
        <v>1048</v>
      </c>
      <c r="B40">
        <f t="shared" ref="B40:B49" si="2">D4</f>
        <v>79</v>
      </c>
      <c r="C40">
        <f t="shared" ref="C40:C49" si="3">C4</f>
        <v>125</v>
      </c>
    </row>
    <row r="41" spans="1:7" x14ac:dyDescent="0.2">
      <c r="A41" t="s">
        <v>1049</v>
      </c>
      <c r="B41">
        <f t="shared" si="2"/>
        <v>101</v>
      </c>
      <c r="C41">
        <f t="shared" si="3"/>
        <v>112</v>
      </c>
    </row>
    <row r="42" spans="1:7" x14ac:dyDescent="0.2">
      <c r="A42" t="s">
        <v>1050</v>
      </c>
      <c r="B42">
        <f t="shared" si="2"/>
        <v>15</v>
      </c>
      <c r="C42">
        <f t="shared" si="3"/>
        <v>81</v>
      </c>
    </row>
    <row r="43" spans="1:7" x14ac:dyDescent="0.2">
      <c r="A43" t="s">
        <v>1051</v>
      </c>
      <c r="B43">
        <f t="shared" si="2"/>
        <v>37</v>
      </c>
      <c r="C43">
        <f t="shared" si="3"/>
        <v>44</v>
      </c>
    </row>
    <row r="44" spans="1:7" x14ac:dyDescent="0.2">
      <c r="A44" t="s">
        <v>1052</v>
      </c>
      <c r="B44">
        <f t="shared" si="2"/>
        <v>50</v>
      </c>
      <c r="C44">
        <f t="shared" si="3"/>
        <v>72</v>
      </c>
    </row>
    <row r="45" spans="1:7" x14ac:dyDescent="0.2">
      <c r="A45" t="s">
        <v>1053</v>
      </c>
      <c r="B45">
        <f t="shared" si="2"/>
        <v>25</v>
      </c>
      <c r="C45">
        <f t="shared" si="3"/>
        <v>29</v>
      </c>
    </row>
    <row r="46" spans="1:7" x14ac:dyDescent="0.2">
      <c r="A46" t="s">
        <v>1054</v>
      </c>
      <c r="B46">
        <f t="shared" si="2"/>
        <v>37</v>
      </c>
      <c r="C46">
        <f t="shared" si="3"/>
        <v>6</v>
      </c>
    </row>
    <row r="47" spans="1:7" x14ac:dyDescent="0.2">
      <c r="A47" t="s">
        <v>1055</v>
      </c>
      <c r="B47">
        <f t="shared" si="2"/>
        <v>19</v>
      </c>
      <c r="C47">
        <f t="shared" si="3"/>
        <v>20</v>
      </c>
    </row>
    <row r="48" spans="1:7" x14ac:dyDescent="0.2">
      <c r="A48" t="s">
        <v>1056</v>
      </c>
      <c r="B48">
        <f t="shared" si="2"/>
        <v>35</v>
      </c>
      <c r="C48">
        <f t="shared" si="3"/>
        <v>5</v>
      </c>
    </row>
    <row r="49" spans="1:3" x14ac:dyDescent="0.2">
      <c r="A49" t="s">
        <v>1057</v>
      </c>
      <c r="B49">
        <f t="shared" si="2"/>
        <v>8</v>
      </c>
      <c r="C49">
        <f t="shared" si="3"/>
        <v>28</v>
      </c>
    </row>
    <row r="52" spans="1:3" x14ac:dyDescent="0.2">
      <c r="A52" s="8" t="s">
        <v>1058</v>
      </c>
    </row>
    <row r="53" spans="1:3" x14ac:dyDescent="0.2">
      <c r="A53" s="9" t="s">
        <v>7</v>
      </c>
      <c r="B53" s="9" t="s">
        <v>1015</v>
      </c>
    </row>
    <row r="54" spans="1:3" x14ac:dyDescent="0.2">
      <c r="A54">
        <v>2</v>
      </c>
      <c r="B54" s="10">
        <f t="shared" ref="B54:B63" si="4">E4</f>
        <v>0.61274509803921573</v>
      </c>
    </row>
    <row r="55" spans="1:3" x14ac:dyDescent="0.2">
      <c r="A55">
        <v>3</v>
      </c>
      <c r="B55" s="10">
        <f t="shared" si="4"/>
        <v>0.5258215962441315</v>
      </c>
    </row>
    <row r="56" spans="1:3" x14ac:dyDescent="0.2">
      <c r="A56">
        <v>36</v>
      </c>
      <c r="B56" s="10">
        <f t="shared" si="4"/>
        <v>0.84375</v>
      </c>
    </row>
    <row r="57" spans="1:3" x14ac:dyDescent="0.2">
      <c r="A57">
        <v>15</v>
      </c>
      <c r="B57" s="10">
        <f t="shared" si="4"/>
        <v>0.54320987654320985</v>
      </c>
    </row>
    <row r="58" spans="1:3" x14ac:dyDescent="0.2">
      <c r="A58">
        <v>531</v>
      </c>
      <c r="B58" s="10">
        <f t="shared" si="4"/>
        <v>0.5901639344262295</v>
      </c>
    </row>
    <row r="59" spans="1:3" x14ac:dyDescent="0.2">
      <c r="A59">
        <v>1</v>
      </c>
      <c r="B59" s="10">
        <f t="shared" si="4"/>
        <v>0.53703703703703709</v>
      </c>
    </row>
    <row r="60" spans="1:3" x14ac:dyDescent="0.2">
      <c r="A60">
        <v>433</v>
      </c>
      <c r="B60" s="10">
        <f t="shared" si="4"/>
        <v>0.13953488372093023</v>
      </c>
    </row>
    <row r="61" spans="1:3" x14ac:dyDescent="0.2">
      <c r="A61">
        <v>532</v>
      </c>
      <c r="B61" s="10">
        <f t="shared" si="4"/>
        <v>0.51282051282051277</v>
      </c>
    </row>
    <row r="62" spans="1:3" x14ac:dyDescent="0.2">
      <c r="A62">
        <v>432</v>
      </c>
      <c r="B62" s="10">
        <f t="shared" si="4"/>
        <v>0.125</v>
      </c>
    </row>
    <row r="63" spans="1:3" x14ac:dyDescent="0.2">
      <c r="A63">
        <v>35</v>
      </c>
      <c r="B63" s="10">
        <f t="shared" si="4"/>
        <v>0.77777777777777779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35FDE4-B6E4-9C42-9BF8-E9CCD344B954}">
  <dimension ref="A1:I1120"/>
  <sheetViews>
    <sheetView workbookViewId="0">
      <pane xSplit="3" ySplit="1" topLeftCell="D1083" activePane="bottomRight" state="frozen"/>
      <selection pane="topRight" activeCell="D1" sqref="D1"/>
      <selection pane="bottomLeft" activeCell="A2" sqref="A2"/>
      <selection pane="bottomRight" activeCell="L29" sqref="L29"/>
    </sheetView>
  </sheetViews>
  <sheetFormatPr baseColWidth="10" defaultRowHeight="15" x14ac:dyDescent="0.2"/>
  <cols>
    <col min="1" max="1" width="35.83203125" bestFit="1" customWidth="1"/>
    <col min="2" max="2" width="9.1640625" bestFit="1" customWidth="1"/>
    <col min="3" max="3" width="21.5" bestFit="1" customWidth="1"/>
    <col min="4" max="4" width="15.33203125" bestFit="1" customWidth="1"/>
    <col min="5" max="5" width="44.1640625" style="7" bestFit="1" customWidth="1"/>
    <col min="6" max="6" width="19.33203125" bestFit="1" customWidth="1"/>
    <col min="7" max="7" width="13.6640625" bestFit="1" customWidth="1"/>
    <col min="8" max="8" width="13.1640625" bestFit="1" customWidth="1"/>
    <col min="9" max="9" width="13.83203125" bestFit="1" customWidth="1"/>
    <col min="12" max="12" width="16" bestFit="1" customWidth="1"/>
  </cols>
  <sheetData>
    <row r="1" spans="1:9" x14ac:dyDescent="0.2">
      <c r="A1" t="s">
        <v>0</v>
      </c>
      <c r="B1" t="s">
        <v>1</v>
      </c>
      <c r="C1" t="s">
        <v>2</v>
      </c>
      <c r="D1" t="s">
        <v>7</v>
      </c>
      <c r="E1" s="7" t="s">
        <v>8</v>
      </c>
      <c r="F1" t="s">
        <v>3</v>
      </c>
      <c r="G1" t="s">
        <v>4</v>
      </c>
      <c r="H1" t="s">
        <v>5</v>
      </c>
      <c r="I1" t="s">
        <v>6</v>
      </c>
    </row>
    <row r="2" spans="1:9" x14ac:dyDescent="0.2">
      <c r="A2" s="16" t="s">
        <v>9</v>
      </c>
      <c r="B2" s="16" t="s">
        <v>10</v>
      </c>
      <c r="C2" s="2">
        <v>46055.716828726851</v>
      </c>
      <c r="D2">
        <v>15</v>
      </c>
      <c r="E2" s="7">
        <v>288</v>
      </c>
      <c r="F2" s="2">
        <v>46055.383495393522</v>
      </c>
      <c r="G2" s="3">
        <v>46055</v>
      </c>
      <c r="H2" t="s">
        <v>11</v>
      </c>
      <c r="I2">
        <v>9</v>
      </c>
    </row>
    <row r="3" spans="1:9" x14ac:dyDescent="0.2">
      <c r="A3" s="16" t="s">
        <v>12</v>
      </c>
      <c r="B3" s="16" t="s">
        <v>10</v>
      </c>
      <c r="C3" s="2">
        <v>46055.766359317131</v>
      </c>
      <c r="D3">
        <v>15</v>
      </c>
      <c r="E3" s="7">
        <v>288</v>
      </c>
      <c r="F3" s="2">
        <v>46055.433025983795</v>
      </c>
      <c r="G3" s="3">
        <v>46055</v>
      </c>
      <c r="H3" t="s">
        <v>11</v>
      </c>
      <c r="I3">
        <v>10</v>
      </c>
    </row>
    <row r="4" spans="1:9" x14ac:dyDescent="0.2">
      <c r="A4" s="16" t="s">
        <v>13</v>
      </c>
      <c r="B4" s="16" t="s">
        <v>10</v>
      </c>
      <c r="C4" s="2">
        <v>46055.776036678239</v>
      </c>
      <c r="D4">
        <v>2</v>
      </c>
      <c r="F4" s="2">
        <v>46055.44270334491</v>
      </c>
      <c r="G4" s="3">
        <v>46055</v>
      </c>
      <c r="H4" t="s">
        <v>11</v>
      </c>
      <c r="I4">
        <v>10</v>
      </c>
    </row>
    <row r="5" spans="1:9" x14ac:dyDescent="0.2">
      <c r="A5" s="16" t="s">
        <v>14</v>
      </c>
      <c r="B5" s="16" t="s">
        <v>10</v>
      </c>
      <c r="C5" s="2">
        <v>46055.781577002315</v>
      </c>
      <c r="D5">
        <v>4</v>
      </c>
      <c r="E5" s="7" t="s">
        <v>15</v>
      </c>
      <c r="F5" s="2">
        <v>46055.44824366898</v>
      </c>
      <c r="G5" s="3">
        <v>46055</v>
      </c>
      <c r="H5" t="s">
        <v>11</v>
      </c>
      <c r="I5">
        <v>10</v>
      </c>
    </row>
    <row r="6" spans="1:9" x14ac:dyDescent="0.2">
      <c r="A6" s="16" t="s">
        <v>16</v>
      </c>
      <c r="B6" s="16" t="s">
        <v>10</v>
      </c>
      <c r="C6" s="2">
        <v>46055.791761018518</v>
      </c>
      <c r="D6">
        <v>2</v>
      </c>
      <c r="E6" s="7" t="s">
        <v>17</v>
      </c>
      <c r="F6" s="2">
        <v>46055.458427685182</v>
      </c>
      <c r="G6" s="3">
        <v>46055</v>
      </c>
      <c r="H6" t="s">
        <v>11</v>
      </c>
      <c r="I6">
        <v>11</v>
      </c>
    </row>
    <row r="7" spans="1:9" x14ac:dyDescent="0.2">
      <c r="A7" s="16" t="s">
        <v>18</v>
      </c>
      <c r="B7" s="16" t="s">
        <v>10</v>
      </c>
      <c r="C7" s="2">
        <v>46055.819182962965</v>
      </c>
      <c r="D7">
        <v>15</v>
      </c>
      <c r="F7" s="2">
        <v>46055.485849629629</v>
      </c>
      <c r="G7" s="3">
        <v>46055</v>
      </c>
      <c r="H7" t="s">
        <v>11</v>
      </c>
      <c r="I7">
        <v>11</v>
      </c>
    </row>
    <row r="8" spans="1:9" x14ac:dyDescent="0.2">
      <c r="A8" s="16" t="s">
        <v>19</v>
      </c>
      <c r="B8" s="16" t="s">
        <v>10</v>
      </c>
      <c r="C8" s="2">
        <v>46055.859260219906</v>
      </c>
      <c r="D8">
        <v>2</v>
      </c>
      <c r="F8" s="2">
        <v>46055.525926886578</v>
      </c>
      <c r="G8" s="3">
        <v>46055</v>
      </c>
      <c r="H8" t="s">
        <v>11</v>
      </c>
      <c r="I8">
        <v>12</v>
      </c>
    </row>
    <row r="9" spans="1:9" x14ac:dyDescent="0.2">
      <c r="A9" s="16" t="s">
        <v>20</v>
      </c>
      <c r="B9" s="16" t="s">
        <v>10</v>
      </c>
      <c r="C9" s="2">
        <v>46055.863799583334</v>
      </c>
      <c r="D9">
        <v>2</v>
      </c>
      <c r="F9" s="2">
        <v>46055.530466249998</v>
      </c>
      <c r="G9" s="3">
        <v>46055</v>
      </c>
      <c r="H9" t="s">
        <v>11</v>
      </c>
      <c r="I9">
        <v>12</v>
      </c>
    </row>
    <row r="10" spans="1:9" x14ac:dyDescent="0.2">
      <c r="A10" s="16" t="s">
        <v>21</v>
      </c>
      <c r="B10" s="16" t="s">
        <v>10</v>
      </c>
      <c r="C10" s="2">
        <v>46055.868652268517</v>
      </c>
      <c r="D10">
        <v>1</v>
      </c>
      <c r="F10" s="2">
        <v>46055.535318935188</v>
      </c>
      <c r="G10" s="3">
        <v>46055</v>
      </c>
      <c r="H10" t="s">
        <v>11</v>
      </c>
      <c r="I10">
        <v>12</v>
      </c>
    </row>
    <row r="11" spans="1:9" x14ac:dyDescent="0.2">
      <c r="A11" s="16" t="s">
        <v>22</v>
      </c>
      <c r="B11" s="16" t="s">
        <v>10</v>
      </c>
      <c r="C11" s="2">
        <v>46055.877008229167</v>
      </c>
      <c r="D11">
        <v>2</v>
      </c>
      <c r="F11" s="2">
        <v>46055.543674895831</v>
      </c>
      <c r="G11" s="3">
        <v>46055</v>
      </c>
      <c r="H11" t="s">
        <v>11</v>
      </c>
      <c r="I11">
        <v>13</v>
      </c>
    </row>
    <row r="12" spans="1:9" x14ac:dyDescent="0.2">
      <c r="A12" s="16" t="s">
        <v>23</v>
      </c>
      <c r="B12" s="16" t="s">
        <v>10</v>
      </c>
      <c r="C12" s="2">
        <v>46055.887139259263</v>
      </c>
      <c r="D12">
        <v>15</v>
      </c>
      <c r="E12" s="7">
        <v>10851</v>
      </c>
      <c r="F12" s="2">
        <v>46055.553805925927</v>
      </c>
      <c r="G12" s="3">
        <v>46055</v>
      </c>
      <c r="H12" t="s">
        <v>11</v>
      </c>
      <c r="I12">
        <v>13</v>
      </c>
    </row>
    <row r="13" spans="1:9" x14ac:dyDescent="0.2">
      <c r="A13" s="16" t="s">
        <v>24</v>
      </c>
      <c r="B13" s="16" t="s">
        <v>10</v>
      </c>
      <c r="C13" s="2">
        <v>46055.925119282409</v>
      </c>
      <c r="D13">
        <v>15</v>
      </c>
      <c r="E13" s="7">
        <v>10851</v>
      </c>
      <c r="F13" s="2">
        <v>46055.591785949073</v>
      </c>
      <c r="G13" s="3">
        <v>46055</v>
      </c>
      <c r="H13" t="s">
        <v>11</v>
      </c>
      <c r="I13">
        <v>14</v>
      </c>
    </row>
    <row r="14" spans="1:9" x14ac:dyDescent="0.2">
      <c r="A14" s="16" t="s">
        <v>25</v>
      </c>
      <c r="B14" s="16" t="s">
        <v>10</v>
      </c>
      <c r="C14" s="2">
        <v>46055.938109594907</v>
      </c>
      <c r="D14">
        <v>2</v>
      </c>
      <c r="F14" s="2">
        <v>46055.604776261571</v>
      </c>
      <c r="G14" s="3">
        <v>46055</v>
      </c>
      <c r="H14" t="s">
        <v>11</v>
      </c>
      <c r="I14">
        <v>14</v>
      </c>
    </row>
    <row r="15" spans="1:9" x14ac:dyDescent="0.2">
      <c r="A15" s="16" t="s">
        <v>26</v>
      </c>
      <c r="B15" s="16" t="s">
        <v>10</v>
      </c>
      <c r="C15" s="2">
        <v>46055.984849502318</v>
      </c>
      <c r="D15">
        <v>15</v>
      </c>
      <c r="E15" s="7">
        <v>10851</v>
      </c>
      <c r="F15" s="2">
        <v>46055.651516168982</v>
      </c>
      <c r="G15" s="3">
        <v>46055</v>
      </c>
      <c r="H15" t="s">
        <v>11</v>
      </c>
      <c r="I15">
        <v>15</v>
      </c>
    </row>
    <row r="16" spans="1:9" x14ac:dyDescent="0.2">
      <c r="A16" s="16" t="s">
        <v>27</v>
      </c>
      <c r="B16" s="16" t="s">
        <v>10</v>
      </c>
      <c r="C16" s="2">
        <v>46056.152275208333</v>
      </c>
      <c r="D16">
        <v>2</v>
      </c>
      <c r="F16" s="2">
        <v>46055.818941874997</v>
      </c>
      <c r="G16" s="3">
        <v>46055</v>
      </c>
      <c r="H16" t="s">
        <v>11</v>
      </c>
      <c r="I16">
        <v>19</v>
      </c>
    </row>
    <row r="17" spans="1:9" x14ac:dyDescent="0.2">
      <c r="A17" s="16" t="s">
        <v>29</v>
      </c>
      <c r="B17" s="16" t="s">
        <v>10</v>
      </c>
      <c r="C17" s="2">
        <v>46056.31737203704</v>
      </c>
      <c r="D17">
        <v>2</v>
      </c>
      <c r="F17" s="2">
        <v>46055.984038703704</v>
      </c>
      <c r="G17" s="3">
        <v>46055</v>
      </c>
      <c r="H17" t="s">
        <v>11</v>
      </c>
      <c r="I17">
        <v>23</v>
      </c>
    </row>
    <row r="18" spans="1:9" x14ac:dyDescent="0.2">
      <c r="A18" s="16" t="s">
        <v>30</v>
      </c>
      <c r="B18" s="16" t="s">
        <v>10</v>
      </c>
      <c r="C18" s="2">
        <v>46056.409567673611</v>
      </c>
      <c r="D18">
        <v>433</v>
      </c>
      <c r="E18" s="7" t="s">
        <v>31</v>
      </c>
      <c r="F18" s="2">
        <v>46056.076234340275</v>
      </c>
      <c r="G18" s="3">
        <v>46056</v>
      </c>
      <c r="H18" t="s">
        <v>28</v>
      </c>
      <c r="I18">
        <v>1</v>
      </c>
    </row>
    <row r="19" spans="1:9" x14ac:dyDescent="0.2">
      <c r="A19" s="16" t="s">
        <v>32</v>
      </c>
      <c r="B19" s="16" t="s">
        <v>10</v>
      </c>
      <c r="C19" s="2">
        <v>46056.414650960651</v>
      </c>
      <c r="D19">
        <v>2</v>
      </c>
      <c r="F19" s="2">
        <v>46056.081317627315</v>
      </c>
      <c r="G19" s="3">
        <v>46056</v>
      </c>
      <c r="H19" t="s">
        <v>28</v>
      </c>
      <c r="I19">
        <v>1</v>
      </c>
    </row>
    <row r="20" spans="1:9" x14ac:dyDescent="0.2">
      <c r="A20" s="16" t="s">
        <v>33</v>
      </c>
      <c r="B20" s="16" t="s">
        <v>10</v>
      </c>
      <c r="C20" s="2">
        <v>46056.421666203707</v>
      </c>
      <c r="D20">
        <v>433</v>
      </c>
      <c r="E20" s="7" t="s">
        <v>34</v>
      </c>
      <c r="F20" s="2">
        <v>46056.088332870371</v>
      </c>
      <c r="G20" s="3">
        <v>46056</v>
      </c>
      <c r="H20" t="s">
        <v>28</v>
      </c>
      <c r="I20">
        <v>2</v>
      </c>
    </row>
    <row r="21" spans="1:9" x14ac:dyDescent="0.2">
      <c r="A21" s="16" t="s">
        <v>35</v>
      </c>
      <c r="B21" s="16" t="s">
        <v>10</v>
      </c>
      <c r="C21" s="2">
        <v>46056.428502453702</v>
      </c>
      <c r="D21">
        <v>433</v>
      </c>
      <c r="E21" s="7" t="s">
        <v>31</v>
      </c>
      <c r="F21" s="2">
        <v>46056.095169120374</v>
      </c>
      <c r="G21" s="3">
        <v>46056</v>
      </c>
      <c r="H21" t="s">
        <v>28</v>
      </c>
      <c r="I21">
        <v>2</v>
      </c>
    </row>
    <row r="22" spans="1:9" x14ac:dyDescent="0.2">
      <c r="A22" s="16" t="s">
        <v>36</v>
      </c>
      <c r="B22" s="16" t="s">
        <v>10</v>
      </c>
      <c r="C22" s="2">
        <v>46056.459501157406</v>
      </c>
      <c r="D22">
        <v>433</v>
      </c>
      <c r="E22" s="7" t="s">
        <v>31</v>
      </c>
      <c r="F22" s="2">
        <v>46056.126167824077</v>
      </c>
      <c r="G22" s="3">
        <v>46056</v>
      </c>
      <c r="H22" t="s">
        <v>28</v>
      </c>
      <c r="I22">
        <v>3</v>
      </c>
    </row>
    <row r="23" spans="1:9" x14ac:dyDescent="0.2">
      <c r="A23" s="16" t="s">
        <v>37</v>
      </c>
      <c r="B23" s="16" t="s">
        <v>10</v>
      </c>
      <c r="C23" s="2">
        <v>46056.497329641206</v>
      </c>
      <c r="D23">
        <v>1</v>
      </c>
      <c r="E23" s="7" t="s">
        <v>15</v>
      </c>
      <c r="F23" s="2">
        <v>46056.163996307871</v>
      </c>
      <c r="G23" s="3">
        <v>46056</v>
      </c>
      <c r="H23" t="s">
        <v>28</v>
      </c>
      <c r="I23">
        <v>3</v>
      </c>
    </row>
    <row r="24" spans="1:9" x14ac:dyDescent="0.2">
      <c r="A24" s="16" t="s">
        <v>38</v>
      </c>
      <c r="B24" s="16" t="s">
        <v>10</v>
      </c>
      <c r="C24" s="2">
        <v>46056.505963842596</v>
      </c>
      <c r="D24">
        <v>2</v>
      </c>
      <c r="F24" s="2">
        <v>46056.17263050926</v>
      </c>
      <c r="G24" s="3">
        <v>46056</v>
      </c>
      <c r="H24" t="s">
        <v>28</v>
      </c>
      <c r="I24">
        <v>4</v>
      </c>
    </row>
    <row r="25" spans="1:9" x14ac:dyDescent="0.2">
      <c r="A25" s="16" t="s">
        <v>39</v>
      </c>
      <c r="B25" s="16" t="s">
        <v>10</v>
      </c>
      <c r="C25" s="2">
        <v>46056.576965347223</v>
      </c>
      <c r="D25">
        <v>35</v>
      </c>
      <c r="F25" s="2">
        <v>46056.243632013888</v>
      </c>
      <c r="G25" s="3">
        <v>46056</v>
      </c>
      <c r="H25" t="s">
        <v>28</v>
      </c>
      <c r="I25">
        <v>5</v>
      </c>
    </row>
    <row r="26" spans="1:9" x14ac:dyDescent="0.2">
      <c r="A26" s="16" t="s">
        <v>40</v>
      </c>
      <c r="B26" s="16" t="s">
        <v>10</v>
      </c>
      <c r="C26" s="2">
        <v>46056.586196157405</v>
      </c>
      <c r="D26">
        <v>433</v>
      </c>
      <c r="E26" s="7" t="s">
        <v>31</v>
      </c>
      <c r="F26" s="2">
        <v>46056.252862824076</v>
      </c>
      <c r="G26" s="3">
        <v>46056</v>
      </c>
      <c r="H26" t="s">
        <v>28</v>
      </c>
      <c r="I26">
        <v>6</v>
      </c>
    </row>
    <row r="27" spans="1:9" x14ac:dyDescent="0.2">
      <c r="A27" s="16" t="s">
        <v>41</v>
      </c>
      <c r="B27" s="16" t="s">
        <v>10</v>
      </c>
      <c r="C27" s="2">
        <v>46056.613520393519</v>
      </c>
      <c r="D27">
        <v>36</v>
      </c>
      <c r="E27" s="7" t="s">
        <v>42</v>
      </c>
      <c r="F27" s="2">
        <v>46056.280187060183</v>
      </c>
      <c r="G27" s="3">
        <v>46056</v>
      </c>
      <c r="H27" t="s">
        <v>28</v>
      </c>
      <c r="I27">
        <v>6</v>
      </c>
    </row>
    <row r="28" spans="1:9" x14ac:dyDescent="0.2">
      <c r="A28" s="16" t="s">
        <v>43</v>
      </c>
      <c r="B28" s="16" t="s">
        <v>10</v>
      </c>
      <c r="C28" s="2">
        <v>46056.631595520834</v>
      </c>
      <c r="D28">
        <v>433</v>
      </c>
      <c r="E28" s="7" t="s">
        <v>31</v>
      </c>
      <c r="F28" s="2">
        <v>46056.298262187498</v>
      </c>
      <c r="G28" s="3">
        <v>46056</v>
      </c>
      <c r="H28" t="s">
        <v>28</v>
      </c>
      <c r="I28">
        <v>7</v>
      </c>
    </row>
    <row r="29" spans="1:9" x14ac:dyDescent="0.2">
      <c r="A29" s="16" t="s">
        <v>44</v>
      </c>
      <c r="B29" s="16" t="s">
        <v>10</v>
      </c>
      <c r="C29" s="2">
        <v>46056.643274745373</v>
      </c>
      <c r="D29">
        <v>36</v>
      </c>
      <c r="E29" s="7" t="s">
        <v>45</v>
      </c>
      <c r="F29" s="2">
        <v>46056.309941412037</v>
      </c>
      <c r="G29" s="3">
        <v>46056</v>
      </c>
      <c r="H29" t="s">
        <v>28</v>
      </c>
      <c r="I29">
        <v>7</v>
      </c>
    </row>
    <row r="30" spans="1:9" x14ac:dyDescent="0.2">
      <c r="A30" s="16" t="s">
        <v>46</v>
      </c>
      <c r="B30" s="16" t="s">
        <v>10</v>
      </c>
      <c r="C30" s="2">
        <v>46056.668980821756</v>
      </c>
      <c r="D30">
        <v>2</v>
      </c>
      <c r="E30" s="7">
        <v>288</v>
      </c>
      <c r="F30" s="2">
        <v>46056.335647488428</v>
      </c>
      <c r="G30" s="3">
        <v>46056</v>
      </c>
      <c r="H30" t="s">
        <v>28</v>
      </c>
      <c r="I30">
        <v>8</v>
      </c>
    </row>
    <row r="31" spans="1:9" x14ac:dyDescent="0.2">
      <c r="A31" s="16" t="s">
        <v>47</v>
      </c>
      <c r="B31" s="16" t="s">
        <v>10</v>
      </c>
      <c r="C31" s="2">
        <v>46056.718723749997</v>
      </c>
      <c r="D31">
        <v>15</v>
      </c>
      <c r="E31" s="7">
        <v>10851</v>
      </c>
      <c r="F31" s="2">
        <v>46056.385390416668</v>
      </c>
      <c r="G31" s="3">
        <v>46056</v>
      </c>
      <c r="H31" t="s">
        <v>28</v>
      </c>
      <c r="I31">
        <v>9</v>
      </c>
    </row>
    <row r="32" spans="1:9" x14ac:dyDescent="0.2">
      <c r="A32" s="16" t="s">
        <v>48</v>
      </c>
      <c r="B32" s="16" t="s">
        <v>10</v>
      </c>
      <c r="C32" s="2">
        <v>46056.72309230324</v>
      </c>
      <c r="D32">
        <v>35</v>
      </c>
      <c r="F32" s="2">
        <v>46056.389758969905</v>
      </c>
      <c r="G32" s="3">
        <v>46056</v>
      </c>
      <c r="H32" t="s">
        <v>28</v>
      </c>
      <c r="I32">
        <v>9</v>
      </c>
    </row>
    <row r="33" spans="1:9" x14ac:dyDescent="0.2">
      <c r="A33" s="16" t="s">
        <v>49</v>
      </c>
      <c r="B33" s="16" t="s">
        <v>10</v>
      </c>
      <c r="C33" s="2">
        <v>46056.756797141206</v>
      </c>
      <c r="D33">
        <v>433</v>
      </c>
      <c r="E33" s="7" t="s">
        <v>50</v>
      </c>
      <c r="F33" s="2">
        <v>46056.423463807871</v>
      </c>
      <c r="G33" s="3">
        <v>46056</v>
      </c>
      <c r="H33" t="s">
        <v>28</v>
      </c>
      <c r="I33">
        <v>10</v>
      </c>
    </row>
    <row r="34" spans="1:9" x14ac:dyDescent="0.2">
      <c r="A34" s="16" t="s">
        <v>51</v>
      </c>
      <c r="B34" s="16" t="s">
        <v>10</v>
      </c>
      <c r="C34" s="2">
        <v>46056.759246712965</v>
      </c>
      <c r="D34">
        <v>35</v>
      </c>
      <c r="F34" s="2">
        <v>46056.425913379629</v>
      </c>
      <c r="G34" s="3">
        <v>46056</v>
      </c>
      <c r="H34" t="s">
        <v>28</v>
      </c>
      <c r="I34">
        <v>10</v>
      </c>
    </row>
    <row r="35" spans="1:9" x14ac:dyDescent="0.2">
      <c r="A35" s="16" t="s">
        <v>52</v>
      </c>
      <c r="B35" s="16" t="s">
        <v>10</v>
      </c>
      <c r="C35" s="2">
        <v>46056.766881932868</v>
      </c>
      <c r="D35">
        <v>15</v>
      </c>
      <c r="E35" s="7">
        <v>10851</v>
      </c>
      <c r="F35" s="2">
        <v>46056.43354859954</v>
      </c>
      <c r="G35" s="3">
        <v>46056</v>
      </c>
      <c r="H35" t="s">
        <v>28</v>
      </c>
      <c r="I35">
        <v>10</v>
      </c>
    </row>
    <row r="36" spans="1:9" x14ac:dyDescent="0.2">
      <c r="A36" s="16" t="s">
        <v>53</v>
      </c>
      <c r="B36" s="16" t="s">
        <v>10</v>
      </c>
      <c r="C36" s="2">
        <v>46056.802026527781</v>
      </c>
      <c r="D36">
        <v>15</v>
      </c>
      <c r="E36" s="7">
        <v>10851</v>
      </c>
      <c r="F36" s="2">
        <v>46056.468693194445</v>
      </c>
      <c r="G36" s="3">
        <v>46056</v>
      </c>
      <c r="H36" t="s">
        <v>28</v>
      </c>
      <c r="I36">
        <v>11</v>
      </c>
    </row>
    <row r="37" spans="1:9" x14ac:dyDescent="0.2">
      <c r="A37" s="16" t="s">
        <v>54</v>
      </c>
      <c r="B37" s="16" t="s">
        <v>10</v>
      </c>
      <c r="C37" s="2">
        <v>46056.81041208333</v>
      </c>
      <c r="D37">
        <v>35</v>
      </c>
      <c r="F37" s="2">
        <v>46056.477078750002</v>
      </c>
      <c r="G37" s="3">
        <v>46056</v>
      </c>
      <c r="H37" t="s">
        <v>28</v>
      </c>
      <c r="I37">
        <v>11</v>
      </c>
    </row>
    <row r="38" spans="1:9" x14ac:dyDescent="0.2">
      <c r="A38" s="16" t="s">
        <v>55</v>
      </c>
      <c r="B38" s="16" t="s">
        <v>10</v>
      </c>
      <c r="C38" s="2">
        <v>46056.847995555552</v>
      </c>
      <c r="D38">
        <v>15</v>
      </c>
      <c r="E38" s="7">
        <v>10851</v>
      </c>
      <c r="F38" s="2">
        <v>46056.514662222224</v>
      </c>
      <c r="G38" s="3">
        <v>46056</v>
      </c>
      <c r="H38" t="s">
        <v>28</v>
      </c>
      <c r="I38">
        <v>12</v>
      </c>
    </row>
    <row r="39" spans="1:9" x14ac:dyDescent="0.2">
      <c r="A39" s="16" t="s">
        <v>56</v>
      </c>
      <c r="B39" s="16" t="s">
        <v>10</v>
      </c>
      <c r="C39" s="2">
        <v>46056.883516793983</v>
      </c>
      <c r="D39">
        <v>15</v>
      </c>
      <c r="E39" s="7">
        <v>10851</v>
      </c>
      <c r="F39" s="2">
        <v>46056.550183460648</v>
      </c>
      <c r="G39" s="3">
        <v>46056</v>
      </c>
      <c r="H39" t="s">
        <v>28</v>
      </c>
      <c r="I39">
        <v>13</v>
      </c>
    </row>
    <row r="40" spans="1:9" x14ac:dyDescent="0.2">
      <c r="A40" s="16" t="s">
        <v>57</v>
      </c>
      <c r="B40" s="16" t="s">
        <v>10</v>
      </c>
      <c r="C40" s="2">
        <v>46056.927469432871</v>
      </c>
      <c r="D40">
        <v>15</v>
      </c>
      <c r="E40" s="7">
        <v>10851</v>
      </c>
      <c r="F40" s="2">
        <v>46056.594136099535</v>
      </c>
      <c r="G40" s="3">
        <v>46056</v>
      </c>
      <c r="H40" t="s">
        <v>28</v>
      </c>
      <c r="I40">
        <v>14</v>
      </c>
    </row>
    <row r="41" spans="1:9" x14ac:dyDescent="0.2">
      <c r="A41" s="16" t="s">
        <v>58</v>
      </c>
      <c r="B41" s="16" t="s">
        <v>10</v>
      </c>
      <c r="C41" s="2">
        <v>46056.930818564811</v>
      </c>
      <c r="D41">
        <v>2</v>
      </c>
      <c r="E41" s="7">
        <v>1036</v>
      </c>
      <c r="F41" s="2">
        <v>46056.597485231483</v>
      </c>
      <c r="G41" s="3">
        <v>46056</v>
      </c>
      <c r="H41" t="s">
        <v>28</v>
      </c>
      <c r="I41">
        <v>14</v>
      </c>
    </row>
    <row r="42" spans="1:9" x14ac:dyDescent="0.2">
      <c r="A42" s="16" t="s">
        <v>59</v>
      </c>
      <c r="B42" s="16" t="s">
        <v>10</v>
      </c>
      <c r="C42" s="2">
        <v>46056.935771377313</v>
      </c>
      <c r="D42">
        <v>16</v>
      </c>
      <c r="E42" s="7" t="s">
        <v>60</v>
      </c>
      <c r="F42" s="2">
        <v>46056.602438043985</v>
      </c>
      <c r="G42" s="3">
        <v>46056</v>
      </c>
      <c r="H42" t="s">
        <v>28</v>
      </c>
      <c r="I42">
        <v>14</v>
      </c>
    </row>
    <row r="43" spans="1:9" x14ac:dyDescent="0.2">
      <c r="A43" s="16" t="s">
        <v>61</v>
      </c>
      <c r="B43" s="16" t="s">
        <v>10</v>
      </c>
      <c r="C43" s="2">
        <v>46056.958399212963</v>
      </c>
      <c r="D43">
        <v>15</v>
      </c>
      <c r="E43" s="7">
        <v>1036</v>
      </c>
      <c r="F43" s="2">
        <v>46056.625065879627</v>
      </c>
      <c r="G43" s="3">
        <v>46056</v>
      </c>
      <c r="H43" t="s">
        <v>28</v>
      </c>
      <c r="I43">
        <v>15</v>
      </c>
    </row>
    <row r="44" spans="1:9" x14ac:dyDescent="0.2">
      <c r="A44" s="16" t="s">
        <v>62</v>
      </c>
      <c r="B44" s="16" t="s">
        <v>10</v>
      </c>
      <c r="C44" s="2">
        <v>46057.17464297454</v>
      </c>
      <c r="D44">
        <v>2</v>
      </c>
      <c r="F44" s="2">
        <v>46056.841309641204</v>
      </c>
      <c r="G44" s="3">
        <v>46056</v>
      </c>
      <c r="H44" t="s">
        <v>28</v>
      </c>
      <c r="I44">
        <v>20</v>
      </c>
    </row>
    <row r="45" spans="1:9" x14ac:dyDescent="0.2">
      <c r="A45" s="16" t="s">
        <v>64</v>
      </c>
      <c r="B45" s="16" t="s">
        <v>10</v>
      </c>
      <c r="C45" s="2">
        <v>46057.215019583331</v>
      </c>
      <c r="D45">
        <v>2</v>
      </c>
      <c r="F45" s="2">
        <v>46056.881686250003</v>
      </c>
      <c r="G45" s="3">
        <v>46056</v>
      </c>
      <c r="H45" t="s">
        <v>28</v>
      </c>
      <c r="I45">
        <v>21</v>
      </c>
    </row>
    <row r="46" spans="1:9" x14ac:dyDescent="0.2">
      <c r="A46" s="16" t="s">
        <v>65</v>
      </c>
      <c r="B46" s="16" t="s">
        <v>10</v>
      </c>
      <c r="C46" s="2">
        <v>46057.236925578705</v>
      </c>
      <c r="D46">
        <v>433</v>
      </c>
      <c r="E46" s="7" t="s">
        <v>31</v>
      </c>
      <c r="F46" s="2">
        <v>46056.90359224537</v>
      </c>
      <c r="G46" s="3">
        <v>46056</v>
      </c>
      <c r="H46" t="s">
        <v>28</v>
      </c>
      <c r="I46">
        <v>21</v>
      </c>
    </row>
    <row r="47" spans="1:9" x14ac:dyDescent="0.2">
      <c r="A47" s="16" t="s">
        <v>66</v>
      </c>
      <c r="B47" s="16" t="s">
        <v>10</v>
      </c>
      <c r="C47" s="2">
        <v>46057.448622511576</v>
      </c>
      <c r="D47">
        <v>4</v>
      </c>
      <c r="F47" s="2">
        <v>46057.11528917824</v>
      </c>
      <c r="G47" s="3">
        <v>46057</v>
      </c>
      <c r="H47" t="s">
        <v>63</v>
      </c>
      <c r="I47">
        <v>2</v>
      </c>
    </row>
    <row r="48" spans="1:9" x14ac:dyDescent="0.2">
      <c r="A48" s="16" t="s">
        <v>67</v>
      </c>
      <c r="B48" s="16" t="s">
        <v>10</v>
      </c>
      <c r="C48" s="2">
        <v>46057.451074999997</v>
      </c>
      <c r="D48">
        <v>36</v>
      </c>
      <c r="E48" s="7" t="s">
        <v>68</v>
      </c>
      <c r="F48" s="2">
        <v>46057.117741666669</v>
      </c>
      <c r="G48" s="3">
        <v>46057</v>
      </c>
      <c r="H48" t="s">
        <v>63</v>
      </c>
      <c r="I48">
        <v>2</v>
      </c>
    </row>
    <row r="49" spans="1:9" x14ac:dyDescent="0.2">
      <c r="A49" s="16" t="s">
        <v>69</v>
      </c>
      <c r="B49" s="16" t="s">
        <v>10</v>
      </c>
      <c r="C49" s="2">
        <v>46057.455727465276</v>
      </c>
      <c r="D49">
        <v>2</v>
      </c>
      <c r="E49" s="7" t="s">
        <v>70</v>
      </c>
      <c r="F49" s="2">
        <v>46057.122394131948</v>
      </c>
      <c r="G49" s="3">
        <v>46057</v>
      </c>
      <c r="H49" t="s">
        <v>63</v>
      </c>
      <c r="I49">
        <v>2</v>
      </c>
    </row>
    <row r="50" spans="1:9" x14ac:dyDescent="0.2">
      <c r="A50" s="16" t="s">
        <v>71</v>
      </c>
      <c r="B50" s="16" t="s">
        <v>10</v>
      </c>
      <c r="C50" s="2">
        <v>46057.455981689818</v>
      </c>
      <c r="D50">
        <v>2</v>
      </c>
      <c r="F50" s="2">
        <v>46057.122648356482</v>
      </c>
      <c r="G50" s="3">
        <v>46057</v>
      </c>
      <c r="H50" t="s">
        <v>63</v>
      </c>
      <c r="I50">
        <v>2</v>
      </c>
    </row>
    <row r="51" spans="1:9" x14ac:dyDescent="0.2">
      <c r="A51" s="16" t="s">
        <v>72</v>
      </c>
      <c r="B51" s="16" t="s">
        <v>10</v>
      </c>
      <c r="C51" s="2">
        <v>46057.459261550925</v>
      </c>
      <c r="D51">
        <v>36</v>
      </c>
      <c r="E51" s="7" t="s">
        <v>68</v>
      </c>
      <c r="F51" s="2">
        <v>46057.125928217596</v>
      </c>
      <c r="G51" s="3">
        <v>46057</v>
      </c>
      <c r="H51" t="s">
        <v>63</v>
      </c>
      <c r="I51">
        <v>3</v>
      </c>
    </row>
    <row r="52" spans="1:9" x14ac:dyDescent="0.2">
      <c r="A52" s="16" t="s">
        <v>73</v>
      </c>
      <c r="B52" s="16" t="s">
        <v>10</v>
      </c>
      <c r="C52" s="2">
        <v>46057.45958127315</v>
      </c>
      <c r="D52">
        <v>632</v>
      </c>
      <c r="F52" s="2">
        <v>46057.126247939814</v>
      </c>
      <c r="G52" s="3">
        <v>46057</v>
      </c>
      <c r="H52" t="s">
        <v>63</v>
      </c>
      <c r="I52">
        <v>3</v>
      </c>
    </row>
    <row r="53" spans="1:9" x14ac:dyDescent="0.2">
      <c r="A53" s="16" t="s">
        <v>74</v>
      </c>
      <c r="B53" s="16" t="s">
        <v>10</v>
      </c>
      <c r="C53" s="2">
        <v>46057.462856979168</v>
      </c>
      <c r="D53">
        <v>2</v>
      </c>
      <c r="F53" s="2">
        <v>46057.129523645832</v>
      </c>
      <c r="G53" s="3">
        <v>46057</v>
      </c>
      <c r="H53" t="s">
        <v>63</v>
      </c>
      <c r="I53">
        <v>3</v>
      </c>
    </row>
    <row r="54" spans="1:9" x14ac:dyDescent="0.2">
      <c r="A54" s="16" t="s">
        <v>75</v>
      </c>
      <c r="B54" s="16" t="s">
        <v>10</v>
      </c>
      <c r="C54" s="2">
        <v>46057.463853541667</v>
      </c>
      <c r="D54">
        <v>2</v>
      </c>
      <c r="F54" s="2">
        <v>46057.130520208331</v>
      </c>
      <c r="G54" s="3">
        <v>46057</v>
      </c>
      <c r="H54" t="s">
        <v>63</v>
      </c>
      <c r="I54">
        <v>3</v>
      </c>
    </row>
    <row r="55" spans="1:9" x14ac:dyDescent="0.2">
      <c r="A55" s="16" t="s">
        <v>76</v>
      </c>
      <c r="B55" s="16" t="s">
        <v>10</v>
      </c>
      <c r="C55" s="2">
        <v>46057.464566782408</v>
      </c>
      <c r="D55">
        <v>2</v>
      </c>
      <c r="F55" s="2">
        <v>46057.131233449072</v>
      </c>
      <c r="G55" s="3">
        <v>46057</v>
      </c>
      <c r="H55" t="s">
        <v>63</v>
      </c>
      <c r="I55">
        <v>3</v>
      </c>
    </row>
    <row r="56" spans="1:9" x14ac:dyDescent="0.2">
      <c r="A56" s="16" t="s">
        <v>77</v>
      </c>
      <c r="B56" s="16" t="s">
        <v>10</v>
      </c>
      <c r="C56" s="2">
        <v>46057.464577974541</v>
      </c>
      <c r="D56">
        <v>2</v>
      </c>
      <c r="F56" s="2">
        <v>46057.131244641205</v>
      </c>
      <c r="G56" s="3">
        <v>46057</v>
      </c>
      <c r="H56" t="s">
        <v>63</v>
      </c>
      <c r="I56">
        <v>3</v>
      </c>
    </row>
    <row r="57" spans="1:9" x14ac:dyDescent="0.2">
      <c r="A57" s="16" t="s">
        <v>78</v>
      </c>
      <c r="B57" s="16" t="s">
        <v>10</v>
      </c>
      <c r="C57" s="2">
        <v>46057.464736527778</v>
      </c>
      <c r="D57">
        <v>15</v>
      </c>
      <c r="E57" s="7" t="s">
        <v>79</v>
      </c>
      <c r="F57" s="2">
        <v>46057.131403194442</v>
      </c>
      <c r="G57" s="3">
        <v>46057</v>
      </c>
      <c r="H57" t="s">
        <v>63</v>
      </c>
      <c r="I57">
        <v>3</v>
      </c>
    </row>
    <row r="58" spans="1:9" x14ac:dyDescent="0.2">
      <c r="A58" s="16" t="s">
        <v>80</v>
      </c>
      <c r="B58" s="16" t="s">
        <v>10</v>
      </c>
      <c r="C58" s="2">
        <v>46057.466103587962</v>
      </c>
      <c r="D58">
        <v>632</v>
      </c>
      <c r="E58" s="7" t="s">
        <v>81</v>
      </c>
      <c r="F58" s="2">
        <v>46057.132770254633</v>
      </c>
      <c r="G58" s="3">
        <v>46057</v>
      </c>
      <c r="H58" t="s">
        <v>63</v>
      </c>
      <c r="I58">
        <v>3</v>
      </c>
    </row>
    <row r="59" spans="1:9" x14ac:dyDescent="0.2">
      <c r="A59" s="16" t="s">
        <v>82</v>
      </c>
      <c r="B59" s="16" t="s">
        <v>10</v>
      </c>
      <c r="C59" s="2">
        <v>46057.469533784722</v>
      </c>
      <c r="D59">
        <v>1</v>
      </c>
      <c r="E59" s="7" t="s">
        <v>83</v>
      </c>
      <c r="F59" s="2">
        <v>46057.136200451387</v>
      </c>
      <c r="G59" s="3">
        <v>46057</v>
      </c>
      <c r="H59" t="s">
        <v>63</v>
      </c>
      <c r="I59">
        <v>3</v>
      </c>
    </row>
    <row r="60" spans="1:9" x14ac:dyDescent="0.2">
      <c r="A60" s="16" t="s">
        <v>84</v>
      </c>
      <c r="B60" s="16" t="s">
        <v>10</v>
      </c>
      <c r="C60" s="2">
        <v>46057.479764895834</v>
      </c>
      <c r="D60">
        <v>16</v>
      </c>
      <c r="E60" s="7" t="s">
        <v>70</v>
      </c>
      <c r="F60" s="2">
        <v>46057.146431562498</v>
      </c>
      <c r="G60" s="3">
        <v>46057</v>
      </c>
      <c r="H60" t="s">
        <v>63</v>
      </c>
      <c r="I60">
        <v>3</v>
      </c>
    </row>
    <row r="61" spans="1:9" x14ac:dyDescent="0.2">
      <c r="A61" s="16" t="s">
        <v>85</v>
      </c>
      <c r="B61" s="16" t="s">
        <v>10</v>
      </c>
      <c r="C61" s="2">
        <v>46057.497105358794</v>
      </c>
      <c r="D61">
        <v>13</v>
      </c>
      <c r="E61" s="7" t="s">
        <v>86</v>
      </c>
      <c r="F61" s="2">
        <v>46057.163772025466</v>
      </c>
      <c r="G61" s="3">
        <v>46057</v>
      </c>
      <c r="H61" t="s">
        <v>63</v>
      </c>
      <c r="I61">
        <v>3</v>
      </c>
    </row>
    <row r="62" spans="1:9" x14ac:dyDescent="0.2">
      <c r="A62" s="16" t="s">
        <v>87</v>
      </c>
      <c r="B62" s="16" t="s">
        <v>10</v>
      </c>
      <c r="C62" s="2">
        <v>46057.50770642361</v>
      </c>
      <c r="D62">
        <v>15</v>
      </c>
      <c r="F62" s="2">
        <v>46057.174373090274</v>
      </c>
      <c r="G62" s="3">
        <v>46057</v>
      </c>
      <c r="H62" t="s">
        <v>63</v>
      </c>
      <c r="I62">
        <v>4</v>
      </c>
    </row>
    <row r="63" spans="1:9" x14ac:dyDescent="0.2">
      <c r="A63" s="16" t="s">
        <v>88</v>
      </c>
      <c r="B63" s="16" t="s">
        <v>10</v>
      </c>
      <c r="C63" s="2">
        <v>46057.550112581019</v>
      </c>
      <c r="D63">
        <v>2</v>
      </c>
      <c r="E63" s="7" t="s">
        <v>89</v>
      </c>
      <c r="F63" s="2">
        <v>46057.216779247683</v>
      </c>
      <c r="G63" s="3">
        <v>46057</v>
      </c>
      <c r="H63" t="s">
        <v>63</v>
      </c>
      <c r="I63">
        <v>5</v>
      </c>
    </row>
    <row r="64" spans="1:9" x14ac:dyDescent="0.2">
      <c r="A64" s="16" t="s">
        <v>90</v>
      </c>
      <c r="B64" s="16" t="s">
        <v>10</v>
      </c>
      <c r="C64" s="2">
        <v>46057.552964247683</v>
      </c>
      <c r="D64">
        <v>40</v>
      </c>
      <c r="F64" s="2">
        <v>46057.219630914355</v>
      </c>
      <c r="G64" s="3">
        <v>46057</v>
      </c>
      <c r="H64" t="s">
        <v>63</v>
      </c>
      <c r="I64">
        <v>5</v>
      </c>
    </row>
    <row r="65" spans="1:9" x14ac:dyDescent="0.2">
      <c r="A65" s="16" t="s">
        <v>91</v>
      </c>
      <c r="B65" s="16" t="s">
        <v>10</v>
      </c>
      <c r="C65" s="2">
        <v>46057.566478518522</v>
      </c>
      <c r="D65">
        <v>433</v>
      </c>
      <c r="E65" s="7" t="s">
        <v>31</v>
      </c>
      <c r="F65" s="2">
        <v>46057.233145185186</v>
      </c>
      <c r="G65" s="3">
        <v>46057</v>
      </c>
      <c r="H65" t="s">
        <v>63</v>
      </c>
      <c r="I65">
        <v>5</v>
      </c>
    </row>
    <row r="66" spans="1:9" x14ac:dyDescent="0.2">
      <c r="A66" s="16" t="s">
        <v>92</v>
      </c>
      <c r="B66" s="16" t="s">
        <v>10</v>
      </c>
      <c r="C66" s="2">
        <v>46057.72057986111</v>
      </c>
      <c r="D66">
        <v>433</v>
      </c>
      <c r="E66" s="7" t="s">
        <v>34</v>
      </c>
      <c r="F66" s="2">
        <v>46057.387246527775</v>
      </c>
      <c r="G66" s="3">
        <v>46057</v>
      </c>
      <c r="H66" t="s">
        <v>63</v>
      </c>
      <c r="I66">
        <v>9</v>
      </c>
    </row>
    <row r="67" spans="1:9" x14ac:dyDescent="0.2">
      <c r="A67" s="16" t="s">
        <v>93</v>
      </c>
      <c r="B67" s="16" t="s">
        <v>10</v>
      </c>
      <c r="C67" s="2">
        <v>46057.975713483793</v>
      </c>
      <c r="D67">
        <v>4</v>
      </c>
      <c r="F67" s="2">
        <v>46057.642380150464</v>
      </c>
      <c r="G67" s="3">
        <v>46057</v>
      </c>
      <c r="H67" t="s">
        <v>63</v>
      </c>
      <c r="I67">
        <v>15</v>
      </c>
    </row>
    <row r="68" spans="1:9" x14ac:dyDescent="0.2">
      <c r="A68" s="16" t="s">
        <v>94</v>
      </c>
      <c r="B68" s="16" t="s">
        <v>10</v>
      </c>
      <c r="C68" s="2">
        <v>46058.363891458335</v>
      </c>
      <c r="D68">
        <v>2</v>
      </c>
      <c r="F68" s="2">
        <v>46058.030558125</v>
      </c>
      <c r="G68" s="3">
        <v>46058</v>
      </c>
      <c r="H68" t="s">
        <v>95</v>
      </c>
      <c r="I68">
        <v>0</v>
      </c>
    </row>
    <row r="69" spans="1:9" x14ac:dyDescent="0.2">
      <c r="A69" s="16" t="s">
        <v>96</v>
      </c>
      <c r="B69" s="16" t="s">
        <v>10</v>
      </c>
      <c r="C69" s="2">
        <v>46058.383253935186</v>
      </c>
      <c r="D69">
        <v>2</v>
      </c>
      <c r="E69" s="7" t="s">
        <v>70</v>
      </c>
      <c r="F69" s="2">
        <v>46058.04992060185</v>
      </c>
      <c r="G69" s="3">
        <v>46058</v>
      </c>
      <c r="H69" t="s">
        <v>95</v>
      </c>
      <c r="I69">
        <v>1</v>
      </c>
    </row>
    <row r="70" spans="1:9" x14ac:dyDescent="0.2">
      <c r="A70" s="16" t="s">
        <v>97</v>
      </c>
      <c r="B70" s="16" t="s">
        <v>10</v>
      </c>
      <c r="C70" s="2">
        <v>46058.385386932867</v>
      </c>
      <c r="D70">
        <v>15</v>
      </c>
      <c r="F70" s="2">
        <v>46058.052053599538</v>
      </c>
      <c r="G70" s="3">
        <v>46058</v>
      </c>
      <c r="H70" t="s">
        <v>95</v>
      </c>
      <c r="I70">
        <v>1</v>
      </c>
    </row>
    <row r="71" spans="1:9" x14ac:dyDescent="0.2">
      <c r="A71" s="16" t="s">
        <v>98</v>
      </c>
      <c r="B71" s="16" t="s">
        <v>10</v>
      </c>
      <c r="C71" s="2">
        <v>46058.447060289349</v>
      </c>
      <c r="D71">
        <v>433</v>
      </c>
      <c r="F71" s="2">
        <v>46058.11372695602</v>
      </c>
      <c r="G71" s="3">
        <v>46058</v>
      </c>
      <c r="H71" t="s">
        <v>95</v>
      </c>
      <c r="I71">
        <v>2</v>
      </c>
    </row>
    <row r="72" spans="1:9" x14ac:dyDescent="0.2">
      <c r="A72" s="16" t="s">
        <v>99</v>
      </c>
      <c r="B72" s="16" t="s">
        <v>10</v>
      </c>
      <c r="C72" s="2">
        <v>46058.469103310184</v>
      </c>
      <c r="D72">
        <v>40</v>
      </c>
      <c r="E72" s="7" t="s">
        <v>100</v>
      </c>
      <c r="F72" s="2">
        <v>46058.135769976849</v>
      </c>
      <c r="G72" s="3">
        <v>46058</v>
      </c>
      <c r="H72" t="s">
        <v>95</v>
      </c>
      <c r="I72">
        <v>3</v>
      </c>
    </row>
    <row r="73" spans="1:9" x14ac:dyDescent="0.2">
      <c r="A73" s="16" t="s">
        <v>101</v>
      </c>
      <c r="B73" s="16" t="s">
        <v>10</v>
      </c>
      <c r="C73" s="2">
        <v>46058.482470983799</v>
      </c>
      <c r="D73">
        <v>2</v>
      </c>
      <c r="F73" s="2">
        <v>46058.149137650464</v>
      </c>
      <c r="G73" s="3">
        <v>46058</v>
      </c>
      <c r="H73" t="s">
        <v>95</v>
      </c>
      <c r="I73">
        <v>3</v>
      </c>
    </row>
    <row r="74" spans="1:9" x14ac:dyDescent="0.2">
      <c r="A74" s="16" t="s">
        <v>102</v>
      </c>
      <c r="B74" s="16" t="s">
        <v>10</v>
      </c>
      <c r="C74" s="2">
        <v>46058.485093761577</v>
      </c>
      <c r="D74">
        <v>36</v>
      </c>
      <c r="E74" s="7" t="s">
        <v>60</v>
      </c>
      <c r="F74" s="2">
        <v>46058.151760428242</v>
      </c>
      <c r="G74" s="3">
        <v>46058</v>
      </c>
      <c r="H74" t="s">
        <v>95</v>
      </c>
      <c r="I74">
        <v>3</v>
      </c>
    </row>
    <row r="75" spans="1:9" x14ac:dyDescent="0.2">
      <c r="A75" s="16" t="s">
        <v>103</v>
      </c>
      <c r="B75" s="16" t="s">
        <v>10</v>
      </c>
      <c r="C75" s="2">
        <v>46058.560903912039</v>
      </c>
      <c r="D75">
        <v>40</v>
      </c>
      <c r="E75" s="7" t="s">
        <v>104</v>
      </c>
      <c r="F75" s="2">
        <v>46058.227570578703</v>
      </c>
      <c r="G75" s="3">
        <v>46058</v>
      </c>
      <c r="H75" t="s">
        <v>95</v>
      </c>
      <c r="I75">
        <v>5</v>
      </c>
    </row>
    <row r="76" spans="1:9" x14ac:dyDescent="0.2">
      <c r="A76" s="16" t="s">
        <v>105</v>
      </c>
      <c r="B76" s="16" t="s">
        <v>10</v>
      </c>
      <c r="C76" s="2">
        <v>46058.57481784722</v>
      </c>
      <c r="D76">
        <v>2</v>
      </c>
      <c r="E76" s="7" t="s">
        <v>60</v>
      </c>
      <c r="F76" s="2">
        <v>46058.241484513892</v>
      </c>
      <c r="G76" s="3">
        <v>46058</v>
      </c>
      <c r="H76" t="s">
        <v>95</v>
      </c>
      <c r="I76">
        <v>5</v>
      </c>
    </row>
    <row r="77" spans="1:9" x14ac:dyDescent="0.2">
      <c r="A77" s="16" t="s">
        <v>106</v>
      </c>
      <c r="B77" s="16" t="s">
        <v>10</v>
      </c>
      <c r="C77" s="2">
        <v>46058.583369189815</v>
      </c>
      <c r="D77">
        <v>2</v>
      </c>
      <c r="E77" s="7" t="s">
        <v>60</v>
      </c>
      <c r="F77" s="2">
        <v>46058.250035856479</v>
      </c>
      <c r="G77" s="3">
        <v>46058</v>
      </c>
      <c r="H77" t="s">
        <v>95</v>
      </c>
      <c r="I77">
        <v>6</v>
      </c>
    </row>
    <row r="78" spans="1:9" x14ac:dyDescent="0.2">
      <c r="A78" s="16" t="s">
        <v>107</v>
      </c>
      <c r="B78" s="16" t="s">
        <v>10</v>
      </c>
      <c r="C78" s="2">
        <v>46058.619740740738</v>
      </c>
      <c r="D78">
        <v>2</v>
      </c>
      <c r="E78" s="7" t="s">
        <v>108</v>
      </c>
      <c r="F78" s="2">
        <v>46058.28640740741</v>
      </c>
      <c r="G78" s="3">
        <v>46058</v>
      </c>
      <c r="H78" t="s">
        <v>95</v>
      </c>
      <c r="I78">
        <v>6</v>
      </c>
    </row>
    <row r="79" spans="1:9" x14ac:dyDescent="0.2">
      <c r="A79" s="16" t="s">
        <v>109</v>
      </c>
      <c r="B79" s="16" t="s">
        <v>10</v>
      </c>
      <c r="C79" s="2">
        <v>46058.659155300928</v>
      </c>
      <c r="D79">
        <v>3</v>
      </c>
      <c r="F79" s="2">
        <v>46058.325821967592</v>
      </c>
      <c r="G79" s="3">
        <v>46058</v>
      </c>
      <c r="H79" t="s">
        <v>95</v>
      </c>
      <c r="I79">
        <v>7</v>
      </c>
    </row>
    <row r="80" spans="1:9" x14ac:dyDescent="0.2">
      <c r="A80" s="16" t="s">
        <v>110</v>
      </c>
      <c r="B80" s="16" t="s">
        <v>10</v>
      </c>
      <c r="C80" s="2">
        <v>46058.678478437498</v>
      </c>
      <c r="D80">
        <v>2</v>
      </c>
      <c r="E80" s="7" t="s">
        <v>60</v>
      </c>
      <c r="F80" s="2">
        <v>46058.345145104169</v>
      </c>
      <c r="G80" s="3">
        <v>46058</v>
      </c>
      <c r="H80" t="s">
        <v>95</v>
      </c>
      <c r="I80">
        <v>8</v>
      </c>
    </row>
    <row r="81" spans="1:9" x14ac:dyDescent="0.2">
      <c r="A81" s="16" t="s">
        <v>111</v>
      </c>
      <c r="B81" s="16" t="s">
        <v>10</v>
      </c>
      <c r="C81" s="2">
        <v>46058.845890243058</v>
      </c>
      <c r="D81">
        <v>2</v>
      </c>
      <c r="E81" s="7" t="s">
        <v>112</v>
      </c>
      <c r="F81" s="2">
        <v>46058.512556909722</v>
      </c>
      <c r="G81" s="3">
        <v>46058</v>
      </c>
      <c r="H81" t="s">
        <v>95</v>
      </c>
      <c r="I81">
        <v>12</v>
      </c>
    </row>
    <row r="82" spans="1:9" x14ac:dyDescent="0.2">
      <c r="A82" s="16" t="s">
        <v>113</v>
      </c>
      <c r="B82" s="16" t="s">
        <v>10</v>
      </c>
      <c r="C82" s="2">
        <v>46058.885860902781</v>
      </c>
      <c r="D82">
        <v>1</v>
      </c>
      <c r="F82" s="2">
        <v>46058.552527569445</v>
      </c>
      <c r="G82" s="3">
        <v>46058</v>
      </c>
      <c r="H82" t="s">
        <v>95</v>
      </c>
      <c r="I82">
        <v>13</v>
      </c>
    </row>
    <row r="83" spans="1:9" x14ac:dyDescent="0.2">
      <c r="A83" s="16" t="s">
        <v>114</v>
      </c>
      <c r="B83" s="16" t="s">
        <v>10</v>
      </c>
      <c r="C83" s="2">
        <v>46059.413596851853</v>
      </c>
      <c r="D83">
        <v>433</v>
      </c>
      <c r="F83" s="2">
        <v>46059.080263518517</v>
      </c>
      <c r="G83" s="3">
        <v>46059</v>
      </c>
      <c r="H83" t="s">
        <v>115</v>
      </c>
      <c r="I83">
        <v>1</v>
      </c>
    </row>
    <row r="84" spans="1:9" x14ac:dyDescent="0.2">
      <c r="A84" s="16" t="s">
        <v>116</v>
      </c>
      <c r="B84" s="16" t="s">
        <v>10</v>
      </c>
      <c r="C84" s="2">
        <v>46059.442071550926</v>
      </c>
      <c r="D84">
        <v>433</v>
      </c>
      <c r="F84" s="2">
        <v>46059.10873821759</v>
      </c>
      <c r="G84" s="3">
        <v>46059</v>
      </c>
      <c r="H84" t="s">
        <v>115</v>
      </c>
      <c r="I84">
        <v>2</v>
      </c>
    </row>
    <row r="85" spans="1:9" x14ac:dyDescent="0.2">
      <c r="A85" s="16" t="s">
        <v>117</v>
      </c>
      <c r="B85" s="16" t="s">
        <v>10</v>
      </c>
      <c r="C85" s="2">
        <v>46059.513150810184</v>
      </c>
      <c r="D85">
        <v>433</v>
      </c>
      <c r="E85" s="7" t="s">
        <v>31</v>
      </c>
      <c r="F85" s="2">
        <v>46059.179817476848</v>
      </c>
      <c r="G85" s="3">
        <v>46059</v>
      </c>
      <c r="H85" t="s">
        <v>115</v>
      </c>
      <c r="I85">
        <v>4</v>
      </c>
    </row>
    <row r="86" spans="1:9" x14ac:dyDescent="0.2">
      <c r="A86" s="16" t="s">
        <v>118</v>
      </c>
      <c r="B86" s="16" t="s">
        <v>10</v>
      </c>
      <c r="C86" s="2">
        <v>46059.836047222219</v>
      </c>
      <c r="D86">
        <v>4</v>
      </c>
      <c r="F86" s="2">
        <v>46059.502713888891</v>
      </c>
      <c r="G86" s="3">
        <v>46059</v>
      </c>
      <c r="H86" t="s">
        <v>115</v>
      </c>
      <c r="I86">
        <v>12</v>
      </c>
    </row>
    <row r="87" spans="1:9" x14ac:dyDescent="0.2">
      <c r="A87" s="16" t="s">
        <v>119</v>
      </c>
      <c r="B87" s="16" t="s">
        <v>10</v>
      </c>
      <c r="C87" s="2">
        <v>46060.733246331016</v>
      </c>
      <c r="D87">
        <v>2</v>
      </c>
      <c r="E87" s="7" t="s">
        <v>121</v>
      </c>
      <c r="F87" s="2">
        <v>46060.399912997687</v>
      </c>
      <c r="G87" s="3">
        <v>46060</v>
      </c>
      <c r="H87" t="s">
        <v>120</v>
      </c>
      <c r="I87">
        <v>9</v>
      </c>
    </row>
    <row r="88" spans="1:9" x14ac:dyDescent="0.2">
      <c r="A88" s="16" t="s">
        <v>122</v>
      </c>
      <c r="B88" s="16" t="s">
        <v>10</v>
      </c>
      <c r="C88" s="2">
        <v>46060.73497193287</v>
      </c>
      <c r="D88">
        <v>4</v>
      </c>
      <c r="F88" s="2">
        <v>46060.401638599535</v>
      </c>
      <c r="G88" s="3">
        <v>46060</v>
      </c>
      <c r="H88" t="s">
        <v>120</v>
      </c>
      <c r="I88">
        <v>9</v>
      </c>
    </row>
    <row r="89" spans="1:9" x14ac:dyDescent="0.2">
      <c r="A89" s="16" t="s">
        <v>123</v>
      </c>
      <c r="B89" s="16" t="s">
        <v>10</v>
      </c>
      <c r="C89" s="2">
        <v>46060.939114525463</v>
      </c>
      <c r="D89">
        <v>1</v>
      </c>
      <c r="F89" s="2">
        <v>46060.605781192127</v>
      </c>
      <c r="G89" s="3">
        <v>46060</v>
      </c>
      <c r="H89" t="s">
        <v>120</v>
      </c>
      <c r="I89">
        <v>14</v>
      </c>
    </row>
    <row r="90" spans="1:9" x14ac:dyDescent="0.2">
      <c r="A90" s="16" t="s">
        <v>124</v>
      </c>
      <c r="B90" s="16" t="s">
        <v>10</v>
      </c>
      <c r="C90" s="2">
        <v>46061.338764224536</v>
      </c>
      <c r="D90">
        <v>4</v>
      </c>
      <c r="F90" s="2">
        <v>46061.0054308912</v>
      </c>
      <c r="G90" s="3">
        <v>46061</v>
      </c>
      <c r="H90" t="s">
        <v>125</v>
      </c>
      <c r="I90">
        <v>0</v>
      </c>
    </row>
    <row r="91" spans="1:9" x14ac:dyDescent="0.2">
      <c r="A91" s="16" t="s">
        <v>126</v>
      </c>
      <c r="B91" s="16" t="s">
        <v>10</v>
      </c>
      <c r="C91" s="2">
        <v>46061.412705173614</v>
      </c>
      <c r="D91">
        <v>2</v>
      </c>
      <c r="F91" s="2">
        <v>46061.079371840278</v>
      </c>
      <c r="G91" s="3">
        <v>46061</v>
      </c>
      <c r="H91" t="s">
        <v>125</v>
      </c>
      <c r="I91">
        <v>1</v>
      </c>
    </row>
    <row r="92" spans="1:9" x14ac:dyDescent="0.2">
      <c r="A92" s="16" t="s">
        <v>127</v>
      </c>
      <c r="B92" s="16" t="s">
        <v>10</v>
      </c>
      <c r="C92" s="2">
        <v>46061.41426972222</v>
      </c>
      <c r="D92">
        <v>16</v>
      </c>
      <c r="E92" s="7" t="s">
        <v>128</v>
      </c>
      <c r="F92" s="2">
        <v>46061.080936388891</v>
      </c>
      <c r="G92" s="3">
        <v>46061</v>
      </c>
      <c r="H92" t="s">
        <v>125</v>
      </c>
      <c r="I92">
        <v>1</v>
      </c>
    </row>
    <row r="93" spans="1:9" x14ac:dyDescent="0.2">
      <c r="A93" s="16" t="s">
        <v>129</v>
      </c>
      <c r="B93" s="16" t="s">
        <v>10</v>
      </c>
      <c r="C93" s="2">
        <v>46061.495061817128</v>
      </c>
      <c r="D93">
        <v>2</v>
      </c>
      <c r="E93" s="7">
        <v>836</v>
      </c>
      <c r="F93" s="2">
        <v>46061.161728483799</v>
      </c>
      <c r="G93" s="3">
        <v>46061</v>
      </c>
      <c r="H93" t="s">
        <v>125</v>
      </c>
      <c r="I93">
        <v>3</v>
      </c>
    </row>
    <row r="94" spans="1:9" x14ac:dyDescent="0.2">
      <c r="A94" s="16" t="s">
        <v>130</v>
      </c>
      <c r="B94" s="16" t="s">
        <v>10</v>
      </c>
      <c r="C94" s="2">
        <v>46061.594784120367</v>
      </c>
      <c r="D94">
        <v>433</v>
      </c>
      <c r="E94" s="7" t="s">
        <v>31</v>
      </c>
      <c r="F94" s="2">
        <v>46061.261450787038</v>
      </c>
      <c r="G94" s="3">
        <v>46061</v>
      </c>
      <c r="H94" t="s">
        <v>125</v>
      </c>
      <c r="I94">
        <v>6</v>
      </c>
    </row>
    <row r="95" spans="1:9" x14ac:dyDescent="0.2">
      <c r="A95" s="16" t="s">
        <v>131</v>
      </c>
      <c r="B95" s="16" t="s">
        <v>10</v>
      </c>
      <c r="C95" s="2">
        <v>46061.628902928242</v>
      </c>
      <c r="D95">
        <v>2</v>
      </c>
      <c r="E95" s="7">
        <v>5150</v>
      </c>
      <c r="F95" s="2">
        <v>46061.295569594906</v>
      </c>
      <c r="G95" s="3">
        <v>46061</v>
      </c>
      <c r="H95" t="s">
        <v>125</v>
      </c>
      <c r="I95">
        <v>7</v>
      </c>
    </row>
    <row r="96" spans="1:9" x14ac:dyDescent="0.2">
      <c r="A96" s="16" t="s">
        <v>132</v>
      </c>
      <c r="B96" s="16" t="s">
        <v>10</v>
      </c>
      <c r="C96" s="2">
        <v>46061.628951018516</v>
      </c>
      <c r="D96">
        <v>4</v>
      </c>
      <c r="F96" s="2">
        <v>46061.295617685188</v>
      </c>
      <c r="G96" s="3">
        <v>46061</v>
      </c>
      <c r="H96" t="s">
        <v>125</v>
      </c>
      <c r="I96">
        <v>7</v>
      </c>
    </row>
    <row r="97" spans="1:9" x14ac:dyDescent="0.2">
      <c r="A97" s="16" t="s">
        <v>133</v>
      </c>
      <c r="B97" s="16" t="s">
        <v>10</v>
      </c>
      <c r="C97" s="2">
        <v>46061.629357349535</v>
      </c>
      <c r="D97">
        <v>4</v>
      </c>
      <c r="F97" s="2">
        <v>46061.296024016207</v>
      </c>
      <c r="G97" s="3">
        <v>46061</v>
      </c>
      <c r="H97" t="s">
        <v>125</v>
      </c>
      <c r="I97">
        <v>7</v>
      </c>
    </row>
    <row r="98" spans="1:9" x14ac:dyDescent="0.2">
      <c r="A98" s="16" t="s">
        <v>134</v>
      </c>
      <c r="B98" s="16" t="s">
        <v>10</v>
      </c>
      <c r="C98" s="2">
        <v>46061.644427766201</v>
      </c>
      <c r="D98">
        <v>2</v>
      </c>
      <c r="E98" s="7" t="s">
        <v>135</v>
      </c>
      <c r="F98" s="2">
        <v>46061.311094432873</v>
      </c>
      <c r="G98" s="3">
        <v>46061</v>
      </c>
      <c r="H98" t="s">
        <v>125</v>
      </c>
      <c r="I98">
        <v>7</v>
      </c>
    </row>
    <row r="99" spans="1:9" x14ac:dyDescent="0.2">
      <c r="A99" s="16" t="s">
        <v>136</v>
      </c>
      <c r="B99" s="16" t="s">
        <v>10</v>
      </c>
      <c r="C99" s="2">
        <v>46061.661782905096</v>
      </c>
      <c r="D99">
        <v>2</v>
      </c>
      <c r="E99" s="7" t="s">
        <v>137</v>
      </c>
      <c r="F99" s="2">
        <v>46061.32844957176</v>
      </c>
      <c r="G99" s="3">
        <v>46061</v>
      </c>
      <c r="H99" t="s">
        <v>125</v>
      </c>
      <c r="I99">
        <v>7</v>
      </c>
    </row>
    <row r="100" spans="1:9" x14ac:dyDescent="0.2">
      <c r="A100" s="16" t="s">
        <v>138</v>
      </c>
      <c r="B100" s="16" t="s">
        <v>10</v>
      </c>
      <c r="C100" s="2">
        <v>46062.088601608797</v>
      </c>
      <c r="D100">
        <v>2</v>
      </c>
      <c r="F100" s="2">
        <v>46061.755268275461</v>
      </c>
      <c r="G100" s="3">
        <v>46061</v>
      </c>
      <c r="H100" t="s">
        <v>125</v>
      </c>
      <c r="I100">
        <v>18</v>
      </c>
    </row>
    <row r="101" spans="1:9" x14ac:dyDescent="0.2">
      <c r="A101" s="16" t="s">
        <v>139</v>
      </c>
      <c r="B101" s="16" t="s">
        <v>10</v>
      </c>
      <c r="C101" s="2">
        <v>46062.415821377312</v>
      </c>
      <c r="D101">
        <v>472</v>
      </c>
      <c r="E101" s="7" t="s">
        <v>140</v>
      </c>
      <c r="F101" s="2">
        <v>46062.082488043983</v>
      </c>
      <c r="G101" s="3">
        <v>46062</v>
      </c>
      <c r="H101" t="s">
        <v>11</v>
      </c>
      <c r="I101">
        <v>1</v>
      </c>
    </row>
    <row r="102" spans="1:9" x14ac:dyDescent="0.2">
      <c r="A102" s="16" t="s">
        <v>141</v>
      </c>
      <c r="B102" s="16" t="s">
        <v>10</v>
      </c>
      <c r="C102" s="2">
        <v>46062.550356932872</v>
      </c>
      <c r="D102">
        <v>2</v>
      </c>
      <c r="F102" s="2">
        <v>46062.217023599536</v>
      </c>
      <c r="G102" s="3">
        <v>46062</v>
      </c>
      <c r="H102" t="s">
        <v>11</v>
      </c>
      <c r="I102">
        <v>5</v>
      </c>
    </row>
    <row r="103" spans="1:9" x14ac:dyDescent="0.2">
      <c r="A103" s="16" t="s">
        <v>142</v>
      </c>
      <c r="B103" s="16" t="s">
        <v>10</v>
      </c>
      <c r="C103" s="2">
        <v>46062.555966134256</v>
      </c>
      <c r="D103">
        <v>2</v>
      </c>
      <c r="F103" s="2">
        <v>46062.222632800927</v>
      </c>
      <c r="G103" s="3">
        <v>46062</v>
      </c>
      <c r="H103" t="s">
        <v>11</v>
      </c>
      <c r="I103">
        <v>5</v>
      </c>
    </row>
    <row r="104" spans="1:9" x14ac:dyDescent="0.2">
      <c r="A104" s="16" t="s">
        <v>143</v>
      </c>
      <c r="B104" s="16" t="s">
        <v>10</v>
      </c>
      <c r="C104" s="2">
        <v>46062.68290359954</v>
      </c>
      <c r="D104">
        <v>433</v>
      </c>
      <c r="E104" s="7" t="s">
        <v>31</v>
      </c>
      <c r="F104" s="2">
        <v>46062.349570266204</v>
      </c>
      <c r="G104" s="3">
        <v>46062</v>
      </c>
      <c r="H104" t="s">
        <v>11</v>
      </c>
      <c r="I104">
        <v>8</v>
      </c>
    </row>
    <row r="105" spans="1:9" x14ac:dyDescent="0.2">
      <c r="A105" s="16" t="s">
        <v>144</v>
      </c>
      <c r="B105" s="16" t="s">
        <v>10</v>
      </c>
      <c r="C105" s="2">
        <v>46062.688933634257</v>
      </c>
      <c r="D105">
        <v>2</v>
      </c>
      <c r="F105" s="2">
        <v>46062.355600300929</v>
      </c>
      <c r="G105" s="3">
        <v>46062</v>
      </c>
      <c r="H105" t="s">
        <v>11</v>
      </c>
      <c r="I105">
        <v>8</v>
      </c>
    </row>
    <row r="106" spans="1:9" x14ac:dyDescent="0.2">
      <c r="A106" s="16" t="s">
        <v>145</v>
      </c>
      <c r="B106" s="16" t="s">
        <v>10</v>
      </c>
      <c r="C106" s="2">
        <v>46062.738218738428</v>
      </c>
      <c r="D106">
        <v>1</v>
      </c>
      <c r="F106" s="2">
        <v>46062.404885405093</v>
      </c>
      <c r="G106" s="3">
        <v>46062</v>
      </c>
      <c r="H106" t="s">
        <v>11</v>
      </c>
      <c r="I106">
        <v>9</v>
      </c>
    </row>
    <row r="107" spans="1:9" x14ac:dyDescent="0.2">
      <c r="A107" s="16" t="s">
        <v>146</v>
      </c>
      <c r="B107" s="16" t="s">
        <v>10</v>
      </c>
      <c r="C107" s="2">
        <v>46062.754167604166</v>
      </c>
      <c r="D107">
        <v>433</v>
      </c>
      <c r="E107" s="7" t="s">
        <v>147</v>
      </c>
      <c r="F107" s="2">
        <v>46062.42083427083</v>
      </c>
      <c r="G107" s="3">
        <v>46062</v>
      </c>
      <c r="H107" t="s">
        <v>11</v>
      </c>
      <c r="I107">
        <v>10</v>
      </c>
    </row>
    <row r="108" spans="1:9" x14ac:dyDescent="0.2">
      <c r="A108" s="16" t="s">
        <v>148</v>
      </c>
      <c r="B108" s="16" t="s">
        <v>10</v>
      </c>
      <c r="C108" s="2">
        <v>46062.760818101851</v>
      </c>
      <c r="D108">
        <v>15</v>
      </c>
      <c r="F108" s="2">
        <v>46062.427484768516</v>
      </c>
      <c r="G108" s="3">
        <v>46062</v>
      </c>
      <c r="H108" t="s">
        <v>11</v>
      </c>
      <c r="I108">
        <v>10</v>
      </c>
    </row>
    <row r="109" spans="1:9" x14ac:dyDescent="0.2">
      <c r="A109" s="16" t="s">
        <v>149</v>
      </c>
      <c r="B109" s="16" t="s">
        <v>10</v>
      </c>
      <c r="C109" s="2">
        <v>46063.101449456015</v>
      </c>
      <c r="D109">
        <v>1</v>
      </c>
      <c r="E109" s="7" t="s">
        <v>150</v>
      </c>
      <c r="F109" s="2">
        <v>46062.768116122686</v>
      </c>
      <c r="G109" s="3">
        <v>46062</v>
      </c>
      <c r="H109" t="s">
        <v>11</v>
      </c>
      <c r="I109">
        <v>18</v>
      </c>
    </row>
    <row r="110" spans="1:9" x14ac:dyDescent="0.2">
      <c r="A110" s="16" t="s">
        <v>151</v>
      </c>
      <c r="B110" s="16" t="s">
        <v>10</v>
      </c>
      <c r="C110" s="2">
        <v>46063.106734490742</v>
      </c>
      <c r="D110">
        <v>36</v>
      </c>
      <c r="E110" s="7" t="s">
        <v>152</v>
      </c>
      <c r="F110" s="2">
        <v>46062.773401157407</v>
      </c>
      <c r="G110" s="3">
        <v>46062</v>
      </c>
      <c r="H110" t="s">
        <v>11</v>
      </c>
      <c r="I110">
        <v>18</v>
      </c>
    </row>
    <row r="111" spans="1:9" x14ac:dyDescent="0.2">
      <c r="A111" s="16" t="s">
        <v>153</v>
      </c>
      <c r="B111" s="16" t="s">
        <v>10</v>
      </c>
      <c r="C111" s="2">
        <v>46063.321945520831</v>
      </c>
      <c r="D111">
        <v>36</v>
      </c>
      <c r="E111" s="7" t="s">
        <v>60</v>
      </c>
      <c r="F111" s="2">
        <v>46062.988612187502</v>
      </c>
      <c r="G111" s="3">
        <v>46062</v>
      </c>
      <c r="H111" t="s">
        <v>11</v>
      </c>
      <c r="I111">
        <v>23</v>
      </c>
    </row>
    <row r="112" spans="1:9" x14ac:dyDescent="0.2">
      <c r="A112" s="16" t="s">
        <v>154</v>
      </c>
      <c r="B112" s="16" t="s">
        <v>10</v>
      </c>
      <c r="C112" s="2">
        <v>46063.340835694442</v>
      </c>
      <c r="D112">
        <v>36</v>
      </c>
      <c r="E112" s="7" t="s">
        <v>60</v>
      </c>
      <c r="F112" s="2">
        <v>46063.007502361113</v>
      </c>
      <c r="G112" s="3">
        <v>46063</v>
      </c>
      <c r="H112" t="s">
        <v>28</v>
      </c>
      <c r="I112">
        <v>0</v>
      </c>
    </row>
    <row r="113" spans="1:9" x14ac:dyDescent="0.2">
      <c r="A113" s="16" t="s">
        <v>155</v>
      </c>
      <c r="B113" s="16" t="s">
        <v>10</v>
      </c>
      <c r="C113" s="2">
        <v>46063.360686053238</v>
      </c>
      <c r="D113">
        <v>2</v>
      </c>
      <c r="F113" s="2">
        <v>46063.02735271991</v>
      </c>
      <c r="G113" s="3">
        <v>46063</v>
      </c>
      <c r="H113" t="s">
        <v>28</v>
      </c>
      <c r="I113">
        <v>0</v>
      </c>
    </row>
    <row r="114" spans="1:9" x14ac:dyDescent="0.2">
      <c r="A114" s="16" t="s">
        <v>156</v>
      </c>
      <c r="B114" s="16" t="s">
        <v>10</v>
      </c>
      <c r="C114" s="2">
        <v>46063.375725578706</v>
      </c>
      <c r="D114">
        <v>36</v>
      </c>
      <c r="E114" s="7" t="s">
        <v>60</v>
      </c>
      <c r="F114" s="2">
        <v>46063.04239224537</v>
      </c>
      <c r="G114" s="3">
        <v>46063</v>
      </c>
      <c r="H114" t="s">
        <v>28</v>
      </c>
      <c r="I114">
        <v>1</v>
      </c>
    </row>
    <row r="115" spans="1:9" x14ac:dyDescent="0.2">
      <c r="A115" s="16" t="s">
        <v>157</v>
      </c>
      <c r="B115" s="16" t="s">
        <v>10</v>
      </c>
      <c r="C115" s="2">
        <v>46063.376163692126</v>
      </c>
      <c r="D115">
        <v>2</v>
      </c>
      <c r="F115" s="2">
        <v>46063.042830358798</v>
      </c>
      <c r="G115" s="3">
        <v>46063</v>
      </c>
      <c r="H115" t="s">
        <v>28</v>
      </c>
      <c r="I115">
        <v>1</v>
      </c>
    </row>
    <row r="116" spans="1:9" x14ac:dyDescent="0.2">
      <c r="A116" s="16" t="s">
        <v>158</v>
      </c>
      <c r="B116" s="16" t="s">
        <v>10</v>
      </c>
      <c r="C116" s="2">
        <v>46063.392778287038</v>
      </c>
      <c r="D116">
        <v>2</v>
      </c>
      <c r="F116" s="2">
        <v>46063.059444953702</v>
      </c>
      <c r="G116" s="3">
        <v>46063</v>
      </c>
      <c r="H116" t="s">
        <v>28</v>
      </c>
      <c r="I116">
        <v>1</v>
      </c>
    </row>
    <row r="117" spans="1:9" x14ac:dyDescent="0.2">
      <c r="A117" s="16" t="s">
        <v>159</v>
      </c>
      <c r="B117" s="16" t="s">
        <v>10</v>
      </c>
      <c r="C117" s="2">
        <v>46063.394798090281</v>
      </c>
      <c r="D117">
        <v>472</v>
      </c>
      <c r="F117" s="2">
        <v>46063.061464756945</v>
      </c>
      <c r="G117" s="3">
        <v>46063</v>
      </c>
      <c r="H117" t="s">
        <v>28</v>
      </c>
      <c r="I117">
        <v>1</v>
      </c>
    </row>
    <row r="118" spans="1:9" x14ac:dyDescent="0.2">
      <c r="A118" s="16" t="s">
        <v>160</v>
      </c>
      <c r="B118" s="16" t="s">
        <v>10</v>
      </c>
      <c r="C118" s="2">
        <v>46063.42207390046</v>
      </c>
      <c r="D118">
        <v>35</v>
      </c>
      <c r="F118" s="2">
        <v>46063.088740567131</v>
      </c>
      <c r="G118" s="3">
        <v>46063</v>
      </c>
      <c r="H118" t="s">
        <v>28</v>
      </c>
      <c r="I118">
        <v>2</v>
      </c>
    </row>
    <row r="119" spans="1:9" x14ac:dyDescent="0.2">
      <c r="A119" s="16" t="s">
        <v>161</v>
      </c>
      <c r="B119" s="16" t="s">
        <v>10</v>
      </c>
      <c r="C119" s="2">
        <v>46063.437796990744</v>
      </c>
      <c r="D119">
        <v>36</v>
      </c>
      <c r="E119" s="7" t="s">
        <v>60</v>
      </c>
      <c r="F119" s="2">
        <v>46063.104463657408</v>
      </c>
      <c r="G119" s="3">
        <v>46063</v>
      </c>
      <c r="H119" t="s">
        <v>28</v>
      </c>
      <c r="I119">
        <v>2</v>
      </c>
    </row>
    <row r="120" spans="1:9" x14ac:dyDescent="0.2">
      <c r="A120" s="16" t="s">
        <v>162</v>
      </c>
      <c r="B120" s="16" t="s">
        <v>10</v>
      </c>
      <c r="C120" s="2">
        <v>46063.453855555555</v>
      </c>
      <c r="D120">
        <v>2</v>
      </c>
      <c r="F120" s="2">
        <v>46063.12052222222</v>
      </c>
      <c r="G120" s="3">
        <v>46063</v>
      </c>
      <c r="H120" t="s">
        <v>28</v>
      </c>
      <c r="I120">
        <v>2</v>
      </c>
    </row>
    <row r="121" spans="1:9" x14ac:dyDescent="0.2">
      <c r="A121" s="16" t="s">
        <v>163</v>
      </c>
      <c r="B121" s="16" t="s">
        <v>10</v>
      </c>
      <c r="C121" s="2">
        <v>46063.463728182869</v>
      </c>
      <c r="D121">
        <v>35</v>
      </c>
      <c r="F121" s="2">
        <v>46063.130394849541</v>
      </c>
      <c r="G121" s="3">
        <v>46063</v>
      </c>
      <c r="H121" t="s">
        <v>28</v>
      </c>
      <c r="I121">
        <v>3</v>
      </c>
    </row>
    <row r="122" spans="1:9" x14ac:dyDescent="0.2">
      <c r="A122" s="16" t="s">
        <v>164</v>
      </c>
      <c r="B122" s="16" t="s">
        <v>10</v>
      </c>
      <c r="C122" s="2">
        <v>46063.570284479167</v>
      </c>
      <c r="D122">
        <v>2</v>
      </c>
      <c r="E122" s="7" t="s">
        <v>165</v>
      </c>
      <c r="F122" s="2">
        <v>46063.236951145831</v>
      </c>
      <c r="G122" s="3">
        <v>46063</v>
      </c>
      <c r="H122" t="s">
        <v>28</v>
      </c>
      <c r="I122">
        <v>5</v>
      </c>
    </row>
    <row r="123" spans="1:9" x14ac:dyDescent="0.2">
      <c r="A123" s="16" t="s">
        <v>166</v>
      </c>
      <c r="B123" s="16" t="s">
        <v>10</v>
      </c>
      <c r="C123" s="2">
        <v>46063.571140578701</v>
      </c>
      <c r="D123">
        <v>2</v>
      </c>
      <c r="F123" s="2">
        <v>46063.237807245372</v>
      </c>
      <c r="G123" s="3">
        <v>46063</v>
      </c>
      <c r="H123" t="s">
        <v>28</v>
      </c>
      <c r="I123">
        <v>5</v>
      </c>
    </row>
    <row r="124" spans="1:9" x14ac:dyDescent="0.2">
      <c r="A124" s="16" t="s">
        <v>167</v>
      </c>
      <c r="B124" s="16" t="s">
        <v>10</v>
      </c>
      <c r="C124" s="2">
        <v>46063.57603625</v>
      </c>
      <c r="D124">
        <v>2</v>
      </c>
      <c r="E124" s="7" t="s">
        <v>168</v>
      </c>
      <c r="F124" s="2">
        <v>46063.242702916665</v>
      </c>
      <c r="G124" s="3">
        <v>46063</v>
      </c>
      <c r="H124" t="s">
        <v>28</v>
      </c>
      <c r="I124">
        <v>5</v>
      </c>
    </row>
    <row r="125" spans="1:9" x14ac:dyDescent="0.2">
      <c r="A125" s="16" t="s">
        <v>169</v>
      </c>
      <c r="B125" s="16" t="s">
        <v>10</v>
      </c>
      <c r="C125" s="2">
        <v>46063.675788854169</v>
      </c>
      <c r="D125">
        <v>36</v>
      </c>
      <c r="E125" s="7" t="s">
        <v>60</v>
      </c>
      <c r="F125" s="2">
        <v>46063.342455520833</v>
      </c>
      <c r="G125" s="3">
        <v>46063</v>
      </c>
      <c r="H125" t="s">
        <v>28</v>
      </c>
      <c r="I125">
        <v>8</v>
      </c>
    </row>
    <row r="126" spans="1:9" x14ac:dyDescent="0.2">
      <c r="A126" s="16" t="s">
        <v>170</v>
      </c>
      <c r="B126" s="16" t="s">
        <v>10</v>
      </c>
      <c r="C126" s="2">
        <v>46063.694293113425</v>
      </c>
      <c r="D126">
        <v>2</v>
      </c>
      <c r="F126" s="2">
        <v>46063.36095978009</v>
      </c>
      <c r="G126" s="3">
        <v>46063</v>
      </c>
      <c r="H126" t="s">
        <v>28</v>
      </c>
      <c r="I126">
        <v>8</v>
      </c>
    </row>
    <row r="127" spans="1:9" x14ac:dyDescent="0.2">
      <c r="A127" s="16" t="s">
        <v>171</v>
      </c>
      <c r="B127" s="16" t="s">
        <v>10</v>
      </c>
      <c r="C127" s="2">
        <v>46063.807404652776</v>
      </c>
      <c r="D127">
        <v>2</v>
      </c>
      <c r="F127" s="2">
        <v>46063.474071319448</v>
      </c>
      <c r="G127" s="3">
        <v>46063</v>
      </c>
      <c r="H127" t="s">
        <v>28</v>
      </c>
      <c r="I127">
        <v>11</v>
      </c>
    </row>
    <row r="128" spans="1:9" x14ac:dyDescent="0.2">
      <c r="A128" s="16" t="s">
        <v>172</v>
      </c>
      <c r="B128" s="16" t="s">
        <v>10</v>
      </c>
      <c r="C128" s="2">
        <v>46064.16838894676</v>
      </c>
      <c r="D128">
        <v>1</v>
      </c>
      <c r="F128" s="2">
        <v>46063.835055613425</v>
      </c>
      <c r="G128" s="3">
        <v>46063</v>
      </c>
      <c r="H128" t="s">
        <v>28</v>
      </c>
      <c r="I128">
        <v>20</v>
      </c>
    </row>
    <row r="129" spans="1:9" x14ac:dyDescent="0.2">
      <c r="A129" s="16" t="s">
        <v>173</v>
      </c>
      <c r="B129" s="16" t="s">
        <v>10</v>
      </c>
      <c r="C129" s="2">
        <v>46064.172902094906</v>
      </c>
      <c r="D129">
        <v>4</v>
      </c>
      <c r="E129" s="7">
        <v>10851</v>
      </c>
      <c r="F129" s="2">
        <v>46063.839568761578</v>
      </c>
      <c r="G129" s="3">
        <v>46063</v>
      </c>
      <c r="H129" t="s">
        <v>28</v>
      </c>
      <c r="I129">
        <v>20</v>
      </c>
    </row>
    <row r="130" spans="1:9" x14ac:dyDescent="0.2">
      <c r="A130" s="16" t="s">
        <v>174</v>
      </c>
      <c r="B130" s="16" t="s">
        <v>10</v>
      </c>
      <c r="C130" s="2">
        <v>46064.183538159719</v>
      </c>
      <c r="D130">
        <v>2</v>
      </c>
      <c r="E130" s="7" t="s">
        <v>175</v>
      </c>
      <c r="F130" s="2">
        <v>46063.850204826391</v>
      </c>
      <c r="G130" s="3">
        <v>46063</v>
      </c>
      <c r="H130" t="s">
        <v>28</v>
      </c>
      <c r="I130">
        <v>20</v>
      </c>
    </row>
    <row r="131" spans="1:9" x14ac:dyDescent="0.2">
      <c r="A131" s="16" t="s">
        <v>176</v>
      </c>
      <c r="B131" s="16" t="s">
        <v>10</v>
      </c>
      <c r="C131" s="2">
        <v>46064.273290625002</v>
      </c>
      <c r="D131">
        <v>1</v>
      </c>
      <c r="F131" s="2">
        <v>46063.939957291666</v>
      </c>
      <c r="G131" s="3">
        <v>46063</v>
      </c>
      <c r="H131" t="s">
        <v>28</v>
      </c>
      <c r="I131">
        <v>22</v>
      </c>
    </row>
    <row r="132" spans="1:9" x14ac:dyDescent="0.2">
      <c r="A132" s="16" t="s">
        <v>177</v>
      </c>
      <c r="B132" s="16" t="s">
        <v>10</v>
      </c>
      <c r="C132" s="2">
        <v>46064.289321597222</v>
      </c>
      <c r="D132">
        <v>36</v>
      </c>
      <c r="E132" s="7" t="s">
        <v>60</v>
      </c>
      <c r="F132" s="2">
        <v>46063.955988263886</v>
      </c>
      <c r="G132" s="3">
        <v>46063</v>
      </c>
      <c r="H132" t="s">
        <v>28</v>
      </c>
      <c r="I132">
        <v>22</v>
      </c>
    </row>
    <row r="133" spans="1:9" x14ac:dyDescent="0.2">
      <c r="A133" s="16" t="s">
        <v>178</v>
      </c>
      <c r="B133" s="16" t="s">
        <v>10</v>
      </c>
      <c r="C133" s="2">
        <v>46064.32427109954</v>
      </c>
      <c r="D133">
        <v>2</v>
      </c>
      <c r="F133" s="2">
        <v>46063.990937766204</v>
      </c>
      <c r="G133" s="3">
        <v>46063</v>
      </c>
      <c r="H133" t="s">
        <v>28</v>
      </c>
      <c r="I133">
        <v>23</v>
      </c>
    </row>
    <row r="134" spans="1:9" x14ac:dyDescent="0.2">
      <c r="A134" s="16" t="s">
        <v>179</v>
      </c>
      <c r="B134" s="16" t="s">
        <v>10</v>
      </c>
      <c r="C134" s="2">
        <v>46064.364946180554</v>
      </c>
      <c r="D134">
        <v>2</v>
      </c>
      <c r="F134" s="2">
        <v>46064.031612847219</v>
      </c>
      <c r="G134" s="3">
        <v>46064</v>
      </c>
      <c r="H134" t="s">
        <v>63</v>
      </c>
      <c r="I134">
        <v>0</v>
      </c>
    </row>
    <row r="135" spans="1:9" x14ac:dyDescent="0.2">
      <c r="A135" s="16" t="s">
        <v>180</v>
      </c>
      <c r="B135" s="16" t="s">
        <v>10</v>
      </c>
      <c r="C135" s="2">
        <v>46064.376957743058</v>
      </c>
      <c r="D135">
        <v>2</v>
      </c>
      <c r="F135" s="2">
        <v>46064.043624409722</v>
      </c>
      <c r="G135" s="3">
        <v>46064</v>
      </c>
      <c r="H135" t="s">
        <v>63</v>
      </c>
      <c r="I135">
        <v>1</v>
      </c>
    </row>
    <row r="136" spans="1:9" x14ac:dyDescent="0.2">
      <c r="A136" s="16" t="s">
        <v>181</v>
      </c>
      <c r="B136" s="16" t="s">
        <v>10</v>
      </c>
      <c r="C136" s="2">
        <v>46064.390099247685</v>
      </c>
      <c r="D136">
        <v>2</v>
      </c>
      <c r="F136" s="2">
        <v>46064.056765914349</v>
      </c>
      <c r="G136" s="3">
        <v>46064</v>
      </c>
      <c r="H136" t="s">
        <v>63</v>
      </c>
      <c r="I136">
        <v>1</v>
      </c>
    </row>
    <row r="137" spans="1:9" x14ac:dyDescent="0.2">
      <c r="A137" s="16" t="s">
        <v>182</v>
      </c>
      <c r="B137" s="16" t="s">
        <v>10</v>
      </c>
      <c r="C137" s="2">
        <v>46064.593599201391</v>
      </c>
      <c r="D137">
        <v>2</v>
      </c>
      <c r="F137" s="2">
        <v>46064.260265868055</v>
      </c>
      <c r="G137" s="3">
        <v>46064</v>
      </c>
      <c r="H137" t="s">
        <v>63</v>
      </c>
      <c r="I137">
        <v>6</v>
      </c>
    </row>
    <row r="138" spans="1:9" x14ac:dyDescent="0.2">
      <c r="A138" s="16" t="s">
        <v>183</v>
      </c>
      <c r="B138" s="16" t="s">
        <v>10</v>
      </c>
      <c r="C138" s="2">
        <v>46064.65448326389</v>
      </c>
      <c r="D138">
        <v>1</v>
      </c>
      <c r="F138" s="2">
        <v>46064.321149930554</v>
      </c>
      <c r="G138" s="3">
        <v>46064</v>
      </c>
      <c r="H138" t="s">
        <v>63</v>
      </c>
      <c r="I138">
        <v>7</v>
      </c>
    </row>
    <row r="139" spans="1:9" x14ac:dyDescent="0.2">
      <c r="A139" s="16" t="s">
        <v>184</v>
      </c>
      <c r="B139" s="16" t="s">
        <v>10</v>
      </c>
      <c r="C139" s="2">
        <v>46064.662855127317</v>
      </c>
      <c r="D139">
        <v>2</v>
      </c>
      <c r="F139" s="2">
        <v>46064.329521793981</v>
      </c>
      <c r="G139" s="3">
        <v>46064</v>
      </c>
      <c r="H139" t="s">
        <v>63</v>
      </c>
      <c r="I139">
        <v>7</v>
      </c>
    </row>
    <row r="140" spans="1:9" x14ac:dyDescent="0.2">
      <c r="A140" s="16" t="s">
        <v>185</v>
      </c>
      <c r="B140" s="16" t="s">
        <v>10</v>
      </c>
      <c r="C140" s="2">
        <v>46064.666310289351</v>
      </c>
      <c r="D140">
        <v>2</v>
      </c>
      <c r="F140" s="2">
        <v>46064.332976956015</v>
      </c>
      <c r="G140" s="3">
        <v>46064</v>
      </c>
      <c r="H140" t="s">
        <v>63</v>
      </c>
      <c r="I140">
        <v>7</v>
      </c>
    </row>
    <row r="141" spans="1:9" x14ac:dyDescent="0.2">
      <c r="A141" s="16" t="s">
        <v>186</v>
      </c>
      <c r="B141" s="16" t="s">
        <v>10</v>
      </c>
      <c r="C141" s="2">
        <v>46064.666848391207</v>
      </c>
      <c r="D141">
        <v>2</v>
      </c>
      <c r="F141" s="2">
        <v>46064.333515057871</v>
      </c>
      <c r="G141" s="3">
        <v>46064</v>
      </c>
      <c r="H141" t="s">
        <v>63</v>
      </c>
      <c r="I141">
        <v>8</v>
      </c>
    </row>
    <row r="142" spans="1:9" x14ac:dyDescent="0.2">
      <c r="A142" s="16" t="s">
        <v>187</v>
      </c>
      <c r="B142" s="16" t="s">
        <v>10</v>
      </c>
      <c r="C142" s="2">
        <v>46064.668259201389</v>
      </c>
      <c r="D142">
        <v>4</v>
      </c>
      <c r="E142" s="7" t="s">
        <v>188</v>
      </c>
      <c r="F142" s="2">
        <v>46064.334925868054</v>
      </c>
      <c r="G142" s="3">
        <v>46064</v>
      </c>
      <c r="H142" t="s">
        <v>63</v>
      </c>
      <c r="I142">
        <v>8</v>
      </c>
    </row>
    <row r="143" spans="1:9" x14ac:dyDescent="0.2">
      <c r="A143" s="16" t="s">
        <v>189</v>
      </c>
      <c r="B143" s="16" t="s">
        <v>10</v>
      </c>
      <c r="C143" s="2">
        <v>46064.671221597222</v>
      </c>
      <c r="D143">
        <v>2</v>
      </c>
      <c r="E143" s="7" t="s">
        <v>190</v>
      </c>
      <c r="F143" s="2">
        <v>46064.337888263886</v>
      </c>
      <c r="G143" s="3">
        <v>46064</v>
      </c>
      <c r="H143" t="s">
        <v>63</v>
      </c>
      <c r="I143">
        <v>8</v>
      </c>
    </row>
    <row r="144" spans="1:9" x14ac:dyDescent="0.2">
      <c r="A144" s="16" t="s">
        <v>191</v>
      </c>
      <c r="B144" s="16" t="s">
        <v>10</v>
      </c>
      <c r="C144" s="2">
        <v>46064.675436608799</v>
      </c>
      <c r="D144">
        <v>36</v>
      </c>
      <c r="F144" s="2">
        <v>46064.342103275463</v>
      </c>
      <c r="G144" s="3">
        <v>46064</v>
      </c>
      <c r="H144" t="s">
        <v>63</v>
      </c>
      <c r="I144">
        <v>8</v>
      </c>
    </row>
    <row r="145" spans="1:9" x14ac:dyDescent="0.2">
      <c r="A145" s="16" t="s">
        <v>192</v>
      </c>
      <c r="B145" s="16" t="s">
        <v>10</v>
      </c>
      <c r="C145" s="2">
        <v>46064.685371041669</v>
      </c>
      <c r="D145">
        <v>16</v>
      </c>
      <c r="E145" s="7" t="s">
        <v>60</v>
      </c>
      <c r="F145" s="2">
        <v>46064.352037708333</v>
      </c>
      <c r="G145" s="3">
        <v>46064</v>
      </c>
      <c r="H145" t="s">
        <v>63</v>
      </c>
      <c r="I145">
        <v>8</v>
      </c>
    </row>
    <row r="146" spans="1:9" x14ac:dyDescent="0.2">
      <c r="A146" s="16" t="s">
        <v>193</v>
      </c>
      <c r="B146" s="16" t="s">
        <v>10</v>
      </c>
      <c r="C146" s="2">
        <v>46064.694115497688</v>
      </c>
      <c r="D146">
        <v>4</v>
      </c>
      <c r="F146" s="2">
        <v>46064.360782164353</v>
      </c>
      <c r="G146" s="3">
        <v>46064</v>
      </c>
      <c r="H146" t="s">
        <v>63</v>
      </c>
      <c r="I146">
        <v>8</v>
      </c>
    </row>
    <row r="147" spans="1:9" x14ac:dyDescent="0.2">
      <c r="A147" s="16" t="s">
        <v>194</v>
      </c>
      <c r="B147" s="16" t="s">
        <v>10</v>
      </c>
      <c r="C147" s="2">
        <v>46064.71863304398</v>
      </c>
      <c r="D147">
        <v>15</v>
      </c>
      <c r="E147" s="7" t="s">
        <v>190</v>
      </c>
      <c r="F147" s="2">
        <v>46064.385299710651</v>
      </c>
      <c r="G147" s="3">
        <v>46064</v>
      </c>
      <c r="H147" t="s">
        <v>63</v>
      </c>
      <c r="I147">
        <v>9</v>
      </c>
    </row>
    <row r="148" spans="1:9" x14ac:dyDescent="0.2">
      <c r="A148" s="16" t="s">
        <v>195</v>
      </c>
      <c r="B148" s="16" t="s">
        <v>10</v>
      </c>
      <c r="C148" s="2">
        <v>46064.72813797454</v>
      </c>
      <c r="D148">
        <v>36</v>
      </c>
      <c r="F148" s="2">
        <v>46064.394804641204</v>
      </c>
      <c r="G148" s="3">
        <v>46064</v>
      </c>
      <c r="H148" t="s">
        <v>63</v>
      </c>
      <c r="I148">
        <v>9</v>
      </c>
    </row>
    <row r="149" spans="1:9" x14ac:dyDescent="0.2">
      <c r="A149" s="16" t="s">
        <v>196</v>
      </c>
      <c r="B149" s="16" t="s">
        <v>10</v>
      </c>
      <c r="C149" s="2">
        <v>46064.752177476854</v>
      </c>
      <c r="D149">
        <v>15</v>
      </c>
      <c r="E149" s="7" t="s">
        <v>190</v>
      </c>
      <c r="F149" s="2">
        <v>46064.418844143518</v>
      </c>
      <c r="G149" s="3">
        <v>46064</v>
      </c>
      <c r="H149" t="s">
        <v>63</v>
      </c>
      <c r="I149">
        <v>10</v>
      </c>
    </row>
    <row r="150" spans="1:9" x14ac:dyDescent="0.2">
      <c r="A150" s="16" t="s">
        <v>197</v>
      </c>
      <c r="B150" s="16" t="s">
        <v>10</v>
      </c>
      <c r="C150" s="2">
        <v>46064.754970937502</v>
      </c>
      <c r="D150">
        <v>36</v>
      </c>
      <c r="F150" s="2">
        <v>46064.421637604166</v>
      </c>
      <c r="G150" s="3">
        <v>46064</v>
      </c>
      <c r="H150" t="s">
        <v>63</v>
      </c>
      <c r="I150">
        <v>10</v>
      </c>
    </row>
    <row r="151" spans="1:9" x14ac:dyDescent="0.2">
      <c r="A151" s="16" t="s">
        <v>198</v>
      </c>
      <c r="B151" s="16" t="s">
        <v>10</v>
      </c>
      <c r="C151" s="2">
        <v>46064.764557291666</v>
      </c>
      <c r="D151">
        <v>4</v>
      </c>
      <c r="F151" s="2">
        <v>46064.431223958331</v>
      </c>
      <c r="G151" s="3">
        <v>46064</v>
      </c>
      <c r="H151" t="s">
        <v>63</v>
      </c>
      <c r="I151">
        <v>10</v>
      </c>
    </row>
    <row r="152" spans="1:9" x14ac:dyDescent="0.2">
      <c r="A152" s="16" t="s">
        <v>199</v>
      </c>
      <c r="B152" s="16" t="s">
        <v>10</v>
      </c>
      <c r="C152" s="2">
        <v>46064.76508297454</v>
      </c>
      <c r="D152">
        <v>4</v>
      </c>
      <c r="F152" s="2">
        <v>46064.431749641204</v>
      </c>
      <c r="G152" s="3">
        <v>46064</v>
      </c>
      <c r="H152" t="s">
        <v>63</v>
      </c>
      <c r="I152">
        <v>10</v>
      </c>
    </row>
    <row r="153" spans="1:9" x14ac:dyDescent="0.2">
      <c r="A153" s="16" t="s">
        <v>200</v>
      </c>
      <c r="B153" s="16" t="s">
        <v>10</v>
      </c>
      <c r="C153" s="2">
        <v>46064.766803206017</v>
      </c>
      <c r="D153">
        <v>41</v>
      </c>
      <c r="F153" s="2">
        <v>46064.433469872682</v>
      </c>
      <c r="G153" s="3">
        <v>46064</v>
      </c>
      <c r="H153" t="s">
        <v>63</v>
      </c>
      <c r="I153">
        <v>10</v>
      </c>
    </row>
    <row r="154" spans="1:9" x14ac:dyDescent="0.2">
      <c r="A154" s="16" t="s">
        <v>201</v>
      </c>
      <c r="B154" s="16" t="s">
        <v>10</v>
      </c>
      <c r="C154" s="2">
        <v>46064.771394293981</v>
      </c>
      <c r="D154">
        <v>2</v>
      </c>
      <c r="F154" s="2">
        <v>46064.438060960645</v>
      </c>
      <c r="G154" s="3">
        <v>46064</v>
      </c>
      <c r="H154" t="s">
        <v>63</v>
      </c>
      <c r="I154">
        <v>10</v>
      </c>
    </row>
    <row r="155" spans="1:9" x14ac:dyDescent="0.2">
      <c r="A155" s="16" t="s">
        <v>202</v>
      </c>
      <c r="B155" s="16" t="s">
        <v>10</v>
      </c>
      <c r="C155" s="2">
        <v>46064.772890763888</v>
      </c>
      <c r="D155">
        <v>4</v>
      </c>
      <c r="E155" s="7" t="s">
        <v>188</v>
      </c>
      <c r="F155" s="2">
        <v>46064.439557430553</v>
      </c>
      <c r="G155" s="3">
        <v>46064</v>
      </c>
      <c r="H155" t="s">
        <v>63</v>
      </c>
      <c r="I155">
        <v>10</v>
      </c>
    </row>
    <row r="156" spans="1:9" x14ac:dyDescent="0.2">
      <c r="A156" s="16" t="s">
        <v>203</v>
      </c>
      <c r="B156" s="16" t="s">
        <v>10</v>
      </c>
      <c r="C156" s="2">
        <v>46064.792955775461</v>
      </c>
      <c r="D156">
        <v>15</v>
      </c>
      <c r="E156" s="7" t="s">
        <v>190</v>
      </c>
      <c r="F156" s="2">
        <v>46064.459622442133</v>
      </c>
      <c r="G156" s="3">
        <v>46064</v>
      </c>
      <c r="H156" t="s">
        <v>63</v>
      </c>
      <c r="I156">
        <v>11</v>
      </c>
    </row>
    <row r="157" spans="1:9" x14ac:dyDescent="0.2">
      <c r="A157" s="16" t="s">
        <v>788</v>
      </c>
      <c r="B157" s="16" t="s">
        <v>10</v>
      </c>
      <c r="C157" s="2">
        <v>46064.796799814816</v>
      </c>
      <c r="D157">
        <v>36</v>
      </c>
      <c r="F157" s="2">
        <v>46064.46346648148</v>
      </c>
      <c r="G157" s="3">
        <v>46064</v>
      </c>
      <c r="H157" t="s">
        <v>63</v>
      </c>
      <c r="I157">
        <v>11</v>
      </c>
    </row>
    <row r="158" spans="1:9" x14ac:dyDescent="0.2">
      <c r="A158" s="16" t="s">
        <v>204</v>
      </c>
      <c r="B158" s="16" t="s">
        <v>10</v>
      </c>
      <c r="C158" s="2">
        <v>46064.833043761573</v>
      </c>
      <c r="D158">
        <v>1</v>
      </c>
      <c r="F158" s="2">
        <v>46064.499710428237</v>
      </c>
      <c r="G158" s="3">
        <v>46064</v>
      </c>
      <c r="H158" t="s">
        <v>63</v>
      </c>
      <c r="I158">
        <v>11</v>
      </c>
    </row>
    <row r="159" spans="1:9" x14ac:dyDescent="0.2">
      <c r="A159" s="16" t="s">
        <v>205</v>
      </c>
      <c r="B159" s="16" t="s">
        <v>10</v>
      </c>
      <c r="C159" s="2">
        <v>46064.834082928239</v>
      </c>
      <c r="D159">
        <v>1</v>
      </c>
      <c r="F159" s="2">
        <v>46064.50074959491</v>
      </c>
      <c r="G159" s="3">
        <v>46064</v>
      </c>
      <c r="H159" t="s">
        <v>63</v>
      </c>
      <c r="I159">
        <v>12</v>
      </c>
    </row>
    <row r="160" spans="1:9" x14ac:dyDescent="0.2">
      <c r="A160" s="16" t="s">
        <v>206</v>
      </c>
      <c r="B160" s="16" t="s">
        <v>10</v>
      </c>
      <c r="C160" s="2">
        <v>46064.844954328706</v>
      </c>
      <c r="D160">
        <v>40</v>
      </c>
      <c r="F160" s="2">
        <v>46064.51162099537</v>
      </c>
      <c r="G160" s="3">
        <v>46064</v>
      </c>
      <c r="H160" t="s">
        <v>63</v>
      </c>
      <c r="I160">
        <v>12</v>
      </c>
    </row>
    <row r="161" spans="1:9" x14ac:dyDescent="0.2">
      <c r="A161" s="16" t="s">
        <v>207</v>
      </c>
      <c r="B161" s="16" t="s">
        <v>10</v>
      </c>
      <c r="C161" s="2">
        <v>46064.861880717595</v>
      </c>
      <c r="D161">
        <v>2</v>
      </c>
      <c r="E161" s="7">
        <v>10851</v>
      </c>
      <c r="F161" s="2">
        <v>46064.52854738426</v>
      </c>
      <c r="G161" s="3">
        <v>46064</v>
      </c>
      <c r="H161" t="s">
        <v>63</v>
      </c>
      <c r="I161">
        <v>12</v>
      </c>
    </row>
    <row r="162" spans="1:9" x14ac:dyDescent="0.2">
      <c r="A162" s="16" t="s">
        <v>208</v>
      </c>
      <c r="B162" s="16" t="s">
        <v>10</v>
      </c>
      <c r="C162" s="2">
        <v>46064.877574155093</v>
      </c>
      <c r="D162">
        <v>15</v>
      </c>
      <c r="E162" s="7" t="s">
        <v>190</v>
      </c>
      <c r="F162" s="2">
        <v>46064.544240821757</v>
      </c>
      <c r="G162" s="3">
        <v>46064</v>
      </c>
      <c r="H162" t="s">
        <v>63</v>
      </c>
      <c r="I162">
        <v>13</v>
      </c>
    </row>
    <row r="163" spans="1:9" x14ac:dyDescent="0.2">
      <c r="A163" s="16" t="s">
        <v>209</v>
      </c>
      <c r="B163" s="16" t="s">
        <v>10</v>
      </c>
      <c r="C163" s="2">
        <v>46064.91833054398</v>
      </c>
      <c r="D163">
        <v>36</v>
      </c>
      <c r="F163" s="2">
        <v>46064.584997210652</v>
      </c>
      <c r="G163" s="3">
        <v>46064</v>
      </c>
      <c r="H163" t="s">
        <v>63</v>
      </c>
      <c r="I163">
        <v>14</v>
      </c>
    </row>
    <row r="164" spans="1:9" x14ac:dyDescent="0.2">
      <c r="A164" s="16" t="s">
        <v>210</v>
      </c>
      <c r="B164" s="16" t="s">
        <v>10</v>
      </c>
      <c r="C164" s="2">
        <v>46064.920860902777</v>
      </c>
      <c r="D164">
        <v>15</v>
      </c>
      <c r="E164" s="7" t="s">
        <v>190</v>
      </c>
      <c r="F164" s="2">
        <v>46064.587527569442</v>
      </c>
      <c r="G164" s="3">
        <v>46064</v>
      </c>
      <c r="H164" t="s">
        <v>63</v>
      </c>
      <c r="I164">
        <v>14</v>
      </c>
    </row>
    <row r="165" spans="1:9" x14ac:dyDescent="0.2">
      <c r="A165" s="16" t="s">
        <v>789</v>
      </c>
      <c r="B165" s="16" t="s">
        <v>10</v>
      </c>
      <c r="C165" s="2">
        <v>46064.953013067126</v>
      </c>
      <c r="D165">
        <v>15</v>
      </c>
      <c r="E165" s="7" t="s">
        <v>190</v>
      </c>
      <c r="F165" s="2">
        <v>46064.619679733798</v>
      </c>
      <c r="G165" s="3">
        <v>46064</v>
      </c>
      <c r="H165" t="s">
        <v>63</v>
      </c>
      <c r="I165">
        <v>14</v>
      </c>
    </row>
    <row r="166" spans="1:9" x14ac:dyDescent="0.2">
      <c r="A166" s="16" t="s">
        <v>211</v>
      </c>
      <c r="B166" s="16" t="s">
        <v>10</v>
      </c>
      <c r="C166" s="2">
        <v>46064.962504236108</v>
      </c>
      <c r="D166">
        <v>2</v>
      </c>
      <c r="F166" s="2">
        <v>46064.629170902779</v>
      </c>
      <c r="G166" s="3">
        <v>46064</v>
      </c>
      <c r="H166" t="s">
        <v>63</v>
      </c>
      <c r="I166">
        <v>15</v>
      </c>
    </row>
    <row r="167" spans="1:9" x14ac:dyDescent="0.2">
      <c r="A167" s="16" t="s">
        <v>212</v>
      </c>
      <c r="B167" s="16" t="s">
        <v>10</v>
      </c>
      <c r="C167" s="2">
        <v>46064.964762754629</v>
      </c>
      <c r="D167">
        <v>15</v>
      </c>
      <c r="E167" s="7" t="s">
        <v>190</v>
      </c>
      <c r="F167" s="2">
        <v>46064.631429421293</v>
      </c>
      <c r="G167" s="3">
        <v>46064</v>
      </c>
      <c r="H167" t="s">
        <v>63</v>
      </c>
      <c r="I167">
        <v>15</v>
      </c>
    </row>
    <row r="168" spans="1:9" x14ac:dyDescent="0.2">
      <c r="A168" s="16" t="s">
        <v>213</v>
      </c>
      <c r="B168" s="16" t="s">
        <v>10</v>
      </c>
      <c r="C168" s="2">
        <v>46064.988026990737</v>
      </c>
      <c r="D168">
        <v>2</v>
      </c>
      <c r="F168" s="2">
        <v>46064.654693657409</v>
      </c>
      <c r="G168" s="3">
        <v>46064</v>
      </c>
      <c r="H168" t="s">
        <v>63</v>
      </c>
      <c r="I168">
        <v>15</v>
      </c>
    </row>
    <row r="169" spans="1:9" x14ac:dyDescent="0.2">
      <c r="A169" s="16" t="s">
        <v>214</v>
      </c>
      <c r="B169" s="16" t="s">
        <v>10</v>
      </c>
      <c r="C169" s="2">
        <v>46065.015655196759</v>
      </c>
      <c r="D169">
        <v>2</v>
      </c>
      <c r="F169" s="2">
        <v>46064.682321863424</v>
      </c>
      <c r="G169" s="3">
        <v>46064</v>
      </c>
      <c r="H169" t="s">
        <v>63</v>
      </c>
      <c r="I169">
        <v>16</v>
      </c>
    </row>
    <row r="170" spans="1:9" x14ac:dyDescent="0.2">
      <c r="A170" s="16" t="s">
        <v>215</v>
      </c>
      <c r="B170" s="16" t="s">
        <v>10</v>
      </c>
      <c r="C170" s="2">
        <v>46065.017758020833</v>
      </c>
      <c r="D170">
        <v>2</v>
      </c>
      <c r="F170" s="2">
        <v>46064.684424687497</v>
      </c>
      <c r="G170" s="3">
        <v>46064</v>
      </c>
      <c r="H170" t="s">
        <v>63</v>
      </c>
      <c r="I170">
        <v>16</v>
      </c>
    </row>
    <row r="171" spans="1:9" x14ac:dyDescent="0.2">
      <c r="A171" s="16" t="s">
        <v>216</v>
      </c>
      <c r="B171" s="16" t="s">
        <v>10</v>
      </c>
      <c r="C171" s="2">
        <v>46065.154999664352</v>
      </c>
      <c r="D171">
        <v>2</v>
      </c>
      <c r="F171" s="2">
        <v>46064.821666331016</v>
      </c>
      <c r="G171" s="3">
        <v>46064</v>
      </c>
      <c r="H171" t="s">
        <v>63</v>
      </c>
      <c r="I171">
        <v>19</v>
      </c>
    </row>
    <row r="172" spans="1:9" x14ac:dyDescent="0.2">
      <c r="A172" s="16" t="s">
        <v>217</v>
      </c>
      <c r="B172" s="16" t="s">
        <v>10</v>
      </c>
      <c r="C172" s="2">
        <v>46065.326786180558</v>
      </c>
      <c r="D172">
        <v>2</v>
      </c>
      <c r="F172" s="2">
        <v>46064.993452847222</v>
      </c>
      <c r="G172" s="3">
        <v>46064</v>
      </c>
      <c r="H172" t="s">
        <v>63</v>
      </c>
      <c r="I172">
        <v>23</v>
      </c>
    </row>
    <row r="173" spans="1:9" x14ac:dyDescent="0.2">
      <c r="A173" s="16" t="s">
        <v>218</v>
      </c>
      <c r="B173" s="16" t="s">
        <v>10</v>
      </c>
      <c r="C173" s="2">
        <v>46065.338220393518</v>
      </c>
      <c r="D173">
        <v>41</v>
      </c>
      <c r="F173" s="2">
        <v>46065.004887060182</v>
      </c>
      <c r="G173" s="3">
        <v>46065</v>
      </c>
      <c r="H173" t="s">
        <v>95</v>
      </c>
      <c r="I173">
        <v>0</v>
      </c>
    </row>
    <row r="174" spans="1:9" x14ac:dyDescent="0.2">
      <c r="A174" s="16" t="s">
        <v>219</v>
      </c>
      <c r="B174" s="16" t="s">
        <v>10</v>
      </c>
      <c r="C174" s="2">
        <v>46065.359690509256</v>
      </c>
      <c r="D174">
        <v>36</v>
      </c>
      <c r="F174" s="2">
        <v>46065.026357175928</v>
      </c>
      <c r="G174" s="3">
        <v>46065</v>
      </c>
      <c r="H174" t="s">
        <v>95</v>
      </c>
      <c r="I174">
        <v>0</v>
      </c>
    </row>
    <row r="175" spans="1:9" x14ac:dyDescent="0.2">
      <c r="A175" s="16" t="s">
        <v>220</v>
      </c>
      <c r="B175" s="16" t="s">
        <v>10</v>
      </c>
      <c r="C175" s="2">
        <v>46065.366646747687</v>
      </c>
      <c r="D175">
        <v>2</v>
      </c>
      <c r="E175" s="7" t="s">
        <v>89</v>
      </c>
      <c r="F175" s="2">
        <v>46065.033313414351</v>
      </c>
      <c r="G175" s="3">
        <v>46065</v>
      </c>
      <c r="H175" t="s">
        <v>95</v>
      </c>
      <c r="I175">
        <v>0</v>
      </c>
    </row>
    <row r="176" spans="1:9" x14ac:dyDescent="0.2">
      <c r="A176" s="16" t="s">
        <v>221</v>
      </c>
      <c r="B176" s="16" t="s">
        <v>10</v>
      </c>
      <c r="C176" s="2">
        <v>46065.400029826385</v>
      </c>
      <c r="D176">
        <v>36</v>
      </c>
      <c r="F176" s="2">
        <v>46065.066696493057</v>
      </c>
      <c r="G176" s="3">
        <v>46065</v>
      </c>
      <c r="H176" t="s">
        <v>95</v>
      </c>
      <c r="I176">
        <v>1</v>
      </c>
    </row>
    <row r="177" spans="1:9" x14ac:dyDescent="0.2">
      <c r="A177" s="16" t="s">
        <v>222</v>
      </c>
      <c r="B177" s="16" t="s">
        <v>10</v>
      </c>
      <c r="C177" s="2">
        <v>46065.421995821758</v>
      </c>
      <c r="D177">
        <v>36</v>
      </c>
      <c r="F177" s="2">
        <v>46065.088662488422</v>
      </c>
      <c r="G177" s="3">
        <v>46065</v>
      </c>
      <c r="H177" t="s">
        <v>95</v>
      </c>
      <c r="I177">
        <v>2</v>
      </c>
    </row>
    <row r="178" spans="1:9" x14ac:dyDescent="0.2">
      <c r="A178" s="16" t="s">
        <v>223</v>
      </c>
      <c r="B178" s="16" t="s">
        <v>10</v>
      </c>
      <c r="C178" s="2">
        <v>46065.465773229167</v>
      </c>
      <c r="D178">
        <v>36</v>
      </c>
      <c r="F178" s="2">
        <v>46065.132439895831</v>
      </c>
      <c r="G178" s="3">
        <v>46065</v>
      </c>
      <c r="H178" t="s">
        <v>95</v>
      </c>
      <c r="I178">
        <v>3</v>
      </c>
    </row>
    <row r="179" spans="1:9" x14ac:dyDescent="0.2">
      <c r="A179" s="16" t="s">
        <v>224</v>
      </c>
      <c r="B179" s="16" t="s">
        <v>10</v>
      </c>
      <c r="C179" s="2">
        <v>46065.520208553244</v>
      </c>
      <c r="D179">
        <v>2</v>
      </c>
      <c r="F179" s="2">
        <v>46065.186875219908</v>
      </c>
      <c r="G179" s="3">
        <v>46065</v>
      </c>
      <c r="H179" t="s">
        <v>95</v>
      </c>
      <c r="I179">
        <v>4</v>
      </c>
    </row>
    <row r="180" spans="1:9" x14ac:dyDescent="0.2">
      <c r="A180" s="16" t="s">
        <v>225</v>
      </c>
      <c r="B180" s="16" t="s">
        <v>10</v>
      </c>
      <c r="C180" s="2">
        <v>46065.612584745373</v>
      </c>
      <c r="D180">
        <v>2</v>
      </c>
      <c r="E180" s="7">
        <v>10851</v>
      </c>
      <c r="F180" s="2">
        <v>46065.279251412037</v>
      </c>
      <c r="G180" s="3">
        <v>46065</v>
      </c>
      <c r="H180" t="s">
        <v>95</v>
      </c>
      <c r="I180">
        <v>6</v>
      </c>
    </row>
    <row r="181" spans="1:9" x14ac:dyDescent="0.2">
      <c r="A181" s="16" t="s">
        <v>226</v>
      </c>
      <c r="B181" s="16" t="s">
        <v>10</v>
      </c>
      <c r="C181" s="2">
        <v>46065.74645766204</v>
      </c>
      <c r="D181">
        <v>4</v>
      </c>
      <c r="F181" s="2">
        <v>46065.413124328705</v>
      </c>
      <c r="G181" s="3">
        <v>46065</v>
      </c>
      <c r="H181" t="s">
        <v>95</v>
      </c>
      <c r="I181">
        <v>9</v>
      </c>
    </row>
    <row r="182" spans="1:9" x14ac:dyDescent="0.2">
      <c r="A182" s="16" t="s">
        <v>227</v>
      </c>
      <c r="B182" s="16" t="s">
        <v>10</v>
      </c>
      <c r="C182" s="2">
        <v>46065.75835708333</v>
      </c>
      <c r="D182">
        <v>4</v>
      </c>
      <c r="F182" s="2">
        <v>46065.425023750002</v>
      </c>
      <c r="G182" s="3">
        <v>46065</v>
      </c>
      <c r="H182" t="s">
        <v>95</v>
      </c>
      <c r="I182">
        <v>10</v>
      </c>
    </row>
    <row r="183" spans="1:9" x14ac:dyDescent="0.2">
      <c r="A183" s="16" t="s">
        <v>228</v>
      </c>
      <c r="B183" s="16" t="s">
        <v>10</v>
      </c>
      <c r="C183" s="2">
        <v>46065.777414050928</v>
      </c>
      <c r="D183">
        <v>2</v>
      </c>
      <c r="E183" s="7">
        <v>10851</v>
      </c>
      <c r="F183" s="2">
        <v>46065.444080717592</v>
      </c>
      <c r="G183" s="3">
        <v>46065</v>
      </c>
      <c r="H183" t="s">
        <v>95</v>
      </c>
      <c r="I183">
        <v>10</v>
      </c>
    </row>
    <row r="184" spans="1:9" x14ac:dyDescent="0.2">
      <c r="A184" s="16" t="s">
        <v>229</v>
      </c>
      <c r="B184" s="16" t="s">
        <v>10</v>
      </c>
      <c r="C184" s="2">
        <v>46065.876551805559</v>
      </c>
      <c r="D184">
        <v>15</v>
      </c>
      <c r="E184" s="7">
        <v>10851</v>
      </c>
      <c r="F184" s="2">
        <v>46065.543218472223</v>
      </c>
      <c r="G184" s="3">
        <v>46065</v>
      </c>
      <c r="H184" t="s">
        <v>95</v>
      </c>
      <c r="I184">
        <v>13</v>
      </c>
    </row>
    <row r="185" spans="1:9" x14ac:dyDescent="0.2">
      <c r="A185" s="16" t="s">
        <v>230</v>
      </c>
      <c r="B185" s="16" t="s">
        <v>10</v>
      </c>
      <c r="C185" s="2">
        <v>46065.899848796296</v>
      </c>
      <c r="D185">
        <v>2</v>
      </c>
      <c r="E185" s="7" t="s">
        <v>70</v>
      </c>
      <c r="F185" s="2">
        <v>46065.566515462961</v>
      </c>
      <c r="G185" s="3">
        <v>46065</v>
      </c>
      <c r="H185" t="s">
        <v>95</v>
      </c>
      <c r="I185">
        <v>13</v>
      </c>
    </row>
    <row r="186" spans="1:9" x14ac:dyDescent="0.2">
      <c r="A186" s="16" t="s">
        <v>231</v>
      </c>
      <c r="B186" s="16" t="s">
        <v>10</v>
      </c>
      <c r="C186" s="2">
        <v>46065.989392939817</v>
      </c>
      <c r="D186">
        <v>15</v>
      </c>
      <c r="E186" s="7">
        <v>10851</v>
      </c>
      <c r="F186" s="2">
        <v>46065.656059606481</v>
      </c>
      <c r="G186" s="3">
        <v>46065</v>
      </c>
      <c r="H186" t="s">
        <v>95</v>
      </c>
      <c r="I186">
        <v>15</v>
      </c>
    </row>
    <row r="187" spans="1:9" x14ac:dyDescent="0.2">
      <c r="A187" s="16" t="s">
        <v>232</v>
      </c>
      <c r="B187" s="16" t="s">
        <v>10</v>
      </c>
      <c r="C187" s="2">
        <v>46066.020402650465</v>
      </c>
      <c r="D187">
        <v>1</v>
      </c>
      <c r="F187" s="2">
        <v>46065.687069317129</v>
      </c>
      <c r="G187" s="3">
        <v>46065</v>
      </c>
      <c r="H187" t="s">
        <v>95</v>
      </c>
      <c r="I187">
        <v>16</v>
      </c>
    </row>
    <row r="188" spans="1:9" x14ac:dyDescent="0.2">
      <c r="A188" s="16" t="s">
        <v>233</v>
      </c>
      <c r="B188" s="16" t="s">
        <v>10</v>
      </c>
      <c r="C188" s="2">
        <v>46066.292696840275</v>
      </c>
      <c r="D188">
        <v>2</v>
      </c>
      <c r="F188" s="2">
        <v>46065.959363506947</v>
      </c>
      <c r="G188" s="3">
        <v>46065</v>
      </c>
      <c r="H188" t="s">
        <v>95</v>
      </c>
      <c r="I188">
        <v>23</v>
      </c>
    </row>
    <row r="189" spans="1:9" x14ac:dyDescent="0.2">
      <c r="A189" s="16" t="s">
        <v>234</v>
      </c>
      <c r="B189" s="16" t="s">
        <v>10</v>
      </c>
      <c r="C189" s="2">
        <v>46066.37349510417</v>
      </c>
      <c r="D189">
        <v>2</v>
      </c>
      <c r="F189" s="2">
        <v>46066.040161770834</v>
      </c>
      <c r="G189" s="3">
        <v>46066</v>
      </c>
      <c r="H189" t="s">
        <v>115</v>
      </c>
      <c r="I189">
        <v>0</v>
      </c>
    </row>
    <row r="190" spans="1:9" x14ac:dyDescent="0.2">
      <c r="A190" s="16" t="s">
        <v>235</v>
      </c>
      <c r="B190" s="16" t="s">
        <v>10</v>
      </c>
      <c r="C190" s="2">
        <v>46066.409657002318</v>
      </c>
      <c r="D190">
        <v>2</v>
      </c>
      <c r="F190" s="2">
        <v>46066.076323668982</v>
      </c>
      <c r="G190" s="3">
        <v>46066</v>
      </c>
      <c r="H190" t="s">
        <v>115</v>
      </c>
      <c r="I190">
        <v>1</v>
      </c>
    </row>
    <row r="191" spans="1:9" x14ac:dyDescent="0.2">
      <c r="A191" s="16" t="s">
        <v>236</v>
      </c>
      <c r="B191" s="16" t="s">
        <v>10</v>
      </c>
      <c r="C191" s="2">
        <v>46066.452472743054</v>
      </c>
      <c r="D191">
        <v>2</v>
      </c>
      <c r="F191" s="2">
        <v>46066.119139409719</v>
      </c>
      <c r="G191" s="3">
        <v>46066</v>
      </c>
      <c r="H191" t="s">
        <v>115</v>
      </c>
      <c r="I191">
        <v>2</v>
      </c>
    </row>
    <row r="192" spans="1:9" x14ac:dyDescent="0.2">
      <c r="A192" s="16" t="s">
        <v>237</v>
      </c>
      <c r="B192" s="16" t="s">
        <v>10</v>
      </c>
      <c r="C192" s="2">
        <v>46066.452585856481</v>
      </c>
      <c r="D192">
        <v>2</v>
      </c>
      <c r="E192" s="7" t="s">
        <v>128</v>
      </c>
      <c r="F192" s="2">
        <v>46066.119252523145</v>
      </c>
      <c r="G192" s="3">
        <v>46066</v>
      </c>
      <c r="H192" t="s">
        <v>115</v>
      </c>
      <c r="I192">
        <v>2</v>
      </c>
    </row>
    <row r="193" spans="1:9" x14ac:dyDescent="0.2">
      <c r="A193" s="16" t="s">
        <v>238</v>
      </c>
      <c r="B193" s="16" t="s">
        <v>10</v>
      </c>
      <c r="C193" s="2">
        <v>46066.481016180558</v>
      </c>
      <c r="D193">
        <v>433</v>
      </c>
      <c r="E193" s="7" t="s">
        <v>31</v>
      </c>
      <c r="F193" s="2">
        <v>46066.147682847222</v>
      </c>
      <c r="G193" s="3">
        <v>46066</v>
      </c>
      <c r="H193" t="s">
        <v>115</v>
      </c>
      <c r="I193">
        <v>3</v>
      </c>
    </row>
    <row r="194" spans="1:9" x14ac:dyDescent="0.2">
      <c r="A194" s="16" t="s">
        <v>239</v>
      </c>
      <c r="B194" s="16" t="s">
        <v>10</v>
      </c>
      <c r="C194" s="2">
        <v>46066.584990844909</v>
      </c>
      <c r="D194">
        <v>433</v>
      </c>
      <c r="E194" s="7" t="s">
        <v>34</v>
      </c>
      <c r="F194" s="2">
        <v>46066.251657511573</v>
      </c>
      <c r="G194" s="3">
        <v>46066</v>
      </c>
      <c r="H194" t="s">
        <v>115</v>
      </c>
      <c r="I194">
        <v>6</v>
      </c>
    </row>
    <row r="195" spans="1:9" x14ac:dyDescent="0.2">
      <c r="A195" s="16" t="s">
        <v>240</v>
      </c>
      <c r="B195" s="16" t="s">
        <v>10</v>
      </c>
      <c r="C195" s="2">
        <v>46066.625668935187</v>
      </c>
      <c r="D195">
        <v>2</v>
      </c>
      <c r="E195" s="7" t="s">
        <v>241</v>
      </c>
      <c r="F195" s="2">
        <v>46066.292335601851</v>
      </c>
      <c r="G195" s="3">
        <v>46066</v>
      </c>
      <c r="H195" t="s">
        <v>115</v>
      </c>
      <c r="I195">
        <v>7</v>
      </c>
    </row>
    <row r="196" spans="1:9" x14ac:dyDescent="0.2">
      <c r="A196" s="16" t="s">
        <v>242</v>
      </c>
      <c r="B196" s="16" t="s">
        <v>10</v>
      </c>
      <c r="C196" s="2">
        <v>46066.803619791666</v>
      </c>
      <c r="D196">
        <v>2</v>
      </c>
      <c r="E196" s="7">
        <v>10851</v>
      </c>
      <c r="F196" s="2">
        <v>46066.470286458331</v>
      </c>
      <c r="G196" s="3">
        <v>46066</v>
      </c>
      <c r="H196" t="s">
        <v>115</v>
      </c>
      <c r="I196">
        <v>11</v>
      </c>
    </row>
    <row r="197" spans="1:9" x14ac:dyDescent="0.2">
      <c r="A197" s="16" t="s">
        <v>243</v>
      </c>
      <c r="B197" s="16" t="s">
        <v>10</v>
      </c>
      <c r="C197" s="2">
        <v>46066.974152187497</v>
      </c>
      <c r="D197">
        <v>2</v>
      </c>
      <c r="E197" s="7">
        <v>10851</v>
      </c>
      <c r="F197" s="2">
        <v>46066.640818854168</v>
      </c>
      <c r="G197" s="3">
        <v>46066</v>
      </c>
      <c r="H197" t="s">
        <v>115</v>
      </c>
      <c r="I197">
        <v>15</v>
      </c>
    </row>
    <row r="198" spans="1:9" x14ac:dyDescent="0.2">
      <c r="A198" s="16" t="s">
        <v>244</v>
      </c>
      <c r="B198" s="16" t="s">
        <v>10</v>
      </c>
      <c r="C198" s="2">
        <v>46067.067291770836</v>
      </c>
      <c r="D198">
        <v>1</v>
      </c>
      <c r="F198" s="2">
        <v>46066.7339584375</v>
      </c>
      <c r="G198" s="3">
        <v>46066</v>
      </c>
      <c r="H198" t="s">
        <v>115</v>
      </c>
      <c r="I198">
        <v>17</v>
      </c>
    </row>
    <row r="199" spans="1:9" x14ac:dyDescent="0.2">
      <c r="A199" s="16" t="s">
        <v>245</v>
      </c>
      <c r="B199" s="16" t="s">
        <v>10</v>
      </c>
      <c r="C199" s="2">
        <v>46067.084705717592</v>
      </c>
      <c r="D199">
        <v>624</v>
      </c>
      <c r="F199" s="2">
        <v>46066.751372384257</v>
      </c>
      <c r="G199" s="3">
        <v>46066</v>
      </c>
      <c r="H199" t="s">
        <v>115</v>
      </c>
      <c r="I199">
        <v>18</v>
      </c>
    </row>
    <row r="200" spans="1:9" x14ac:dyDescent="0.2">
      <c r="A200" s="16" t="s">
        <v>246</v>
      </c>
      <c r="B200" s="16" t="s">
        <v>10</v>
      </c>
      <c r="C200" s="2">
        <v>46067.107122210648</v>
      </c>
      <c r="D200">
        <v>2</v>
      </c>
      <c r="E200" s="7" t="s">
        <v>247</v>
      </c>
      <c r="F200" s="2">
        <v>46066.773788877312</v>
      </c>
      <c r="G200" s="3">
        <v>46066</v>
      </c>
      <c r="H200" t="s">
        <v>115</v>
      </c>
      <c r="I200">
        <v>18</v>
      </c>
    </row>
    <row r="201" spans="1:9" x14ac:dyDescent="0.2">
      <c r="A201" s="16" t="s">
        <v>248</v>
      </c>
      <c r="B201" s="16" t="s">
        <v>10</v>
      </c>
      <c r="C201" s="2">
        <v>46067.725754652776</v>
      </c>
      <c r="D201">
        <v>2</v>
      </c>
      <c r="F201" s="2">
        <v>46067.392421319448</v>
      </c>
      <c r="G201" s="3">
        <v>46067</v>
      </c>
      <c r="H201" t="s">
        <v>120</v>
      </c>
      <c r="I201">
        <v>9</v>
      </c>
    </row>
    <row r="202" spans="1:9" x14ac:dyDescent="0.2">
      <c r="A202" s="16" t="s">
        <v>249</v>
      </c>
      <c r="B202" s="16" t="s">
        <v>10</v>
      </c>
      <c r="C202" s="2">
        <v>46068.418775763887</v>
      </c>
      <c r="D202">
        <v>2</v>
      </c>
      <c r="F202" s="2">
        <v>46068.085442430558</v>
      </c>
      <c r="G202" s="3">
        <v>46068</v>
      </c>
      <c r="H202" t="s">
        <v>125</v>
      </c>
      <c r="I202">
        <v>2</v>
      </c>
    </row>
    <row r="203" spans="1:9" x14ac:dyDescent="0.2">
      <c r="A203" s="16" t="s">
        <v>250</v>
      </c>
      <c r="B203" s="16" t="s">
        <v>10</v>
      </c>
      <c r="C203" s="2">
        <v>46068.458334212963</v>
      </c>
      <c r="D203">
        <v>2</v>
      </c>
      <c r="F203" s="2">
        <v>46068.125000879627</v>
      </c>
      <c r="G203" s="3">
        <v>46068</v>
      </c>
      <c r="H203" t="s">
        <v>125</v>
      </c>
      <c r="I203">
        <v>3</v>
      </c>
    </row>
    <row r="204" spans="1:9" x14ac:dyDescent="0.2">
      <c r="A204" s="16" t="s">
        <v>251</v>
      </c>
      <c r="B204" s="16" t="s">
        <v>10</v>
      </c>
      <c r="C204" s="2">
        <v>46068.463958900466</v>
      </c>
      <c r="D204">
        <v>2</v>
      </c>
      <c r="E204" s="7" t="s">
        <v>252</v>
      </c>
      <c r="F204" s="2">
        <v>46068.13062556713</v>
      </c>
      <c r="G204" s="3">
        <v>46068</v>
      </c>
      <c r="H204" t="s">
        <v>125</v>
      </c>
      <c r="I204">
        <v>3</v>
      </c>
    </row>
    <row r="205" spans="1:9" x14ac:dyDescent="0.2">
      <c r="A205" s="16" t="s">
        <v>253</v>
      </c>
      <c r="B205" s="16" t="s">
        <v>10</v>
      </c>
      <c r="C205" s="2">
        <v>46068.512143414351</v>
      </c>
      <c r="D205">
        <v>2</v>
      </c>
      <c r="F205" s="2">
        <v>46068.178810081015</v>
      </c>
      <c r="G205" s="3">
        <v>46068</v>
      </c>
      <c r="H205" t="s">
        <v>125</v>
      </c>
      <c r="I205">
        <v>4</v>
      </c>
    </row>
    <row r="206" spans="1:9" x14ac:dyDescent="0.2">
      <c r="A206" s="16" t="s">
        <v>254</v>
      </c>
      <c r="B206" s="16" t="s">
        <v>10</v>
      </c>
      <c r="C206" s="2">
        <v>46068.63805361111</v>
      </c>
      <c r="D206">
        <v>16</v>
      </c>
      <c r="E206" s="7" t="s">
        <v>252</v>
      </c>
      <c r="F206" s="2">
        <v>46068.304720277774</v>
      </c>
      <c r="G206" s="3">
        <v>46068</v>
      </c>
      <c r="H206" t="s">
        <v>125</v>
      </c>
      <c r="I206">
        <v>7</v>
      </c>
    </row>
    <row r="207" spans="1:9" x14ac:dyDescent="0.2">
      <c r="A207" s="16" t="s">
        <v>255</v>
      </c>
      <c r="B207" s="16" t="s">
        <v>10</v>
      </c>
      <c r="C207" s="2">
        <v>46068.691549560186</v>
      </c>
      <c r="D207">
        <v>4</v>
      </c>
      <c r="F207" s="2">
        <v>46068.35821622685</v>
      </c>
      <c r="G207" s="3">
        <v>46068</v>
      </c>
      <c r="H207" t="s">
        <v>125</v>
      </c>
      <c r="I207">
        <v>8</v>
      </c>
    </row>
    <row r="208" spans="1:9" x14ac:dyDescent="0.2">
      <c r="A208" s="16" t="s">
        <v>256</v>
      </c>
      <c r="B208" s="16" t="s">
        <v>10</v>
      </c>
      <c r="C208" s="2">
        <v>46068.692998240738</v>
      </c>
      <c r="D208">
        <v>4</v>
      </c>
      <c r="E208" s="7" t="s">
        <v>257</v>
      </c>
      <c r="F208" s="2">
        <v>46068.35966490741</v>
      </c>
      <c r="G208" s="3">
        <v>46068</v>
      </c>
      <c r="H208" t="s">
        <v>125</v>
      </c>
      <c r="I208">
        <v>8</v>
      </c>
    </row>
    <row r="209" spans="1:9" x14ac:dyDescent="0.2">
      <c r="A209" s="16" t="s">
        <v>258</v>
      </c>
      <c r="B209" s="16" t="s">
        <v>10</v>
      </c>
      <c r="C209" s="2">
        <v>46068.695180219911</v>
      </c>
      <c r="D209">
        <v>2</v>
      </c>
      <c r="F209" s="2">
        <v>46068.361846886575</v>
      </c>
      <c r="G209" s="3">
        <v>46068</v>
      </c>
      <c r="H209" t="s">
        <v>125</v>
      </c>
      <c r="I209">
        <v>8</v>
      </c>
    </row>
    <row r="210" spans="1:9" x14ac:dyDescent="0.2">
      <c r="A210" s="16" t="s">
        <v>259</v>
      </c>
      <c r="B210" s="16" t="s">
        <v>10</v>
      </c>
      <c r="C210" s="2">
        <v>46068.696729456016</v>
      </c>
      <c r="D210">
        <v>2</v>
      </c>
      <c r="E210" s="7" t="s">
        <v>260</v>
      </c>
      <c r="F210" s="2">
        <v>46068.363396122688</v>
      </c>
      <c r="G210" s="3">
        <v>46068</v>
      </c>
      <c r="H210" t="s">
        <v>125</v>
      </c>
      <c r="I210">
        <v>8</v>
      </c>
    </row>
    <row r="211" spans="1:9" x14ac:dyDescent="0.2">
      <c r="A211" s="16" t="s">
        <v>261</v>
      </c>
      <c r="B211" s="16" t="s">
        <v>10</v>
      </c>
      <c r="C211" s="2">
        <v>46068.697665069441</v>
      </c>
      <c r="D211">
        <v>2</v>
      </c>
      <c r="F211" s="2">
        <v>46068.364331736113</v>
      </c>
      <c r="G211" s="3">
        <v>46068</v>
      </c>
      <c r="H211" t="s">
        <v>125</v>
      </c>
      <c r="I211">
        <v>8</v>
      </c>
    </row>
    <row r="212" spans="1:9" x14ac:dyDescent="0.2">
      <c r="A212" s="16" t="s">
        <v>262</v>
      </c>
      <c r="B212" s="16" t="s">
        <v>10</v>
      </c>
      <c r="C212" s="2">
        <v>46068.711058229164</v>
      </c>
      <c r="D212">
        <v>15</v>
      </c>
      <c r="F212" s="2">
        <v>46068.377724895836</v>
      </c>
      <c r="G212" s="3">
        <v>46068</v>
      </c>
      <c r="H212" t="s">
        <v>125</v>
      </c>
      <c r="I212">
        <v>9</v>
      </c>
    </row>
    <row r="213" spans="1:9" x14ac:dyDescent="0.2">
      <c r="A213" s="16" t="s">
        <v>263</v>
      </c>
      <c r="B213" s="16" t="s">
        <v>10</v>
      </c>
      <c r="C213" s="2">
        <v>46068.71352085648</v>
      </c>
      <c r="D213">
        <v>4</v>
      </c>
      <c r="F213" s="2">
        <v>46068.380187523151</v>
      </c>
      <c r="G213" s="3">
        <v>46068</v>
      </c>
      <c r="H213" t="s">
        <v>125</v>
      </c>
      <c r="I213">
        <v>9</v>
      </c>
    </row>
    <row r="214" spans="1:9" x14ac:dyDescent="0.2">
      <c r="A214" s="16" t="s">
        <v>264</v>
      </c>
      <c r="B214" s="16" t="s">
        <v>10</v>
      </c>
      <c r="C214" s="2">
        <v>46068.715418495369</v>
      </c>
      <c r="D214">
        <v>15</v>
      </c>
      <c r="F214" s="2">
        <v>46068.38208516204</v>
      </c>
      <c r="G214" s="3">
        <v>46068</v>
      </c>
      <c r="H214" t="s">
        <v>125</v>
      </c>
      <c r="I214">
        <v>9</v>
      </c>
    </row>
    <row r="215" spans="1:9" x14ac:dyDescent="0.2">
      <c r="A215" s="16" t="s">
        <v>265</v>
      </c>
      <c r="B215" s="16" t="s">
        <v>10</v>
      </c>
      <c r="C215" s="2">
        <v>46068.755285011575</v>
      </c>
      <c r="D215">
        <v>15</v>
      </c>
      <c r="F215" s="2">
        <v>46068.42195167824</v>
      </c>
      <c r="G215" s="3">
        <v>46068</v>
      </c>
      <c r="H215" t="s">
        <v>125</v>
      </c>
      <c r="I215">
        <v>10</v>
      </c>
    </row>
    <row r="216" spans="1:9" x14ac:dyDescent="0.2">
      <c r="A216" s="16" t="s">
        <v>266</v>
      </c>
      <c r="B216" s="16" t="s">
        <v>10</v>
      </c>
      <c r="C216" s="2">
        <v>46068.755881261575</v>
      </c>
      <c r="D216">
        <v>4</v>
      </c>
      <c r="E216" s="7" t="s">
        <v>267</v>
      </c>
      <c r="F216" s="2">
        <v>46068.42254792824</v>
      </c>
      <c r="G216" s="3">
        <v>46068</v>
      </c>
      <c r="H216" t="s">
        <v>125</v>
      </c>
      <c r="I216">
        <v>10</v>
      </c>
    </row>
    <row r="217" spans="1:9" x14ac:dyDescent="0.2">
      <c r="A217" s="16" t="s">
        <v>268</v>
      </c>
      <c r="B217" s="16" t="s">
        <v>10</v>
      </c>
      <c r="C217" s="2">
        <v>46068.756194456022</v>
      </c>
      <c r="D217">
        <v>4</v>
      </c>
      <c r="F217" s="2">
        <v>46068.422861122686</v>
      </c>
      <c r="G217" s="3">
        <v>46068</v>
      </c>
      <c r="H217" t="s">
        <v>125</v>
      </c>
      <c r="I217">
        <v>10</v>
      </c>
    </row>
    <row r="218" spans="1:9" x14ac:dyDescent="0.2">
      <c r="A218" s="16" t="s">
        <v>269</v>
      </c>
      <c r="B218" s="16" t="s">
        <v>10</v>
      </c>
      <c r="C218" s="2">
        <v>46068.760158923615</v>
      </c>
      <c r="D218">
        <v>15</v>
      </c>
      <c r="F218" s="2">
        <v>46068.426825590279</v>
      </c>
      <c r="G218" s="3">
        <v>46068</v>
      </c>
      <c r="H218" t="s">
        <v>125</v>
      </c>
      <c r="I218">
        <v>10</v>
      </c>
    </row>
    <row r="219" spans="1:9" x14ac:dyDescent="0.2">
      <c r="A219" s="16" t="s">
        <v>270</v>
      </c>
      <c r="B219" s="16" t="s">
        <v>10</v>
      </c>
      <c r="C219" s="2">
        <v>46068.762097893516</v>
      </c>
      <c r="D219">
        <v>2</v>
      </c>
      <c r="F219" s="2">
        <v>46068.428764560187</v>
      </c>
      <c r="G219" s="3">
        <v>46068</v>
      </c>
      <c r="H219" t="s">
        <v>125</v>
      </c>
      <c r="I219">
        <v>10</v>
      </c>
    </row>
    <row r="220" spans="1:9" x14ac:dyDescent="0.2">
      <c r="A220" s="16" t="s">
        <v>271</v>
      </c>
      <c r="B220" s="16" t="s">
        <v>10</v>
      </c>
      <c r="C220" s="2">
        <v>46068.762986041664</v>
      </c>
      <c r="D220">
        <v>2</v>
      </c>
      <c r="F220" s="2">
        <v>46068.429652708335</v>
      </c>
      <c r="G220" s="3">
        <v>46068</v>
      </c>
      <c r="H220" t="s">
        <v>125</v>
      </c>
      <c r="I220">
        <v>10</v>
      </c>
    </row>
    <row r="221" spans="1:9" x14ac:dyDescent="0.2">
      <c r="A221" s="16" t="s">
        <v>272</v>
      </c>
      <c r="B221" s="16" t="s">
        <v>10</v>
      </c>
      <c r="C221" s="2">
        <v>46068.763794525461</v>
      </c>
      <c r="D221">
        <v>16</v>
      </c>
      <c r="E221" s="7" t="s">
        <v>60</v>
      </c>
      <c r="F221" s="2">
        <v>46068.430461192132</v>
      </c>
      <c r="G221" s="3">
        <v>46068</v>
      </c>
      <c r="H221" t="s">
        <v>125</v>
      </c>
      <c r="I221">
        <v>10</v>
      </c>
    </row>
    <row r="222" spans="1:9" x14ac:dyDescent="0.2">
      <c r="A222" s="16" t="s">
        <v>273</v>
      </c>
      <c r="B222" s="16" t="s">
        <v>10</v>
      </c>
      <c r="C222" s="2">
        <v>46068.83720465278</v>
      </c>
      <c r="D222">
        <v>433</v>
      </c>
      <c r="E222" s="7" t="s">
        <v>31</v>
      </c>
      <c r="F222" s="2">
        <v>46068.503871319444</v>
      </c>
      <c r="G222" s="3">
        <v>46068</v>
      </c>
      <c r="H222" t="s">
        <v>125</v>
      </c>
      <c r="I222">
        <v>12</v>
      </c>
    </row>
    <row r="223" spans="1:9" x14ac:dyDescent="0.2">
      <c r="A223" s="16" t="s">
        <v>274</v>
      </c>
      <c r="B223" s="16" t="s">
        <v>10</v>
      </c>
      <c r="C223" s="2">
        <v>46068.85275140046</v>
      </c>
      <c r="D223">
        <v>433</v>
      </c>
      <c r="E223" s="7" t="s">
        <v>275</v>
      </c>
      <c r="F223" s="2">
        <v>46068.519418067131</v>
      </c>
      <c r="G223" s="3">
        <v>46068</v>
      </c>
      <c r="H223" t="s">
        <v>125</v>
      </c>
      <c r="I223">
        <v>12</v>
      </c>
    </row>
    <row r="224" spans="1:9" x14ac:dyDescent="0.2">
      <c r="A224" s="16" t="s">
        <v>854</v>
      </c>
      <c r="B224" s="16" t="s">
        <v>10</v>
      </c>
      <c r="C224" s="2">
        <v>46068.870732858799</v>
      </c>
      <c r="D224">
        <v>433</v>
      </c>
      <c r="E224" s="7" t="s">
        <v>31</v>
      </c>
      <c r="F224" s="2">
        <v>46068.537399525463</v>
      </c>
      <c r="G224" s="3">
        <v>46068</v>
      </c>
      <c r="H224" t="s">
        <v>125</v>
      </c>
      <c r="I224">
        <v>12</v>
      </c>
    </row>
    <row r="225" spans="1:9" x14ac:dyDescent="0.2">
      <c r="A225" s="16" t="s">
        <v>276</v>
      </c>
      <c r="B225" s="16" t="s">
        <v>10</v>
      </c>
      <c r="C225" s="2">
        <v>46068.937879016201</v>
      </c>
      <c r="D225">
        <v>433</v>
      </c>
      <c r="E225" s="7" t="s">
        <v>31</v>
      </c>
      <c r="F225" s="2">
        <v>46068.604545682872</v>
      </c>
      <c r="G225" s="3">
        <v>46068</v>
      </c>
      <c r="H225" t="s">
        <v>125</v>
      </c>
      <c r="I225">
        <v>14</v>
      </c>
    </row>
    <row r="226" spans="1:9" x14ac:dyDescent="0.2">
      <c r="A226" s="16" t="s">
        <v>277</v>
      </c>
      <c r="B226" s="16" t="s">
        <v>10</v>
      </c>
      <c r="C226" s="2">
        <v>46068.963275856484</v>
      </c>
      <c r="D226">
        <v>433</v>
      </c>
      <c r="E226" s="7" t="s">
        <v>31</v>
      </c>
      <c r="F226" s="2">
        <v>46068.629942523148</v>
      </c>
      <c r="G226" s="3">
        <v>46068</v>
      </c>
      <c r="H226" t="s">
        <v>125</v>
      </c>
      <c r="I226">
        <v>15</v>
      </c>
    </row>
    <row r="227" spans="1:9" x14ac:dyDescent="0.2">
      <c r="A227" s="16" t="s">
        <v>278</v>
      </c>
      <c r="B227" s="16" t="s">
        <v>10</v>
      </c>
      <c r="C227" s="2">
        <v>46069.463268159721</v>
      </c>
      <c r="D227">
        <v>4</v>
      </c>
      <c r="E227" s="7" t="s">
        <v>15</v>
      </c>
      <c r="F227" s="2">
        <v>46069.129934826386</v>
      </c>
      <c r="G227" s="3">
        <v>46069</v>
      </c>
      <c r="H227" t="s">
        <v>11</v>
      </c>
      <c r="I227">
        <v>3</v>
      </c>
    </row>
    <row r="228" spans="1:9" x14ac:dyDescent="0.2">
      <c r="A228" s="16" t="s">
        <v>279</v>
      </c>
      <c r="B228" s="16" t="s">
        <v>10</v>
      </c>
      <c r="C228" s="2">
        <v>46069.538981076388</v>
      </c>
      <c r="D228">
        <v>2</v>
      </c>
      <c r="E228" s="7" t="s">
        <v>280</v>
      </c>
      <c r="F228" s="2">
        <v>46069.205647743052</v>
      </c>
      <c r="G228" s="3">
        <v>46069</v>
      </c>
      <c r="H228" t="s">
        <v>11</v>
      </c>
      <c r="I228">
        <v>4</v>
      </c>
    </row>
    <row r="229" spans="1:9" x14ac:dyDescent="0.2">
      <c r="A229" s="16" t="s">
        <v>281</v>
      </c>
      <c r="B229" s="16" t="s">
        <v>10</v>
      </c>
      <c r="C229" s="2">
        <v>46069.821272060188</v>
      </c>
      <c r="D229">
        <v>433</v>
      </c>
      <c r="E229" s="7" t="s">
        <v>275</v>
      </c>
      <c r="F229" s="2">
        <v>46069.487938726852</v>
      </c>
      <c r="G229" s="3">
        <v>46069</v>
      </c>
      <c r="H229" t="s">
        <v>11</v>
      </c>
      <c r="I229">
        <v>11</v>
      </c>
    </row>
    <row r="230" spans="1:9" x14ac:dyDescent="0.2">
      <c r="A230" s="16" t="s">
        <v>282</v>
      </c>
      <c r="B230" s="16" t="s">
        <v>10</v>
      </c>
      <c r="C230" s="2">
        <v>46069.844432696758</v>
      </c>
      <c r="D230">
        <v>433</v>
      </c>
      <c r="E230" s="7" t="s">
        <v>275</v>
      </c>
      <c r="F230" s="2">
        <v>46069.511099363423</v>
      </c>
      <c r="G230" s="3">
        <v>46069</v>
      </c>
      <c r="H230" t="s">
        <v>11</v>
      </c>
      <c r="I230">
        <v>12</v>
      </c>
    </row>
    <row r="231" spans="1:9" x14ac:dyDescent="0.2">
      <c r="A231" s="16" t="s">
        <v>283</v>
      </c>
      <c r="B231" s="16" t="s">
        <v>10</v>
      </c>
      <c r="C231" s="2">
        <v>46069.868729270835</v>
      </c>
      <c r="D231">
        <v>2</v>
      </c>
      <c r="F231" s="2">
        <v>46069.535395937499</v>
      </c>
      <c r="G231" s="3">
        <v>46069</v>
      </c>
      <c r="H231" t="s">
        <v>11</v>
      </c>
      <c r="I231">
        <v>12</v>
      </c>
    </row>
    <row r="232" spans="1:9" x14ac:dyDescent="0.2">
      <c r="A232" s="16" t="s">
        <v>284</v>
      </c>
      <c r="B232" s="16" t="s">
        <v>10</v>
      </c>
      <c r="C232" s="2">
        <v>46069.897775694444</v>
      </c>
      <c r="D232">
        <v>2</v>
      </c>
      <c r="F232" s="2">
        <v>46069.564442361108</v>
      </c>
      <c r="G232" s="3">
        <v>46069</v>
      </c>
      <c r="H232" t="s">
        <v>11</v>
      </c>
      <c r="I232">
        <v>13</v>
      </c>
    </row>
    <row r="233" spans="1:9" x14ac:dyDescent="0.2">
      <c r="A233" s="16" t="s">
        <v>285</v>
      </c>
      <c r="B233" s="16" t="s">
        <v>10</v>
      </c>
      <c r="C233" s="2">
        <v>46069.925040300928</v>
      </c>
      <c r="D233">
        <v>2</v>
      </c>
      <c r="F233" s="2">
        <v>46069.591706967592</v>
      </c>
      <c r="G233" s="3">
        <v>46069</v>
      </c>
      <c r="H233" t="s">
        <v>11</v>
      </c>
      <c r="I233">
        <v>14</v>
      </c>
    </row>
    <row r="234" spans="1:9" x14ac:dyDescent="0.2">
      <c r="A234" s="16" t="s">
        <v>286</v>
      </c>
      <c r="B234" s="16" t="s">
        <v>10</v>
      </c>
      <c r="C234" s="2">
        <v>46070.012298888891</v>
      </c>
      <c r="D234">
        <v>15</v>
      </c>
      <c r="F234" s="2">
        <v>46069.678965555555</v>
      </c>
      <c r="G234" s="3">
        <v>46069</v>
      </c>
      <c r="H234" t="s">
        <v>11</v>
      </c>
      <c r="I234">
        <v>16</v>
      </c>
    </row>
    <row r="235" spans="1:9" x14ac:dyDescent="0.2">
      <c r="A235" s="16" t="s">
        <v>287</v>
      </c>
      <c r="B235" s="16" t="s">
        <v>10</v>
      </c>
      <c r="C235" s="2">
        <v>46070.025226631944</v>
      </c>
      <c r="D235">
        <v>2</v>
      </c>
      <c r="E235" s="7" t="s">
        <v>89</v>
      </c>
      <c r="F235" s="2">
        <v>46069.691893298608</v>
      </c>
      <c r="G235" s="3">
        <v>46069</v>
      </c>
      <c r="H235" t="s">
        <v>11</v>
      </c>
      <c r="I235">
        <v>16</v>
      </c>
    </row>
    <row r="236" spans="1:9" x14ac:dyDescent="0.2">
      <c r="A236" s="16" t="s">
        <v>288</v>
      </c>
      <c r="B236" s="16" t="s">
        <v>10</v>
      </c>
      <c r="C236" s="2">
        <v>46070.375590266201</v>
      </c>
      <c r="D236">
        <v>1</v>
      </c>
      <c r="E236" s="7" t="s">
        <v>289</v>
      </c>
      <c r="F236" s="2">
        <v>46070.042256932873</v>
      </c>
      <c r="G236" s="3">
        <v>46070</v>
      </c>
      <c r="H236" t="s">
        <v>28</v>
      </c>
      <c r="I236">
        <v>1</v>
      </c>
    </row>
    <row r="237" spans="1:9" x14ac:dyDescent="0.2">
      <c r="A237" s="16" t="s">
        <v>290</v>
      </c>
      <c r="B237" s="16" t="s">
        <v>10</v>
      </c>
      <c r="C237" s="2">
        <v>46070.380012442132</v>
      </c>
      <c r="D237">
        <v>433</v>
      </c>
      <c r="E237" s="7" t="s">
        <v>34</v>
      </c>
      <c r="F237" s="2">
        <v>46070.046679108797</v>
      </c>
      <c r="G237" s="3">
        <v>46070</v>
      </c>
      <c r="H237" t="s">
        <v>28</v>
      </c>
      <c r="I237">
        <v>1</v>
      </c>
    </row>
    <row r="238" spans="1:9" x14ac:dyDescent="0.2">
      <c r="A238" s="16" t="s">
        <v>291</v>
      </c>
      <c r="B238" s="16" t="s">
        <v>10</v>
      </c>
      <c r="C238" s="2">
        <v>46070.423786203704</v>
      </c>
      <c r="D238">
        <v>35</v>
      </c>
      <c r="F238" s="2">
        <v>46070.090452870369</v>
      </c>
      <c r="G238" s="3">
        <v>46070</v>
      </c>
      <c r="H238" t="s">
        <v>28</v>
      </c>
      <c r="I238">
        <v>2</v>
      </c>
    </row>
    <row r="239" spans="1:9" x14ac:dyDescent="0.2">
      <c r="A239" s="16" t="s">
        <v>292</v>
      </c>
      <c r="B239" s="16" t="s">
        <v>10</v>
      </c>
      <c r="C239" s="2">
        <v>46070.461194317133</v>
      </c>
      <c r="D239">
        <v>433</v>
      </c>
      <c r="E239" s="7" t="s">
        <v>34</v>
      </c>
      <c r="F239" s="2">
        <v>46070.127860983797</v>
      </c>
      <c r="G239" s="3">
        <v>46070</v>
      </c>
      <c r="H239" t="s">
        <v>28</v>
      </c>
      <c r="I239">
        <v>3</v>
      </c>
    </row>
    <row r="240" spans="1:9" x14ac:dyDescent="0.2">
      <c r="A240" s="16" t="s">
        <v>293</v>
      </c>
      <c r="B240" s="16" t="s">
        <v>10</v>
      </c>
      <c r="C240" s="2">
        <v>46070.482661377318</v>
      </c>
      <c r="D240">
        <v>35</v>
      </c>
      <c r="E240" s="7" t="s">
        <v>165</v>
      </c>
      <c r="F240" s="2">
        <v>46070.149328043983</v>
      </c>
      <c r="G240" s="3">
        <v>46070</v>
      </c>
      <c r="H240" t="s">
        <v>28</v>
      </c>
      <c r="I240">
        <v>3</v>
      </c>
    </row>
    <row r="241" spans="1:9" x14ac:dyDescent="0.2">
      <c r="A241" s="16" t="s">
        <v>294</v>
      </c>
      <c r="B241" s="16" t="s">
        <v>10</v>
      </c>
      <c r="C241" s="2">
        <v>46070.631689236114</v>
      </c>
      <c r="D241">
        <v>35</v>
      </c>
      <c r="E241" s="7" t="s">
        <v>165</v>
      </c>
      <c r="F241" s="2">
        <v>46070.298355902778</v>
      </c>
      <c r="G241" s="3">
        <v>46070</v>
      </c>
      <c r="H241" t="s">
        <v>28</v>
      </c>
      <c r="I241">
        <v>7</v>
      </c>
    </row>
    <row r="242" spans="1:9" x14ac:dyDescent="0.2">
      <c r="A242" s="16" t="s">
        <v>295</v>
      </c>
      <c r="B242" s="16" t="s">
        <v>10</v>
      </c>
      <c r="C242" s="2">
        <v>46070.650467766201</v>
      </c>
      <c r="D242">
        <v>2</v>
      </c>
      <c r="E242" s="7" t="s">
        <v>152</v>
      </c>
      <c r="F242" s="2">
        <v>46070.317134432873</v>
      </c>
      <c r="G242" s="3">
        <v>46070</v>
      </c>
      <c r="H242" t="s">
        <v>28</v>
      </c>
      <c r="I242">
        <v>7</v>
      </c>
    </row>
    <row r="243" spans="1:9" x14ac:dyDescent="0.2">
      <c r="A243" s="16" t="s">
        <v>296</v>
      </c>
      <c r="B243" s="16" t="s">
        <v>10</v>
      </c>
      <c r="C243" s="2">
        <v>46070.663269583332</v>
      </c>
      <c r="D243">
        <v>2</v>
      </c>
      <c r="E243" s="7" t="s">
        <v>297</v>
      </c>
      <c r="F243" s="2">
        <v>46070.329936249997</v>
      </c>
      <c r="G243" s="3">
        <v>46070</v>
      </c>
      <c r="H243" t="s">
        <v>28</v>
      </c>
      <c r="I243">
        <v>7</v>
      </c>
    </row>
    <row r="244" spans="1:9" x14ac:dyDescent="0.2">
      <c r="A244" s="16" t="s">
        <v>298</v>
      </c>
      <c r="B244" s="16" t="s">
        <v>10</v>
      </c>
      <c r="C244" s="2">
        <v>46070.67875752315</v>
      </c>
      <c r="D244">
        <v>2</v>
      </c>
      <c r="F244" s="2">
        <v>46070.345424189814</v>
      </c>
      <c r="G244" s="3">
        <v>46070</v>
      </c>
      <c r="H244" t="s">
        <v>28</v>
      </c>
      <c r="I244">
        <v>8</v>
      </c>
    </row>
    <row r="245" spans="1:9" x14ac:dyDescent="0.2">
      <c r="A245" s="16" t="s">
        <v>299</v>
      </c>
      <c r="B245" s="16" t="s">
        <v>10</v>
      </c>
      <c r="C245" s="2">
        <v>46070.961553333334</v>
      </c>
      <c r="D245">
        <v>2</v>
      </c>
      <c r="F245" s="2">
        <v>46070.628219999999</v>
      </c>
      <c r="G245" s="3">
        <v>46070</v>
      </c>
      <c r="H245" t="s">
        <v>28</v>
      </c>
      <c r="I245">
        <v>15</v>
      </c>
    </row>
    <row r="246" spans="1:9" x14ac:dyDescent="0.2">
      <c r="A246" s="16" t="s">
        <v>300</v>
      </c>
      <c r="B246" s="16" t="s">
        <v>10</v>
      </c>
      <c r="C246" s="2">
        <v>46070.99875215278</v>
      </c>
      <c r="D246">
        <v>4</v>
      </c>
      <c r="E246" s="7" t="s">
        <v>301</v>
      </c>
      <c r="F246" s="2">
        <v>46070.665418819444</v>
      </c>
      <c r="G246" s="3">
        <v>46070</v>
      </c>
      <c r="H246" t="s">
        <v>28</v>
      </c>
      <c r="I246">
        <v>15</v>
      </c>
    </row>
    <row r="247" spans="1:9" x14ac:dyDescent="0.2">
      <c r="A247" s="16" t="s">
        <v>302</v>
      </c>
      <c r="B247" s="16" t="s">
        <v>10</v>
      </c>
      <c r="C247" s="2">
        <v>46071.321456377314</v>
      </c>
      <c r="D247">
        <v>35</v>
      </c>
      <c r="E247" s="7" t="s">
        <v>165</v>
      </c>
      <c r="F247" s="2">
        <v>46070.988123043979</v>
      </c>
      <c r="G247" s="3">
        <v>46070</v>
      </c>
      <c r="H247" t="s">
        <v>28</v>
      </c>
      <c r="I247">
        <v>23</v>
      </c>
    </row>
    <row r="248" spans="1:9" x14ac:dyDescent="0.2">
      <c r="A248" s="16" t="s">
        <v>303</v>
      </c>
      <c r="B248" s="16" t="s">
        <v>10</v>
      </c>
      <c r="C248" s="2">
        <v>46071.324589652781</v>
      </c>
      <c r="D248">
        <v>2</v>
      </c>
      <c r="F248" s="2">
        <v>46070.991256319445</v>
      </c>
      <c r="G248" s="3">
        <v>46070</v>
      </c>
      <c r="H248" t="s">
        <v>28</v>
      </c>
      <c r="I248">
        <v>23</v>
      </c>
    </row>
    <row r="249" spans="1:9" x14ac:dyDescent="0.2">
      <c r="A249" s="16" t="s">
        <v>304</v>
      </c>
      <c r="B249" s="16" t="s">
        <v>10</v>
      </c>
      <c r="C249" s="2">
        <v>46071.34181903935</v>
      </c>
      <c r="D249">
        <v>2</v>
      </c>
      <c r="E249" s="7" t="s">
        <v>305</v>
      </c>
      <c r="F249" s="2">
        <v>46071.008485706021</v>
      </c>
      <c r="G249" s="3">
        <v>46071</v>
      </c>
      <c r="H249" t="s">
        <v>63</v>
      </c>
      <c r="I249">
        <v>0</v>
      </c>
    </row>
    <row r="250" spans="1:9" x14ac:dyDescent="0.2">
      <c r="A250" s="16" t="s">
        <v>306</v>
      </c>
      <c r="B250" s="16" t="s">
        <v>10</v>
      </c>
      <c r="C250" s="2">
        <v>46071.444410393517</v>
      </c>
      <c r="D250">
        <v>433</v>
      </c>
      <c r="E250" s="7" t="s">
        <v>34</v>
      </c>
      <c r="F250" s="2">
        <v>46071.111077060188</v>
      </c>
      <c r="G250" s="3">
        <v>46071</v>
      </c>
      <c r="H250" t="s">
        <v>63</v>
      </c>
      <c r="I250">
        <v>2</v>
      </c>
    </row>
    <row r="251" spans="1:9" x14ac:dyDescent="0.2">
      <c r="A251" s="16" t="s">
        <v>307</v>
      </c>
      <c r="B251" s="16" t="s">
        <v>10</v>
      </c>
      <c r="C251" s="2">
        <v>46071.453435972224</v>
      </c>
      <c r="D251">
        <v>2</v>
      </c>
      <c r="E251" s="7" t="s">
        <v>60</v>
      </c>
      <c r="F251" s="2">
        <v>46071.120102638888</v>
      </c>
      <c r="G251" s="3">
        <v>46071</v>
      </c>
      <c r="H251" t="s">
        <v>63</v>
      </c>
      <c r="I251">
        <v>2</v>
      </c>
    </row>
    <row r="252" spans="1:9" x14ac:dyDescent="0.2">
      <c r="A252" s="16" t="s">
        <v>308</v>
      </c>
      <c r="B252" s="16" t="s">
        <v>10</v>
      </c>
      <c r="C252" s="2">
        <v>46071.470118969904</v>
      </c>
      <c r="D252">
        <v>36</v>
      </c>
      <c r="F252" s="2">
        <v>46071.136785636576</v>
      </c>
      <c r="G252" s="3">
        <v>46071</v>
      </c>
      <c r="H252" t="s">
        <v>63</v>
      </c>
      <c r="I252">
        <v>3</v>
      </c>
    </row>
    <row r="253" spans="1:9" x14ac:dyDescent="0.2">
      <c r="A253" s="16" t="s">
        <v>309</v>
      </c>
      <c r="B253" s="16" t="s">
        <v>10</v>
      </c>
      <c r="C253" s="2">
        <v>46071.472625451388</v>
      </c>
      <c r="D253">
        <v>2</v>
      </c>
      <c r="F253" s="2">
        <v>46071.139292118052</v>
      </c>
      <c r="G253" s="3">
        <v>46071</v>
      </c>
      <c r="H253" t="s">
        <v>63</v>
      </c>
      <c r="I253">
        <v>3</v>
      </c>
    </row>
    <row r="254" spans="1:9" x14ac:dyDescent="0.2">
      <c r="A254" s="16" t="s">
        <v>310</v>
      </c>
      <c r="B254" s="16" t="s">
        <v>10</v>
      </c>
      <c r="C254" s="2">
        <v>46071.476333969906</v>
      </c>
      <c r="D254">
        <v>2</v>
      </c>
      <c r="F254" s="2">
        <v>46071.143000636577</v>
      </c>
      <c r="G254" s="3">
        <v>46071</v>
      </c>
      <c r="H254" t="s">
        <v>63</v>
      </c>
      <c r="I254">
        <v>3</v>
      </c>
    </row>
    <row r="255" spans="1:9" x14ac:dyDescent="0.2">
      <c r="A255" s="16" t="s">
        <v>311</v>
      </c>
      <c r="B255" s="16" t="s">
        <v>10</v>
      </c>
      <c r="C255" s="2">
        <v>46071.485315196762</v>
      </c>
      <c r="D255">
        <v>35</v>
      </c>
      <c r="E255" s="7" t="s">
        <v>165</v>
      </c>
      <c r="F255" s="2">
        <v>46071.151981863426</v>
      </c>
      <c r="G255" s="3">
        <v>46071</v>
      </c>
      <c r="H255" t="s">
        <v>63</v>
      </c>
      <c r="I255">
        <v>3</v>
      </c>
    </row>
    <row r="256" spans="1:9" x14ac:dyDescent="0.2">
      <c r="A256" s="16" t="s">
        <v>312</v>
      </c>
      <c r="B256" s="16" t="s">
        <v>10</v>
      </c>
      <c r="C256" s="2">
        <v>46071.511183148148</v>
      </c>
      <c r="D256">
        <v>433</v>
      </c>
      <c r="E256" s="7" t="s">
        <v>34</v>
      </c>
      <c r="F256" s="2">
        <v>46071.177849814812</v>
      </c>
      <c r="G256" s="3">
        <v>46071</v>
      </c>
      <c r="H256" t="s">
        <v>63</v>
      </c>
      <c r="I256">
        <v>4</v>
      </c>
    </row>
    <row r="257" spans="1:9" x14ac:dyDescent="0.2">
      <c r="A257" s="16" t="s">
        <v>313</v>
      </c>
      <c r="B257" s="16" t="s">
        <v>10</v>
      </c>
      <c r="C257" s="2">
        <v>46071.523000011577</v>
      </c>
      <c r="D257">
        <v>2</v>
      </c>
      <c r="F257" s="2">
        <v>46071.189666678241</v>
      </c>
      <c r="G257" s="3">
        <v>46071</v>
      </c>
      <c r="H257" t="s">
        <v>63</v>
      </c>
      <c r="I257">
        <v>4</v>
      </c>
    </row>
    <row r="258" spans="1:9" x14ac:dyDescent="0.2">
      <c r="A258" s="16" t="s">
        <v>314</v>
      </c>
      <c r="B258" s="16" t="s">
        <v>10</v>
      </c>
      <c r="C258" s="2">
        <v>46071.534932731483</v>
      </c>
      <c r="D258">
        <v>15</v>
      </c>
      <c r="F258" s="2">
        <v>46071.201599398148</v>
      </c>
      <c r="G258" s="3">
        <v>46071</v>
      </c>
      <c r="H258" t="s">
        <v>63</v>
      </c>
      <c r="I258">
        <v>4</v>
      </c>
    </row>
    <row r="259" spans="1:9" x14ac:dyDescent="0.2">
      <c r="A259" s="16" t="s">
        <v>315</v>
      </c>
      <c r="B259" s="16" t="s">
        <v>10</v>
      </c>
      <c r="C259" s="2">
        <v>46071.56260041667</v>
      </c>
      <c r="D259">
        <v>2</v>
      </c>
      <c r="F259" s="2">
        <v>46071.229267083334</v>
      </c>
      <c r="G259" s="3">
        <v>46071</v>
      </c>
      <c r="H259" t="s">
        <v>63</v>
      </c>
      <c r="I259">
        <v>5</v>
      </c>
    </row>
    <row r="260" spans="1:9" x14ac:dyDescent="0.2">
      <c r="A260" s="16" t="s">
        <v>316</v>
      </c>
      <c r="B260" s="16" t="s">
        <v>10</v>
      </c>
      <c r="C260" s="2">
        <v>46071.573409444441</v>
      </c>
      <c r="D260">
        <v>36</v>
      </c>
      <c r="F260" s="2">
        <v>46071.240076111113</v>
      </c>
      <c r="G260" s="3">
        <v>46071</v>
      </c>
      <c r="H260" t="s">
        <v>63</v>
      </c>
      <c r="I260">
        <v>5</v>
      </c>
    </row>
    <row r="261" spans="1:9" x14ac:dyDescent="0.2">
      <c r="A261" s="16" t="s">
        <v>317</v>
      </c>
      <c r="B261" s="16" t="s">
        <v>10</v>
      </c>
      <c r="C261" s="2">
        <v>46071.585623472223</v>
      </c>
      <c r="D261">
        <v>433</v>
      </c>
      <c r="E261" s="7" t="s">
        <v>34</v>
      </c>
      <c r="F261" s="2">
        <v>46071.252290138887</v>
      </c>
      <c r="G261" s="3">
        <v>46071</v>
      </c>
      <c r="H261" t="s">
        <v>63</v>
      </c>
      <c r="I261">
        <v>6</v>
      </c>
    </row>
    <row r="262" spans="1:9" x14ac:dyDescent="0.2">
      <c r="A262" s="16" t="s">
        <v>318</v>
      </c>
      <c r="B262" s="16" t="s">
        <v>10</v>
      </c>
      <c r="C262" s="2">
        <v>46071.589913333337</v>
      </c>
      <c r="D262">
        <v>36</v>
      </c>
      <c r="F262" s="2">
        <v>46071.256580000001</v>
      </c>
      <c r="G262" s="3">
        <v>46071</v>
      </c>
      <c r="H262" t="s">
        <v>63</v>
      </c>
      <c r="I262">
        <v>6</v>
      </c>
    </row>
    <row r="263" spans="1:9" x14ac:dyDescent="0.2">
      <c r="A263" s="16" t="s">
        <v>319</v>
      </c>
      <c r="B263" s="16" t="s">
        <v>10</v>
      </c>
      <c r="C263" s="2">
        <v>46071.598136145833</v>
      </c>
      <c r="D263">
        <v>35</v>
      </c>
      <c r="F263" s="2">
        <v>46071.264802812497</v>
      </c>
      <c r="G263" s="3">
        <v>46071</v>
      </c>
      <c r="H263" t="s">
        <v>63</v>
      </c>
      <c r="I263">
        <v>6</v>
      </c>
    </row>
    <row r="264" spans="1:9" x14ac:dyDescent="0.2">
      <c r="A264" s="16" t="s">
        <v>320</v>
      </c>
      <c r="B264" s="16" t="s">
        <v>10</v>
      </c>
      <c r="C264" s="2">
        <v>46071.626502025465</v>
      </c>
      <c r="D264">
        <v>35</v>
      </c>
      <c r="F264" s="2">
        <v>46071.293168692129</v>
      </c>
      <c r="G264" s="3">
        <v>46071</v>
      </c>
      <c r="H264" t="s">
        <v>63</v>
      </c>
      <c r="I264">
        <v>7</v>
      </c>
    </row>
    <row r="265" spans="1:9" x14ac:dyDescent="0.2">
      <c r="A265" s="16" t="s">
        <v>321</v>
      </c>
      <c r="B265" s="16" t="s">
        <v>10</v>
      </c>
      <c r="C265" s="2">
        <v>46071.701906817128</v>
      </c>
      <c r="D265">
        <v>36</v>
      </c>
      <c r="F265" s="2">
        <v>46071.368573483793</v>
      </c>
      <c r="G265" s="3">
        <v>46071</v>
      </c>
      <c r="H265" t="s">
        <v>63</v>
      </c>
      <c r="I265">
        <v>8</v>
      </c>
    </row>
    <row r="266" spans="1:9" x14ac:dyDescent="0.2">
      <c r="A266" s="16" t="s">
        <v>322</v>
      </c>
      <c r="B266" s="16" t="s">
        <v>10</v>
      </c>
      <c r="C266" s="2">
        <v>46071.709282303244</v>
      </c>
      <c r="D266">
        <v>15</v>
      </c>
      <c r="E266" s="7" t="s">
        <v>323</v>
      </c>
      <c r="F266" s="2">
        <v>46071.375948969908</v>
      </c>
      <c r="G266" s="3">
        <v>46071</v>
      </c>
      <c r="H266" t="s">
        <v>63</v>
      </c>
      <c r="I266">
        <v>9</v>
      </c>
    </row>
    <row r="267" spans="1:9" x14ac:dyDescent="0.2">
      <c r="A267" s="16" t="s">
        <v>324</v>
      </c>
      <c r="B267" s="16" t="s">
        <v>10</v>
      </c>
      <c r="C267" s="2">
        <v>46072.043967835649</v>
      </c>
      <c r="D267">
        <v>1</v>
      </c>
      <c r="E267" s="7" t="s">
        <v>325</v>
      </c>
      <c r="F267" s="2">
        <v>46071.710634502313</v>
      </c>
      <c r="G267" s="3">
        <v>46071</v>
      </c>
      <c r="H267" t="s">
        <v>63</v>
      </c>
      <c r="I267">
        <v>17</v>
      </c>
    </row>
    <row r="268" spans="1:9" x14ac:dyDescent="0.2">
      <c r="A268" s="16" t="s">
        <v>894</v>
      </c>
      <c r="B268" s="16" t="s">
        <v>10</v>
      </c>
      <c r="C268" s="2">
        <v>46072.076658773149</v>
      </c>
      <c r="D268">
        <v>1</v>
      </c>
      <c r="E268" s="7" t="s">
        <v>325</v>
      </c>
      <c r="F268" s="2">
        <v>46071.743325439813</v>
      </c>
      <c r="G268" s="3">
        <v>46071</v>
      </c>
      <c r="H268" t="s">
        <v>63</v>
      </c>
      <c r="I268">
        <v>17</v>
      </c>
    </row>
    <row r="269" spans="1:9" x14ac:dyDescent="0.2">
      <c r="A269" s="16" t="s">
        <v>326</v>
      </c>
      <c r="B269" s="16" t="s">
        <v>10</v>
      </c>
      <c r="C269" s="2">
        <v>46072.085998148148</v>
      </c>
      <c r="D269">
        <v>1</v>
      </c>
      <c r="E269" s="7" t="s">
        <v>325</v>
      </c>
      <c r="F269" s="2">
        <v>46071.752664814812</v>
      </c>
      <c r="G269" s="3">
        <v>46071</v>
      </c>
      <c r="H269" t="s">
        <v>63</v>
      </c>
      <c r="I269">
        <v>18</v>
      </c>
    </row>
    <row r="270" spans="1:9" x14ac:dyDescent="0.2">
      <c r="A270" s="16" t="s">
        <v>327</v>
      </c>
      <c r="B270" s="16" t="s">
        <v>10</v>
      </c>
      <c r="C270" s="2">
        <v>46072.133839768518</v>
      </c>
      <c r="D270">
        <v>1</v>
      </c>
      <c r="E270" s="7" t="s">
        <v>325</v>
      </c>
      <c r="F270" s="2">
        <v>46071.800506435182</v>
      </c>
      <c r="G270" s="3">
        <v>46071</v>
      </c>
      <c r="H270" t="s">
        <v>63</v>
      </c>
      <c r="I270">
        <v>19</v>
      </c>
    </row>
    <row r="271" spans="1:9" x14ac:dyDescent="0.2">
      <c r="A271" s="16" t="s">
        <v>328</v>
      </c>
      <c r="B271" s="16" t="s">
        <v>10</v>
      </c>
      <c r="C271" s="2">
        <v>46072.466991886577</v>
      </c>
      <c r="D271">
        <v>36</v>
      </c>
      <c r="F271" s="2">
        <v>46072.133658553241</v>
      </c>
      <c r="G271" s="3">
        <v>46072</v>
      </c>
      <c r="H271" t="s">
        <v>95</v>
      </c>
      <c r="I271">
        <v>3</v>
      </c>
    </row>
    <row r="272" spans="1:9" x14ac:dyDescent="0.2">
      <c r="A272" s="16" t="s">
        <v>329</v>
      </c>
      <c r="B272" s="16" t="s">
        <v>10</v>
      </c>
      <c r="C272" s="2">
        <v>46072.497708923613</v>
      </c>
      <c r="D272">
        <v>2</v>
      </c>
      <c r="F272" s="2">
        <v>46072.164375590277</v>
      </c>
      <c r="G272" s="3">
        <v>46072</v>
      </c>
      <c r="H272" t="s">
        <v>95</v>
      </c>
      <c r="I272">
        <v>3</v>
      </c>
    </row>
    <row r="273" spans="1:9" x14ac:dyDescent="0.2">
      <c r="A273" s="16" t="s">
        <v>330</v>
      </c>
      <c r="B273" s="16" t="s">
        <v>10</v>
      </c>
      <c r="C273" s="2">
        <v>46072.521557719905</v>
      </c>
      <c r="D273">
        <v>1</v>
      </c>
      <c r="F273" s="2">
        <v>46072.188224386577</v>
      </c>
      <c r="G273" s="3">
        <v>46072</v>
      </c>
      <c r="H273" t="s">
        <v>95</v>
      </c>
      <c r="I273">
        <v>4</v>
      </c>
    </row>
    <row r="274" spans="1:9" x14ac:dyDescent="0.2">
      <c r="A274" s="16" t="s">
        <v>331</v>
      </c>
      <c r="B274" s="16" t="s">
        <v>10</v>
      </c>
      <c r="C274" s="2">
        <v>46072.537294155096</v>
      </c>
      <c r="D274">
        <v>15</v>
      </c>
      <c r="F274" s="2">
        <v>46072.20396082176</v>
      </c>
      <c r="G274" s="3">
        <v>46072</v>
      </c>
      <c r="H274" t="s">
        <v>95</v>
      </c>
      <c r="I274">
        <v>4</v>
      </c>
    </row>
    <row r="275" spans="1:9" x14ac:dyDescent="0.2">
      <c r="A275" s="16" t="s">
        <v>332</v>
      </c>
      <c r="B275" s="16" t="s">
        <v>10</v>
      </c>
      <c r="C275" s="2">
        <v>46072.543244849534</v>
      </c>
      <c r="D275">
        <v>1</v>
      </c>
      <c r="F275" s="2">
        <v>46072.209911516205</v>
      </c>
      <c r="G275" s="3">
        <v>46072</v>
      </c>
      <c r="H275" t="s">
        <v>95</v>
      </c>
      <c r="I275">
        <v>5</v>
      </c>
    </row>
    <row r="276" spans="1:9" x14ac:dyDescent="0.2">
      <c r="A276" s="16" t="s">
        <v>333</v>
      </c>
      <c r="B276" s="16" t="s">
        <v>10</v>
      </c>
      <c r="C276" s="2">
        <v>46072.543337581017</v>
      </c>
      <c r="D276">
        <v>15</v>
      </c>
      <c r="F276" s="2">
        <v>46072.210004247689</v>
      </c>
      <c r="G276" s="3">
        <v>46072</v>
      </c>
      <c r="H276" t="s">
        <v>95</v>
      </c>
      <c r="I276">
        <v>5</v>
      </c>
    </row>
    <row r="277" spans="1:9" x14ac:dyDescent="0.2">
      <c r="A277" s="16" t="s">
        <v>334</v>
      </c>
      <c r="B277" s="16" t="s">
        <v>10</v>
      </c>
      <c r="C277" s="2">
        <v>46072.544085150461</v>
      </c>
      <c r="D277">
        <v>41</v>
      </c>
      <c r="F277" s="2">
        <v>46072.210751817132</v>
      </c>
      <c r="G277" s="3">
        <v>46072</v>
      </c>
      <c r="H277" t="s">
        <v>95</v>
      </c>
      <c r="I277">
        <v>5</v>
      </c>
    </row>
    <row r="278" spans="1:9" x14ac:dyDescent="0.2">
      <c r="A278" s="16" t="s">
        <v>335</v>
      </c>
      <c r="B278" s="16" t="s">
        <v>10</v>
      </c>
      <c r="C278" s="2">
        <v>46072.547048252316</v>
      </c>
      <c r="D278">
        <v>3</v>
      </c>
      <c r="E278" s="7" t="s">
        <v>336</v>
      </c>
      <c r="F278" s="2">
        <v>46072.21371491898</v>
      </c>
      <c r="G278" s="3">
        <v>46072</v>
      </c>
      <c r="H278" t="s">
        <v>95</v>
      </c>
      <c r="I278">
        <v>5</v>
      </c>
    </row>
    <row r="279" spans="1:9" x14ac:dyDescent="0.2">
      <c r="A279" s="16" t="s">
        <v>337</v>
      </c>
      <c r="B279" s="16" t="s">
        <v>10</v>
      </c>
      <c r="C279" s="2">
        <v>46072.548760266203</v>
      </c>
      <c r="D279">
        <v>1</v>
      </c>
      <c r="F279" s="2">
        <v>46072.215426932868</v>
      </c>
      <c r="G279" s="3">
        <v>46072</v>
      </c>
      <c r="H279" t="s">
        <v>95</v>
      </c>
      <c r="I279">
        <v>5</v>
      </c>
    </row>
    <row r="280" spans="1:9" x14ac:dyDescent="0.2">
      <c r="A280" s="16" t="s">
        <v>867</v>
      </c>
      <c r="B280" s="16" t="s">
        <v>10</v>
      </c>
      <c r="C280" s="2">
        <v>46072.559421562502</v>
      </c>
      <c r="D280">
        <v>15</v>
      </c>
      <c r="F280" s="2">
        <v>46072.226088229167</v>
      </c>
      <c r="G280" s="3">
        <v>46072</v>
      </c>
      <c r="H280" t="s">
        <v>95</v>
      </c>
      <c r="I280">
        <v>5</v>
      </c>
    </row>
    <row r="281" spans="1:9" x14ac:dyDescent="0.2">
      <c r="A281" s="16" t="s">
        <v>868</v>
      </c>
      <c r="B281" s="16" t="s">
        <v>10</v>
      </c>
      <c r="C281" s="2">
        <v>46072.564043275466</v>
      </c>
      <c r="D281">
        <v>2</v>
      </c>
      <c r="F281" s="2">
        <v>46072.23070994213</v>
      </c>
      <c r="G281" s="3">
        <v>46072</v>
      </c>
      <c r="H281" t="s">
        <v>95</v>
      </c>
      <c r="I281">
        <v>5</v>
      </c>
    </row>
    <row r="282" spans="1:9" x14ac:dyDescent="0.2">
      <c r="A282" s="16" t="s">
        <v>869</v>
      </c>
      <c r="B282" s="16" t="s">
        <v>10</v>
      </c>
      <c r="C282" s="2">
        <v>46072.567025833334</v>
      </c>
      <c r="D282">
        <v>2</v>
      </c>
      <c r="F282" s="2">
        <v>46072.233692499998</v>
      </c>
      <c r="G282" s="3">
        <v>46072</v>
      </c>
      <c r="H282" t="s">
        <v>95</v>
      </c>
      <c r="I282">
        <v>5</v>
      </c>
    </row>
    <row r="283" spans="1:9" x14ac:dyDescent="0.2">
      <c r="A283" s="16" t="s">
        <v>338</v>
      </c>
      <c r="B283" s="16" t="s">
        <v>10</v>
      </c>
      <c r="C283" s="2">
        <v>46072.582266585647</v>
      </c>
      <c r="D283">
        <v>433</v>
      </c>
      <c r="E283" s="7" t="s">
        <v>34</v>
      </c>
      <c r="F283" s="2">
        <v>46072.248933252318</v>
      </c>
      <c r="G283" s="3">
        <v>46072</v>
      </c>
      <c r="H283" t="s">
        <v>95</v>
      </c>
      <c r="I283">
        <v>5</v>
      </c>
    </row>
    <row r="284" spans="1:9" x14ac:dyDescent="0.2">
      <c r="A284" s="16" t="s">
        <v>339</v>
      </c>
      <c r="B284" s="16" t="s">
        <v>10</v>
      </c>
      <c r="C284" s="2">
        <v>46072.590657858796</v>
      </c>
      <c r="D284">
        <v>2</v>
      </c>
      <c r="F284" s="2">
        <v>46072.257324525461</v>
      </c>
      <c r="G284" s="3">
        <v>46072</v>
      </c>
      <c r="H284" t="s">
        <v>95</v>
      </c>
      <c r="I284">
        <v>6</v>
      </c>
    </row>
    <row r="285" spans="1:9" x14ac:dyDescent="0.2">
      <c r="A285" s="16" t="s">
        <v>340</v>
      </c>
      <c r="B285" s="16" t="s">
        <v>10</v>
      </c>
      <c r="C285" s="2">
        <v>46072.592099699075</v>
      </c>
      <c r="D285">
        <v>4</v>
      </c>
      <c r="F285" s="2">
        <v>46072.25876636574</v>
      </c>
      <c r="G285" s="3">
        <v>46072</v>
      </c>
      <c r="H285" t="s">
        <v>95</v>
      </c>
      <c r="I285">
        <v>6</v>
      </c>
    </row>
    <row r="286" spans="1:9" x14ac:dyDescent="0.2">
      <c r="A286" s="16" t="s">
        <v>341</v>
      </c>
      <c r="B286" s="16" t="s">
        <v>10</v>
      </c>
      <c r="C286" s="2">
        <v>46072.593979976853</v>
      </c>
      <c r="D286">
        <v>433</v>
      </c>
      <c r="E286" s="7" t="s">
        <v>34</v>
      </c>
      <c r="F286" s="2">
        <v>46072.260646643517</v>
      </c>
      <c r="G286" s="3">
        <v>46072</v>
      </c>
      <c r="H286" t="s">
        <v>95</v>
      </c>
      <c r="I286">
        <v>6</v>
      </c>
    </row>
    <row r="287" spans="1:9" x14ac:dyDescent="0.2">
      <c r="A287" s="16" t="s">
        <v>342</v>
      </c>
      <c r="B287" s="16" t="s">
        <v>10</v>
      </c>
      <c r="C287" s="2">
        <v>46072.596561909719</v>
      </c>
      <c r="D287">
        <v>2</v>
      </c>
      <c r="F287" s="2">
        <v>46072.26322857639</v>
      </c>
      <c r="G287" s="3">
        <v>46072</v>
      </c>
      <c r="H287" t="s">
        <v>95</v>
      </c>
      <c r="I287">
        <v>6</v>
      </c>
    </row>
    <row r="288" spans="1:9" x14ac:dyDescent="0.2">
      <c r="A288" s="16" t="s">
        <v>343</v>
      </c>
      <c r="B288" s="16" t="s">
        <v>10</v>
      </c>
      <c r="C288" s="2">
        <v>46072.630431712962</v>
      </c>
      <c r="D288">
        <v>433</v>
      </c>
      <c r="E288" s="7" t="s">
        <v>34</v>
      </c>
      <c r="F288" s="2">
        <v>46072.297098379633</v>
      </c>
      <c r="G288" s="3">
        <v>46072</v>
      </c>
      <c r="H288" t="s">
        <v>95</v>
      </c>
      <c r="I288">
        <v>7</v>
      </c>
    </row>
    <row r="289" spans="1:9" x14ac:dyDescent="0.2">
      <c r="A289" s="16" t="s">
        <v>344</v>
      </c>
      <c r="B289" s="16" t="s">
        <v>10</v>
      </c>
      <c r="C289" s="2">
        <v>46072.63144986111</v>
      </c>
      <c r="D289">
        <v>2</v>
      </c>
      <c r="F289" s="2">
        <v>46072.298116527774</v>
      </c>
      <c r="G289" s="3">
        <v>46072</v>
      </c>
      <c r="H289" t="s">
        <v>95</v>
      </c>
      <c r="I289">
        <v>7</v>
      </c>
    </row>
    <row r="290" spans="1:9" x14ac:dyDescent="0.2">
      <c r="A290" s="16" t="s">
        <v>345</v>
      </c>
      <c r="B290" s="16" t="s">
        <v>10</v>
      </c>
      <c r="C290" s="2">
        <v>46072.718489212966</v>
      </c>
      <c r="D290">
        <v>15</v>
      </c>
      <c r="F290" s="2">
        <v>46072.38515587963</v>
      </c>
      <c r="G290" s="3">
        <v>46072</v>
      </c>
      <c r="H290" t="s">
        <v>95</v>
      </c>
      <c r="I290">
        <v>9</v>
      </c>
    </row>
    <row r="291" spans="1:9" x14ac:dyDescent="0.2">
      <c r="A291" s="16" t="s">
        <v>346</v>
      </c>
      <c r="B291" s="16" t="s">
        <v>10</v>
      </c>
      <c r="C291" s="2">
        <v>46073.024211076387</v>
      </c>
      <c r="D291">
        <v>1</v>
      </c>
      <c r="E291" s="7" t="s">
        <v>325</v>
      </c>
      <c r="F291" s="2">
        <v>46072.690877743058</v>
      </c>
      <c r="G291" s="3">
        <v>46072</v>
      </c>
      <c r="H291" t="s">
        <v>95</v>
      </c>
      <c r="I291">
        <v>16</v>
      </c>
    </row>
    <row r="292" spans="1:9" x14ac:dyDescent="0.2">
      <c r="A292" s="16" t="s">
        <v>347</v>
      </c>
      <c r="B292" s="16" t="s">
        <v>10</v>
      </c>
      <c r="C292" s="2">
        <v>46073.066413136577</v>
      </c>
      <c r="D292">
        <v>1</v>
      </c>
      <c r="E292" s="7" t="s">
        <v>325</v>
      </c>
      <c r="F292" s="2">
        <v>46072.733079803242</v>
      </c>
      <c r="G292" s="3">
        <v>46072</v>
      </c>
      <c r="H292" t="s">
        <v>95</v>
      </c>
      <c r="I292">
        <v>17</v>
      </c>
    </row>
    <row r="293" spans="1:9" x14ac:dyDescent="0.2">
      <c r="A293" s="16" t="s">
        <v>348</v>
      </c>
      <c r="B293" s="16" t="s">
        <v>10</v>
      </c>
      <c r="C293" s="2">
        <v>46073.297964490739</v>
      </c>
      <c r="D293">
        <v>4</v>
      </c>
      <c r="F293" s="2">
        <v>46072.964631157411</v>
      </c>
      <c r="G293" s="3">
        <v>46072</v>
      </c>
      <c r="H293" t="s">
        <v>95</v>
      </c>
      <c r="I293">
        <v>23</v>
      </c>
    </row>
    <row r="294" spans="1:9" x14ac:dyDescent="0.2">
      <c r="A294" s="16" t="s">
        <v>349</v>
      </c>
      <c r="B294" s="16" t="s">
        <v>10</v>
      </c>
      <c r="C294" s="2">
        <v>46073.346987986108</v>
      </c>
      <c r="D294">
        <v>15</v>
      </c>
      <c r="F294" s="2">
        <v>46073.013654652779</v>
      </c>
      <c r="G294" s="3">
        <v>46073</v>
      </c>
      <c r="H294" t="s">
        <v>115</v>
      </c>
      <c r="I294">
        <v>0</v>
      </c>
    </row>
    <row r="295" spans="1:9" x14ac:dyDescent="0.2">
      <c r="A295" s="16" t="s">
        <v>350</v>
      </c>
      <c r="B295" s="16" t="s">
        <v>10</v>
      </c>
      <c r="C295" s="2">
        <v>46073.351899872687</v>
      </c>
      <c r="D295">
        <v>2</v>
      </c>
      <c r="F295" s="2">
        <v>46073.018566539351</v>
      </c>
      <c r="G295" s="3">
        <v>46073</v>
      </c>
      <c r="H295" t="s">
        <v>115</v>
      </c>
      <c r="I295">
        <v>0</v>
      </c>
    </row>
    <row r="296" spans="1:9" x14ac:dyDescent="0.2">
      <c r="A296" s="16" t="s">
        <v>351</v>
      </c>
      <c r="B296" s="16" t="s">
        <v>10</v>
      </c>
      <c r="C296" s="2">
        <v>46073.374012060187</v>
      </c>
      <c r="D296">
        <v>3</v>
      </c>
      <c r="E296" s="7" t="s">
        <v>34</v>
      </c>
      <c r="F296" s="2">
        <v>46073.040678726851</v>
      </c>
      <c r="G296" s="3">
        <v>46073</v>
      </c>
      <c r="H296" t="s">
        <v>115</v>
      </c>
      <c r="I296">
        <v>0</v>
      </c>
    </row>
    <row r="297" spans="1:9" x14ac:dyDescent="0.2">
      <c r="A297" s="16" t="s">
        <v>352</v>
      </c>
      <c r="B297" s="16" t="s">
        <v>10</v>
      </c>
      <c r="C297" s="2">
        <v>46073.376058506947</v>
      </c>
      <c r="D297">
        <v>3</v>
      </c>
      <c r="E297" s="7" t="s">
        <v>34</v>
      </c>
      <c r="F297" s="2">
        <v>46073.042725173611</v>
      </c>
      <c r="G297" s="3">
        <v>46073</v>
      </c>
      <c r="H297" t="s">
        <v>115</v>
      </c>
      <c r="I297">
        <v>1</v>
      </c>
    </row>
    <row r="298" spans="1:9" x14ac:dyDescent="0.2">
      <c r="A298" s="16" t="s">
        <v>353</v>
      </c>
      <c r="B298" s="16" t="s">
        <v>10</v>
      </c>
      <c r="C298" s="2">
        <v>46073.433879675926</v>
      </c>
      <c r="D298">
        <v>15</v>
      </c>
      <c r="F298" s="2">
        <v>46073.10054634259</v>
      </c>
      <c r="G298" s="3">
        <v>46073</v>
      </c>
      <c r="H298" t="s">
        <v>115</v>
      </c>
      <c r="I298">
        <v>2</v>
      </c>
    </row>
    <row r="299" spans="1:9" x14ac:dyDescent="0.2">
      <c r="A299" s="16" t="s">
        <v>354</v>
      </c>
      <c r="B299" s="16" t="s">
        <v>10</v>
      </c>
      <c r="C299" s="2">
        <v>46073.450298495372</v>
      </c>
      <c r="D299">
        <v>433</v>
      </c>
      <c r="F299" s="2">
        <v>46073.116965162037</v>
      </c>
      <c r="G299" s="3">
        <v>46073</v>
      </c>
      <c r="H299" t="s">
        <v>115</v>
      </c>
      <c r="I299">
        <v>2</v>
      </c>
    </row>
    <row r="300" spans="1:9" x14ac:dyDescent="0.2">
      <c r="A300" s="16" t="s">
        <v>355</v>
      </c>
      <c r="B300" s="16" t="s">
        <v>10</v>
      </c>
      <c r="C300" s="2">
        <v>46073.456745868054</v>
      </c>
      <c r="D300">
        <v>433</v>
      </c>
      <c r="E300" s="7" t="s">
        <v>34</v>
      </c>
      <c r="F300" s="2">
        <v>46073.123412534726</v>
      </c>
      <c r="G300" s="3">
        <v>46073</v>
      </c>
      <c r="H300" t="s">
        <v>115</v>
      </c>
      <c r="I300">
        <v>2</v>
      </c>
    </row>
    <row r="301" spans="1:9" x14ac:dyDescent="0.2">
      <c r="A301" s="16" t="s">
        <v>356</v>
      </c>
      <c r="B301" s="16" t="s">
        <v>10</v>
      </c>
      <c r="C301" s="2">
        <v>46073.459942557871</v>
      </c>
      <c r="D301">
        <v>2</v>
      </c>
      <c r="F301" s="2">
        <v>46073.126609224535</v>
      </c>
      <c r="G301" s="3">
        <v>46073</v>
      </c>
      <c r="H301" t="s">
        <v>115</v>
      </c>
      <c r="I301">
        <v>3</v>
      </c>
    </row>
    <row r="302" spans="1:9" x14ac:dyDescent="0.2">
      <c r="A302" s="16" t="s">
        <v>357</v>
      </c>
      <c r="B302" s="16" t="s">
        <v>10</v>
      </c>
      <c r="C302" s="2">
        <v>46073.515537824074</v>
      </c>
      <c r="D302">
        <v>15</v>
      </c>
      <c r="F302" s="2">
        <v>46073.182204490739</v>
      </c>
      <c r="G302" s="3">
        <v>46073</v>
      </c>
      <c r="H302" t="s">
        <v>115</v>
      </c>
      <c r="I302">
        <v>4</v>
      </c>
    </row>
    <row r="303" spans="1:9" x14ac:dyDescent="0.2">
      <c r="A303" s="16" t="s">
        <v>358</v>
      </c>
      <c r="B303" s="16" t="s">
        <v>10</v>
      </c>
      <c r="C303" s="2">
        <v>46073.523662615742</v>
      </c>
      <c r="D303">
        <v>2</v>
      </c>
      <c r="F303" s="2">
        <v>46073.190329282406</v>
      </c>
      <c r="G303" s="3">
        <v>46073</v>
      </c>
      <c r="H303" t="s">
        <v>115</v>
      </c>
      <c r="I303">
        <v>4</v>
      </c>
    </row>
    <row r="304" spans="1:9" x14ac:dyDescent="0.2">
      <c r="A304" s="16" t="s">
        <v>359</v>
      </c>
      <c r="B304" s="16" t="s">
        <v>10</v>
      </c>
      <c r="C304" s="2">
        <v>46073.534826620373</v>
      </c>
      <c r="D304">
        <v>1</v>
      </c>
      <c r="E304" s="7" t="s">
        <v>360</v>
      </c>
      <c r="F304" s="2">
        <v>46073.201493287037</v>
      </c>
      <c r="G304" s="3">
        <v>46073</v>
      </c>
      <c r="H304" t="s">
        <v>115</v>
      </c>
      <c r="I304">
        <v>4</v>
      </c>
    </row>
    <row r="305" spans="1:9" x14ac:dyDescent="0.2">
      <c r="A305" s="16" t="s">
        <v>361</v>
      </c>
      <c r="B305" s="16" t="s">
        <v>10</v>
      </c>
      <c r="C305" s="2">
        <v>46073.546547418984</v>
      </c>
      <c r="D305">
        <v>433</v>
      </c>
      <c r="E305" s="7" t="s">
        <v>34</v>
      </c>
      <c r="F305" s="2">
        <v>46073.213214085648</v>
      </c>
      <c r="G305" s="3">
        <v>46073</v>
      </c>
      <c r="H305" t="s">
        <v>115</v>
      </c>
      <c r="I305">
        <v>5</v>
      </c>
    </row>
    <row r="306" spans="1:9" x14ac:dyDescent="0.2">
      <c r="A306" s="16" t="s">
        <v>362</v>
      </c>
      <c r="B306" s="16" t="s">
        <v>10</v>
      </c>
      <c r="C306" s="2">
        <v>46073.591518252317</v>
      </c>
      <c r="D306">
        <v>15</v>
      </c>
      <c r="F306" s="2">
        <v>46073.258184918981</v>
      </c>
      <c r="G306" s="3">
        <v>46073</v>
      </c>
      <c r="H306" t="s">
        <v>115</v>
      </c>
      <c r="I306">
        <v>6</v>
      </c>
    </row>
    <row r="307" spans="1:9" x14ac:dyDescent="0.2">
      <c r="A307" s="16" t="s">
        <v>363</v>
      </c>
      <c r="B307" s="16" t="s">
        <v>10</v>
      </c>
      <c r="C307" s="2">
        <v>46073.659116168979</v>
      </c>
      <c r="D307">
        <v>15</v>
      </c>
      <c r="F307" s="2">
        <v>46073.325782835651</v>
      </c>
      <c r="G307" s="3">
        <v>46073</v>
      </c>
      <c r="H307" t="s">
        <v>115</v>
      </c>
      <c r="I307">
        <v>7</v>
      </c>
    </row>
    <row r="308" spans="1:9" x14ac:dyDescent="0.2">
      <c r="A308" s="16" t="s">
        <v>364</v>
      </c>
      <c r="B308" s="16" t="s">
        <v>10</v>
      </c>
      <c r="C308" s="2">
        <v>46073.66058640046</v>
      </c>
      <c r="D308">
        <v>15</v>
      </c>
      <c r="F308" s="2">
        <v>46073.327253067131</v>
      </c>
      <c r="G308" s="3">
        <v>46073</v>
      </c>
      <c r="H308" t="s">
        <v>115</v>
      </c>
      <c r="I308">
        <v>7</v>
      </c>
    </row>
    <row r="309" spans="1:9" x14ac:dyDescent="0.2">
      <c r="A309" s="16" t="s">
        <v>365</v>
      </c>
      <c r="B309" s="16" t="s">
        <v>10</v>
      </c>
      <c r="C309" s="2">
        <v>46073.773885358794</v>
      </c>
      <c r="D309">
        <v>15</v>
      </c>
      <c r="F309" s="2">
        <v>46073.440552025466</v>
      </c>
      <c r="G309" s="3">
        <v>46073</v>
      </c>
      <c r="H309" t="s">
        <v>115</v>
      </c>
      <c r="I309">
        <v>10</v>
      </c>
    </row>
    <row r="310" spans="1:9" x14ac:dyDescent="0.2">
      <c r="A310" s="16" t="s">
        <v>366</v>
      </c>
      <c r="B310" s="16" t="s">
        <v>10</v>
      </c>
      <c r="C310" s="2">
        <v>46073.80720628472</v>
      </c>
      <c r="D310">
        <v>2</v>
      </c>
      <c r="E310" s="7" t="s">
        <v>367</v>
      </c>
      <c r="F310" s="2">
        <v>46073.473872951392</v>
      </c>
      <c r="G310" s="3">
        <v>46073</v>
      </c>
      <c r="H310" t="s">
        <v>115</v>
      </c>
      <c r="I310">
        <v>11</v>
      </c>
    </row>
    <row r="311" spans="1:9" x14ac:dyDescent="0.2">
      <c r="A311" s="16" t="s">
        <v>943</v>
      </c>
      <c r="B311" s="16" t="s">
        <v>10</v>
      </c>
      <c r="C311" s="2">
        <v>46073.812981782408</v>
      </c>
      <c r="D311">
        <v>35</v>
      </c>
      <c r="E311" s="7" t="s">
        <v>367</v>
      </c>
      <c r="F311" s="2">
        <v>46073.479648449073</v>
      </c>
      <c r="G311" s="3">
        <v>46073</v>
      </c>
      <c r="H311" t="s">
        <v>115</v>
      </c>
      <c r="I311">
        <v>11</v>
      </c>
    </row>
    <row r="312" spans="1:9" x14ac:dyDescent="0.2">
      <c r="A312" s="16" t="s">
        <v>368</v>
      </c>
      <c r="B312" s="16" t="s">
        <v>10</v>
      </c>
      <c r="C312" s="2">
        <v>46073.830641516201</v>
      </c>
      <c r="D312">
        <v>2</v>
      </c>
      <c r="E312" s="7" t="s">
        <v>112</v>
      </c>
      <c r="F312" s="2">
        <v>46073.497308182872</v>
      </c>
      <c r="G312" s="3">
        <v>46073</v>
      </c>
      <c r="H312" t="s">
        <v>115</v>
      </c>
      <c r="I312">
        <v>11</v>
      </c>
    </row>
    <row r="313" spans="1:9" x14ac:dyDescent="0.2">
      <c r="A313" s="16" t="s">
        <v>369</v>
      </c>
      <c r="B313" s="16" t="s">
        <v>10</v>
      </c>
      <c r="C313" s="2">
        <v>46073.836120601853</v>
      </c>
      <c r="D313">
        <v>2</v>
      </c>
      <c r="F313" s="2">
        <v>46073.502787268517</v>
      </c>
      <c r="G313" s="3">
        <v>46073</v>
      </c>
      <c r="H313" t="s">
        <v>115</v>
      </c>
      <c r="I313">
        <v>12</v>
      </c>
    </row>
    <row r="314" spans="1:9" x14ac:dyDescent="0.2">
      <c r="A314" s="16" t="s">
        <v>370</v>
      </c>
      <c r="B314" s="16" t="s">
        <v>10</v>
      </c>
      <c r="C314" s="2">
        <v>46073.890583587963</v>
      </c>
      <c r="D314">
        <v>35</v>
      </c>
      <c r="E314" s="7" t="s">
        <v>367</v>
      </c>
      <c r="F314" s="2">
        <v>46073.557250254627</v>
      </c>
      <c r="G314" s="3">
        <v>46073</v>
      </c>
      <c r="H314" t="s">
        <v>115</v>
      </c>
      <c r="I314">
        <v>13</v>
      </c>
    </row>
    <row r="315" spans="1:9" x14ac:dyDescent="0.2">
      <c r="A315" s="16" t="s">
        <v>371</v>
      </c>
      <c r="B315" s="16" t="s">
        <v>10</v>
      </c>
      <c r="C315" s="2">
        <v>46073.981063206018</v>
      </c>
      <c r="D315">
        <v>2</v>
      </c>
      <c r="F315" s="2">
        <v>46073.647729872682</v>
      </c>
      <c r="G315" s="3">
        <v>46073</v>
      </c>
      <c r="H315" t="s">
        <v>115</v>
      </c>
      <c r="I315">
        <v>15</v>
      </c>
    </row>
    <row r="316" spans="1:9" x14ac:dyDescent="0.2">
      <c r="A316" s="16" t="s">
        <v>372</v>
      </c>
      <c r="B316" s="16" t="s">
        <v>10</v>
      </c>
      <c r="C316" s="2">
        <v>46074.16191372685</v>
      </c>
      <c r="D316">
        <v>2</v>
      </c>
      <c r="E316" s="7" t="s">
        <v>112</v>
      </c>
      <c r="F316" s="2">
        <v>46073.828580393521</v>
      </c>
      <c r="G316" s="3">
        <v>46073</v>
      </c>
      <c r="H316" t="s">
        <v>115</v>
      </c>
      <c r="I316">
        <v>19</v>
      </c>
    </row>
    <row r="317" spans="1:9" x14ac:dyDescent="0.2">
      <c r="A317" s="16" t="s">
        <v>373</v>
      </c>
      <c r="B317" s="16" t="s">
        <v>10</v>
      </c>
      <c r="C317" s="2">
        <v>46074.341371400464</v>
      </c>
      <c r="D317">
        <v>2</v>
      </c>
      <c r="F317" s="2">
        <v>46074.008038067128</v>
      </c>
      <c r="G317" s="3">
        <v>46074</v>
      </c>
      <c r="H317" t="s">
        <v>120</v>
      </c>
      <c r="I317">
        <v>0</v>
      </c>
    </row>
    <row r="318" spans="1:9" x14ac:dyDescent="0.2">
      <c r="A318" s="16" t="s">
        <v>374</v>
      </c>
      <c r="B318" s="16" t="s">
        <v>10</v>
      </c>
      <c r="C318" s="2">
        <v>46074.36898107639</v>
      </c>
      <c r="D318">
        <v>2</v>
      </c>
      <c r="F318" s="2">
        <v>46074.035647743054</v>
      </c>
      <c r="G318" s="3">
        <v>46074</v>
      </c>
      <c r="H318" t="s">
        <v>120</v>
      </c>
      <c r="I318">
        <v>0</v>
      </c>
    </row>
    <row r="319" spans="1:9" x14ac:dyDescent="0.2">
      <c r="A319" s="16" t="s">
        <v>375</v>
      </c>
      <c r="B319" s="16" t="s">
        <v>10</v>
      </c>
      <c r="C319" s="2">
        <v>46074.39014491898</v>
      </c>
      <c r="D319">
        <v>2</v>
      </c>
      <c r="F319" s="2">
        <v>46074.056811585651</v>
      </c>
      <c r="G319" s="3">
        <v>46074</v>
      </c>
      <c r="H319" t="s">
        <v>120</v>
      </c>
      <c r="I319">
        <v>1</v>
      </c>
    </row>
    <row r="320" spans="1:9" x14ac:dyDescent="0.2">
      <c r="A320" s="16" t="s">
        <v>376</v>
      </c>
      <c r="B320" s="16" t="s">
        <v>10</v>
      </c>
      <c r="C320" s="2">
        <v>46074.456243136578</v>
      </c>
      <c r="D320">
        <v>2</v>
      </c>
      <c r="F320" s="2">
        <v>46074.122909803242</v>
      </c>
      <c r="G320" s="3">
        <v>46074</v>
      </c>
      <c r="H320" t="s">
        <v>120</v>
      </c>
      <c r="I320">
        <v>2</v>
      </c>
    </row>
    <row r="321" spans="1:9" x14ac:dyDescent="0.2">
      <c r="A321" s="16" t="s">
        <v>377</v>
      </c>
      <c r="B321" s="16" t="s">
        <v>10</v>
      </c>
      <c r="C321" s="2">
        <v>46074.474729884256</v>
      </c>
      <c r="D321">
        <v>15</v>
      </c>
      <c r="F321" s="2">
        <v>46074.141396550927</v>
      </c>
      <c r="G321" s="3">
        <v>46074</v>
      </c>
      <c r="H321" t="s">
        <v>120</v>
      </c>
      <c r="I321">
        <v>3</v>
      </c>
    </row>
    <row r="322" spans="1:9" x14ac:dyDescent="0.2">
      <c r="A322" s="16" t="s">
        <v>378</v>
      </c>
      <c r="B322" s="16" t="s">
        <v>10</v>
      </c>
      <c r="C322" s="2">
        <v>46074.493881226852</v>
      </c>
      <c r="D322">
        <v>15</v>
      </c>
      <c r="F322" s="2">
        <v>46074.160547893516</v>
      </c>
      <c r="G322" s="3">
        <v>46074</v>
      </c>
      <c r="H322" t="s">
        <v>120</v>
      </c>
      <c r="I322">
        <v>3</v>
      </c>
    </row>
    <row r="323" spans="1:9" x14ac:dyDescent="0.2">
      <c r="A323" s="16" t="s">
        <v>379</v>
      </c>
      <c r="B323" s="16" t="s">
        <v>10</v>
      </c>
      <c r="C323" s="2">
        <v>46074.552536597221</v>
      </c>
      <c r="D323">
        <v>433</v>
      </c>
      <c r="E323" s="7" t="s">
        <v>31</v>
      </c>
      <c r="F323" s="2">
        <v>46074.219203263892</v>
      </c>
      <c r="G323" s="3">
        <v>46074</v>
      </c>
      <c r="H323" t="s">
        <v>120</v>
      </c>
      <c r="I323">
        <v>5</v>
      </c>
    </row>
    <row r="324" spans="1:9" x14ac:dyDescent="0.2">
      <c r="A324" s="16" t="s">
        <v>380</v>
      </c>
      <c r="B324" s="16" t="s">
        <v>10</v>
      </c>
      <c r="C324" s="2">
        <v>46074.566926342595</v>
      </c>
      <c r="D324">
        <v>15</v>
      </c>
      <c r="F324" s="2">
        <v>46074.233593009259</v>
      </c>
      <c r="G324" s="3">
        <v>46074</v>
      </c>
      <c r="H324" t="s">
        <v>120</v>
      </c>
      <c r="I324">
        <v>5</v>
      </c>
    </row>
    <row r="325" spans="1:9" x14ac:dyDescent="0.2">
      <c r="A325" s="16" t="s">
        <v>790</v>
      </c>
      <c r="B325" s="16" t="s">
        <v>10</v>
      </c>
      <c r="C325" s="2">
        <v>46074.567910069447</v>
      </c>
      <c r="D325">
        <v>433</v>
      </c>
      <c r="E325" s="7" t="s">
        <v>31</v>
      </c>
      <c r="F325" s="2">
        <v>46074.234576736111</v>
      </c>
      <c r="G325" s="3">
        <v>46074</v>
      </c>
      <c r="H325" t="s">
        <v>120</v>
      </c>
      <c r="I325">
        <v>5</v>
      </c>
    </row>
    <row r="326" spans="1:9" x14ac:dyDescent="0.2">
      <c r="A326" s="16" t="s">
        <v>381</v>
      </c>
      <c r="B326" s="16" t="s">
        <v>10</v>
      </c>
      <c r="C326" s="2">
        <v>46074.604116203707</v>
      </c>
      <c r="D326">
        <v>15</v>
      </c>
      <c r="F326" s="2">
        <v>46074.270782870371</v>
      </c>
      <c r="G326" s="3">
        <v>46074</v>
      </c>
      <c r="H326" t="s">
        <v>120</v>
      </c>
      <c r="I326">
        <v>6</v>
      </c>
    </row>
    <row r="327" spans="1:9" x14ac:dyDescent="0.2">
      <c r="A327" s="16" t="s">
        <v>382</v>
      </c>
      <c r="B327" s="16" t="s">
        <v>10</v>
      </c>
      <c r="C327" s="2">
        <v>46074.683528784721</v>
      </c>
      <c r="D327">
        <v>2</v>
      </c>
      <c r="E327" s="7" t="s">
        <v>383</v>
      </c>
      <c r="F327" s="2">
        <v>46074.350195451392</v>
      </c>
      <c r="G327" s="3">
        <v>46074</v>
      </c>
      <c r="H327" t="s">
        <v>120</v>
      </c>
      <c r="I327">
        <v>8</v>
      </c>
    </row>
    <row r="328" spans="1:9" x14ac:dyDescent="0.2">
      <c r="A328" s="16" t="s">
        <v>384</v>
      </c>
      <c r="B328" s="16" t="s">
        <v>10</v>
      </c>
      <c r="C328" s="2">
        <v>46074.878654837965</v>
      </c>
      <c r="D328">
        <v>2</v>
      </c>
      <c r="E328" s="7" t="s">
        <v>385</v>
      </c>
      <c r="F328" s="2">
        <v>46074.545321504629</v>
      </c>
      <c r="G328" s="3">
        <v>46074</v>
      </c>
      <c r="H328" t="s">
        <v>120</v>
      </c>
      <c r="I328">
        <v>13</v>
      </c>
    </row>
    <row r="329" spans="1:9" x14ac:dyDescent="0.2">
      <c r="A329" s="16" t="s">
        <v>386</v>
      </c>
      <c r="B329" s="16" t="s">
        <v>10</v>
      </c>
      <c r="C329" s="2">
        <v>46075.071708055555</v>
      </c>
      <c r="D329">
        <v>2</v>
      </c>
      <c r="E329" s="7" t="s">
        <v>60</v>
      </c>
      <c r="F329" s="2">
        <v>46074.738374722219</v>
      </c>
      <c r="G329" s="3">
        <v>46074</v>
      </c>
      <c r="H329" t="s">
        <v>120</v>
      </c>
      <c r="I329">
        <v>17</v>
      </c>
    </row>
    <row r="330" spans="1:9" x14ac:dyDescent="0.2">
      <c r="A330" s="16" t="s">
        <v>387</v>
      </c>
      <c r="B330" s="16" t="s">
        <v>10</v>
      </c>
      <c r="C330" s="2">
        <v>46075.072339768521</v>
      </c>
      <c r="D330">
        <v>2</v>
      </c>
      <c r="E330" s="7">
        <v>2800.2</v>
      </c>
      <c r="F330" s="2">
        <v>46074.739006435186</v>
      </c>
      <c r="G330" s="3">
        <v>46074</v>
      </c>
      <c r="H330" t="s">
        <v>120</v>
      </c>
      <c r="I330">
        <v>17</v>
      </c>
    </row>
    <row r="331" spans="1:9" x14ac:dyDescent="0.2">
      <c r="A331" s="16" t="s">
        <v>388</v>
      </c>
      <c r="B331" s="16" t="s">
        <v>10</v>
      </c>
      <c r="C331" s="2">
        <v>46075.326715277777</v>
      </c>
      <c r="D331">
        <v>3</v>
      </c>
      <c r="F331" s="2">
        <v>46074.993381944441</v>
      </c>
      <c r="G331" s="3">
        <v>46074</v>
      </c>
      <c r="H331" t="s">
        <v>120</v>
      </c>
      <c r="I331">
        <v>23</v>
      </c>
    </row>
    <row r="332" spans="1:9" x14ac:dyDescent="0.2">
      <c r="A332" s="16" t="s">
        <v>389</v>
      </c>
      <c r="B332" s="16" t="s">
        <v>10</v>
      </c>
      <c r="C332" s="2">
        <v>46075.451437858799</v>
      </c>
      <c r="D332">
        <v>2</v>
      </c>
      <c r="E332" s="7" t="s">
        <v>135</v>
      </c>
      <c r="F332" s="2">
        <v>46075.118104525463</v>
      </c>
      <c r="G332" s="3">
        <v>46075</v>
      </c>
      <c r="H332" t="s">
        <v>125</v>
      </c>
      <c r="I332">
        <v>2</v>
      </c>
    </row>
    <row r="333" spans="1:9" x14ac:dyDescent="0.2">
      <c r="A333" s="16" t="s">
        <v>390</v>
      </c>
      <c r="B333" s="16" t="s">
        <v>10</v>
      </c>
      <c r="C333" s="2">
        <v>46075.521085497683</v>
      </c>
      <c r="D333">
        <v>2</v>
      </c>
      <c r="E333" s="7" t="s">
        <v>391</v>
      </c>
      <c r="F333" s="2">
        <v>46075.187752164355</v>
      </c>
      <c r="G333" s="3">
        <v>46075</v>
      </c>
      <c r="H333" t="s">
        <v>125</v>
      </c>
      <c r="I333">
        <v>4</v>
      </c>
    </row>
    <row r="334" spans="1:9" x14ac:dyDescent="0.2">
      <c r="A334" s="16" t="s">
        <v>392</v>
      </c>
      <c r="B334" s="16" t="s">
        <v>10</v>
      </c>
      <c r="C334" s="2">
        <v>46075.625917685182</v>
      </c>
      <c r="D334">
        <v>2</v>
      </c>
      <c r="E334" s="7" t="s">
        <v>391</v>
      </c>
      <c r="F334" s="2">
        <v>46075.292584351853</v>
      </c>
      <c r="G334" s="3">
        <v>46075</v>
      </c>
      <c r="H334" t="s">
        <v>125</v>
      </c>
      <c r="I334">
        <v>7</v>
      </c>
    </row>
    <row r="335" spans="1:9" x14ac:dyDescent="0.2">
      <c r="A335" s="16" t="s">
        <v>393</v>
      </c>
      <c r="B335" s="16" t="s">
        <v>10</v>
      </c>
      <c r="C335" s="2">
        <v>46075.710600289349</v>
      </c>
      <c r="D335">
        <v>4</v>
      </c>
      <c r="F335" s="2">
        <v>46075.37726695602</v>
      </c>
      <c r="G335" s="3">
        <v>46075</v>
      </c>
      <c r="H335" t="s">
        <v>125</v>
      </c>
      <c r="I335">
        <v>9</v>
      </c>
    </row>
    <row r="336" spans="1:9" x14ac:dyDescent="0.2">
      <c r="A336" s="16" t="s">
        <v>394</v>
      </c>
      <c r="B336" s="16" t="s">
        <v>10</v>
      </c>
      <c r="C336" s="2">
        <v>46075.712773634259</v>
      </c>
      <c r="D336">
        <v>2</v>
      </c>
      <c r="E336" s="7">
        <v>207</v>
      </c>
      <c r="F336" s="2">
        <v>46075.379440300923</v>
      </c>
      <c r="G336" s="3">
        <v>46075</v>
      </c>
      <c r="H336" t="s">
        <v>125</v>
      </c>
      <c r="I336">
        <v>9</v>
      </c>
    </row>
    <row r="337" spans="1:9" x14ac:dyDescent="0.2">
      <c r="A337" s="16" t="s">
        <v>395</v>
      </c>
      <c r="B337" s="16" t="s">
        <v>10</v>
      </c>
      <c r="C337" s="2">
        <v>46075.715508321759</v>
      </c>
      <c r="D337">
        <v>35</v>
      </c>
      <c r="F337" s="2">
        <v>46075.382174988423</v>
      </c>
      <c r="G337" s="3">
        <v>46075</v>
      </c>
      <c r="H337" t="s">
        <v>125</v>
      </c>
      <c r="I337">
        <v>9</v>
      </c>
    </row>
    <row r="338" spans="1:9" x14ac:dyDescent="0.2">
      <c r="A338" s="16" t="s">
        <v>396</v>
      </c>
      <c r="B338" s="16" t="s">
        <v>10</v>
      </c>
      <c r="C338" s="2">
        <v>46075.719127962962</v>
      </c>
      <c r="D338">
        <v>2</v>
      </c>
      <c r="E338" s="7" t="s">
        <v>397</v>
      </c>
      <c r="F338" s="2">
        <v>46075.385794629627</v>
      </c>
      <c r="G338" s="3">
        <v>46075</v>
      </c>
      <c r="H338" t="s">
        <v>125</v>
      </c>
      <c r="I338">
        <v>9</v>
      </c>
    </row>
    <row r="339" spans="1:9" x14ac:dyDescent="0.2">
      <c r="A339" s="16" t="s">
        <v>398</v>
      </c>
      <c r="B339" s="16" t="s">
        <v>10</v>
      </c>
      <c r="C339" s="2">
        <v>46076.417584270836</v>
      </c>
      <c r="D339">
        <v>2</v>
      </c>
      <c r="F339" s="2">
        <v>46076.0842509375</v>
      </c>
      <c r="G339" s="3">
        <v>46076</v>
      </c>
      <c r="H339" t="s">
        <v>11</v>
      </c>
      <c r="I339">
        <v>2</v>
      </c>
    </row>
    <row r="340" spans="1:9" x14ac:dyDescent="0.2">
      <c r="A340" s="16" t="s">
        <v>399</v>
      </c>
      <c r="B340" s="16" t="s">
        <v>10</v>
      </c>
      <c r="C340" s="2">
        <v>46076.426915706019</v>
      </c>
      <c r="D340">
        <v>2</v>
      </c>
      <c r="F340" s="2">
        <v>46076.093582372683</v>
      </c>
      <c r="G340" s="3">
        <v>46076</v>
      </c>
      <c r="H340" t="s">
        <v>11</v>
      </c>
      <c r="I340">
        <v>2</v>
      </c>
    </row>
    <row r="341" spans="1:9" x14ac:dyDescent="0.2">
      <c r="A341" s="16" t="s">
        <v>400</v>
      </c>
      <c r="B341" s="16" t="s">
        <v>10</v>
      </c>
      <c r="C341" s="2">
        <v>46076.448016099537</v>
      </c>
      <c r="D341">
        <v>2</v>
      </c>
      <c r="E341" s="7" t="s">
        <v>401</v>
      </c>
      <c r="F341" s="2">
        <v>46076.114682766201</v>
      </c>
      <c r="G341" s="3">
        <v>46076</v>
      </c>
      <c r="H341" t="s">
        <v>11</v>
      </c>
      <c r="I341">
        <v>2</v>
      </c>
    </row>
    <row r="342" spans="1:9" x14ac:dyDescent="0.2">
      <c r="A342" s="16" t="s">
        <v>402</v>
      </c>
      <c r="B342" s="16" t="s">
        <v>10</v>
      </c>
      <c r="C342" s="2">
        <v>46076.459024826392</v>
      </c>
      <c r="D342">
        <v>40</v>
      </c>
      <c r="E342" s="7" t="s">
        <v>401</v>
      </c>
      <c r="F342" s="2">
        <v>46076.125691493056</v>
      </c>
      <c r="G342" s="3">
        <v>46076</v>
      </c>
      <c r="H342" t="s">
        <v>11</v>
      </c>
      <c r="I342">
        <v>3</v>
      </c>
    </row>
    <row r="343" spans="1:9" x14ac:dyDescent="0.2">
      <c r="A343" s="16" t="s">
        <v>403</v>
      </c>
      <c r="B343" s="16" t="s">
        <v>10</v>
      </c>
      <c r="C343" s="2">
        <v>46076.466352962962</v>
      </c>
      <c r="D343">
        <v>2</v>
      </c>
      <c r="E343" s="7" t="s">
        <v>89</v>
      </c>
      <c r="F343" s="2">
        <v>46076.133019629633</v>
      </c>
      <c r="G343" s="3">
        <v>46076</v>
      </c>
      <c r="H343" t="s">
        <v>11</v>
      </c>
      <c r="I343">
        <v>3</v>
      </c>
    </row>
    <row r="344" spans="1:9" x14ac:dyDescent="0.2">
      <c r="A344" s="16" t="s">
        <v>895</v>
      </c>
      <c r="B344" s="16" t="s">
        <v>10</v>
      </c>
      <c r="C344" s="2">
        <v>46076.473475787039</v>
      </c>
      <c r="D344">
        <v>15</v>
      </c>
      <c r="E344" s="7" t="s">
        <v>89</v>
      </c>
      <c r="F344" s="2">
        <v>46076.140142453703</v>
      </c>
      <c r="G344" s="3">
        <v>46076</v>
      </c>
      <c r="H344" t="s">
        <v>11</v>
      </c>
      <c r="I344">
        <v>3</v>
      </c>
    </row>
    <row r="345" spans="1:9" x14ac:dyDescent="0.2">
      <c r="A345" s="16" t="s">
        <v>896</v>
      </c>
      <c r="B345" s="16" t="s">
        <v>10</v>
      </c>
      <c r="C345" s="2">
        <v>46076.473624224534</v>
      </c>
      <c r="D345">
        <v>40</v>
      </c>
      <c r="E345" s="7" t="s">
        <v>401</v>
      </c>
      <c r="F345" s="2">
        <v>46076.140290891206</v>
      </c>
      <c r="G345" s="3">
        <v>46076</v>
      </c>
      <c r="H345" t="s">
        <v>11</v>
      </c>
      <c r="I345">
        <v>3</v>
      </c>
    </row>
    <row r="346" spans="1:9" x14ac:dyDescent="0.2">
      <c r="A346" s="16" t="s">
        <v>404</v>
      </c>
      <c r="B346" s="16" t="s">
        <v>10</v>
      </c>
      <c r="C346" s="2">
        <v>46076.493413993056</v>
      </c>
      <c r="D346">
        <v>36</v>
      </c>
      <c r="F346" s="2">
        <v>46076.16008065972</v>
      </c>
      <c r="G346" s="3">
        <v>46076</v>
      </c>
      <c r="H346" t="s">
        <v>11</v>
      </c>
      <c r="I346">
        <v>3</v>
      </c>
    </row>
    <row r="347" spans="1:9" x14ac:dyDescent="0.2">
      <c r="A347" s="16" t="s">
        <v>405</v>
      </c>
      <c r="B347" s="16" t="s">
        <v>10</v>
      </c>
      <c r="C347" s="2">
        <v>46076.501223206018</v>
      </c>
      <c r="D347">
        <v>15</v>
      </c>
      <c r="E347" s="7" t="s">
        <v>89</v>
      </c>
      <c r="F347" s="2">
        <v>46076.167889872682</v>
      </c>
      <c r="G347" s="3">
        <v>46076</v>
      </c>
      <c r="H347" t="s">
        <v>11</v>
      </c>
      <c r="I347">
        <v>4</v>
      </c>
    </row>
    <row r="348" spans="1:9" x14ac:dyDescent="0.2">
      <c r="A348" s="16" t="s">
        <v>406</v>
      </c>
      <c r="B348" s="16" t="s">
        <v>10</v>
      </c>
      <c r="C348" s="2">
        <v>46076.506597847219</v>
      </c>
      <c r="D348">
        <v>36</v>
      </c>
      <c r="F348" s="2">
        <v>46076.173264513891</v>
      </c>
      <c r="G348" s="3">
        <v>46076</v>
      </c>
      <c r="H348" t="s">
        <v>11</v>
      </c>
      <c r="I348">
        <v>4</v>
      </c>
    </row>
    <row r="349" spans="1:9" x14ac:dyDescent="0.2">
      <c r="A349" s="16" t="s">
        <v>407</v>
      </c>
      <c r="B349" s="16" t="s">
        <v>10</v>
      </c>
      <c r="C349" s="2">
        <v>46076.507888356478</v>
      </c>
      <c r="D349">
        <v>40</v>
      </c>
      <c r="E349" s="7" t="s">
        <v>401</v>
      </c>
      <c r="F349" s="2">
        <v>46076.17455502315</v>
      </c>
      <c r="G349" s="3">
        <v>46076</v>
      </c>
      <c r="H349" t="s">
        <v>11</v>
      </c>
      <c r="I349">
        <v>4</v>
      </c>
    </row>
    <row r="350" spans="1:9" x14ac:dyDescent="0.2">
      <c r="A350" s="16" t="s">
        <v>855</v>
      </c>
      <c r="B350" s="16" t="s">
        <v>10</v>
      </c>
      <c r="C350" s="2">
        <v>46076.507985335651</v>
      </c>
      <c r="D350">
        <v>36</v>
      </c>
      <c r="F350" s="2">
        <v>46076.174652002315</v>
      </c>
      <c r="G350" s="3">
        <v>46076</v>
      </c>
      <c r="H350" t="s">
        <v>11</v>
      </c>
      <c r="I350">
        <v>4</v>
      </c>
    </row>
    <row r="351" spans="1:9" x14ac:dyDescent="0.2">
      <c r="A351" s="16" t="s">
        <v>856</v>
      </c>
      <c r="B351" s="16" t="s">
        <v>10</v>
      </c>
      <c r="C351" s="2">
        <v>46076.508352731478</v>
      </c>
      <c r="D351">
        <v>15</v>
      </c>
      <c r="E351" s="7" t="s">
        <v>89</v>
      </c>
      <c r="F351" s="2">
        <v>46076.17501939815</v>
      </c>
      <c r="G351" s="3">
        <v>46076</v>
      </c>
      <c r="H351" t="s">
        <v>11</v>
      </c>
      <c r="I351">
        <v>4</v>
      </c>
    </row>
    <row r="352" spans="1:9" x14ac:dyDescent="0.2">
      <c r="A352" s="16" t="s">
        <v>1152</v>
      </c>
      <c r="B352" s="16" t="s">
        <v>10</v>
      </c>
      <c r="C352" s="2">
        <v>46076.511448460646</v>
      </c>
      <c r="D352">
        <v>40</v>
      </c>
      <c r="E352" s="7" t="s">
        <v>401</v>
      </c>
      <c r="F352" s="2">
        <v>46076.178115127317</v>
      </c>
      <c r="G352" s="3">
        <v>46076</v>
      </c>
      <c r="H352" t="s">
        <v>11</v>
      </c>
      <c r="I352">
        <v>4</v>
      </c>
    </row>
    <row r="353" spans="1:9" x14ac:dyDescent="0.2">
      <c r="A353" s="16" t="s">
        <v>1153</v>
      </c>
      <c r="B353" s="16" t="s">
        <v>10</v>
      </c>
      <c r="C353" s="2">
        <v>46076.512867025463</v>
      </c>
      <c r="D353">
        <v>15</v>
      </c>
      <c r="E353" s="7" t="s">
        <v>89</v>
      </c>
      <c r="F353" s="2">
        <v>46076.179533692128</v>
      </c>
      <c r="G353" s="3">
        <v>46076</v>
      </c>
      <c r="H353" t="s">
        <v>11</v>
      </c>
      <c r="I353">
        <v>4</v>
      </c>
    </row>
    <row r="354" spans="1:9" x14ac:dyDescent="0.2">
      <c r="A354" s="16" t="s">
        <v>1154</v>
      </c>
      <c r="B354" s="16" t="s">
        <v>10</v>
      </c>
      <c r="C354" s="2">
        <v>46076.524521736108</v>
      </c>
      <c r="D354">
        <v>36</v>
      </c>
      <c r="F354" s="2">
        <v>46076.19118840278</v>
      </c>
      <c r="G354" s="3">
        <v>46076</v>
      </c>
      <c r="H354" t="s">
        <v>11</v>
      </c>
      <c r="I354">
        <v>4</v>
      </c>
    </row>
    <row r="355" spans="1:9" x14ac:dyDescent="0.2">
      <c r="A355" s="16" t="s">
        <v>408</v>
      </c>
      <c r="B355" s="16" t="s">
        <v>10</v>
      </c>
      <c r="C355" s="2">
        <v>46076.526483622685</v>
      </c>
      <c r="D355">
        <v>634</v>
      </c>
      <c r="E355" s="7" t="s">
        <v>409</v>
      </c>
      <c r="F355" s="2">
        <v>46076.193150289349</v>
      </c>
      <c r="G355" s="3">
        <v>46076</v>
      </c>
      <c r="H355" t="s">
        <v>11</v>
      </c>
      <c r="I355">
        <v>4</v>
      </c>
    </row>
    <row r="356" spans="1:9" x14ac:dyDescent="0.2">
      <c r="A356" s="16" t="s">
        <v>944</v>
      </c>
      <c r="B356" s="16" t="s">
        <v>10</v>
      </c>
      <c r="C356" s="2">
        <v>46076.540825335651</v>
      </c>
      <c r="D356">
        <v>15</v>
      </c>
      <c r="E356" s="7" t="s">
        <v>89</v>
      </c>
      <c r="F356" s="2">
        <v>46076.207492002315</v>
      </c>
      <c r="G356" s="3">
        <v>46076</v>
      </c>
      <c r="H356" t="s">
        <v>11</v>
      </c>
      <c r="I356">
        <v>4</v>
      </c>
    </row>
    <row r="357" spans="1:9" x14ac:dyDescent="0.2">
      <c r="A357" s="16" t="s">
        <v>945</v>
      </c>
      <c r="B357" s="16" t="s">
        <v>10</v>
      </c>
      <c r="C357" s="2">
        <v>46076.541369722225</v>
      </c>
      <c r="D357">
        <v>40</v>
      </c>
      <c r="E357" s="7" t="s">
        <v>401</v>
      </c>
      <c r="F357" s="2">
        <v>46076.208036388889</v>
      </c>
      <c r="G357" s="3">
        <v>46076</v>
      </c>
      <c r="H357" t="s">
        <v>11</v>
      </c>
      <c r="I357">
        <v>4</v>
      </c>
    </row>
    <row r="358" spans="1:9" x14ac:dyDescent="0.2">
      <c r="A358" s="16" t="s">
        <v>410</v>
      </c>
      <c r="B358" s="16" t="s">
        <v>10</v>
      </c>
      <c r="C358" s="2">
        <v>46076.54254480324</v>
      </c>
      <c r="D358">
        <v>40</v>
      </c>
      <c r="E358" s="7" t="s">
        <v>401</v>
      </c>
      <c r="F358" s="2">
        <v>46076.209211469904</v>
      </c>
      <c r="G358" s="3">
        <v>46076</v>
      </c>
      <c r="H358" t="s">
        <v>11</v>
      </c>
      <c r="I358">
        <v>5</v>
      </c>
    </row>
    <row r="359" spans="1:9" x14ac:dyDescent="0.2">
      <c r="A359" s="16" t="s">
        <v>411</v>
      </c>
      <c r="B359" s="16" t="s">
        <v>10</v>
      </c>
      <c r="C359" s="2">
        <v>46076.545175497682</v>
      </c>
      <c r="D359">
        <v>15</v>
      </c>
      <c r="E359" s="7" t="s">
        <v>89</v>
      </c>
      <c r="F359" s="2">
        <v>46076.211842164354</v>
      </c>
      <c r="G359" s="3">
        <v>46076</v>
      </c>
      <c r="H359" t="s">
        <v>11</v>
      </c>
      <c r="I359">
        <v>5</v>
      </c>
    </row>
    <row r="360" spans="1:9" x14ac:dyDescent="0.2">
      <c r="A360" s="16" t="s">
        <v>1261</v>
      </c>
      <c r="B360" s="16" t="s">
        <v>10</v>
      </c>
      <c r="C360" s="2">
        <v>46076.549310625</v>
      </c>
      <c r="D360">
        <v>40</v>
      </c>
      <c r="E360" s="7" t="s">
        <v>401</v>
      </c>
      <c r="F360" s="2">
        <v>46076.215977291664</v>
      </c>
      <c r="G360" s="3">
        <v>46076</v>
      </c>
      <c r="H360" t="s">
        <v>11</v>
      </c>
      <c r="I360">
        <v>5</v>
      </c>
    </row>
    <row r="361" spans="1:9" x14ac:dyDescent="0.2">
      <c r="A361" s="16" t="s">
        <v>830</v>
      </c>
      <c r="B361" s="16" t="s">
        <v>10</v>
      </c>
      <c r="C361" s="2">
        <v>46076.5549212037</v>
      </c>
      <c r="D361">
        <v>15</v>
      </c>
      <c r="E361" s="7" t="s">
        <v>89</v>
      </c>
      <c r="F361" s="2">
        <v>46076.221587870372</v>
      </c>
      <c r="G361" s="3">
        <v>46076</v>
      </c>
      <c r="H361" t="s">
        <v>11</v>
      </c>
      <c r="I361">
        <v>5</v>
      </c>
    </row>
    <row r="362" spans="1:9" x14ac:dyDescent="0.2">
      <c r="A362" s="16" t="s">
        <v>831</v>
      </c>
      <c r="B362" s="16" t="s">
        <v>10</v>
      </c>
      <c r="C362" s="2">
        <v>46076.556083113428</v>
      </c>
      <c r="D362">
        <v>40</v>
      </c>
      <c r="E362" s="7" t="s">
        <v>401</v>
      </c>
      <c r="F362" s="2">
        <v>46076.222749780092</v>
      </c>
      <c r="G362" s="3">
        <v>46076</v>
      </c>
      <c r="H362" t="s">
        <v>11</v>
      </c>
      <c r="I362">
        <v>5</v>
      </c>
    </row>
    <row r="363" spans="1:9" x14ac:dyDescent="0.2">
      <c r="A363" s="16" t="s">
        <v>412</v>
      </c>
      <c r="B363" s="16" t="s">
        <v>10</v>
      </c>
      <c r="C363" s="2">
        <v>46076.558426909723</v>
      </c>
      <c r="D363">
        <v>36</v>
      </c>
      <c r="F363" s="2">
        <v>46076.225093576388</v>
      </c>
      <c r="G363" s="3">
        <v>46076</v>
      </c>
      <c r="H363" t="s">
        <v>11</v>
      </c>
      <c r="I363">
        <v>5</v>
      </c>
    </row>
    <row r="364" spans="1:9" x14ac:dyDescent="0.2">
      <c r="A364" s="16" t="s">
        <v>413</v>
      </c>
      <c r="B364" s="16" t="s">
        <v>10</v>
      </c>
      <c r="C364" s="2">
        <v>46076.586223738428</v>
      </c>
      <c r="D364">
        <v>40</v>
      </c>
      <c r="E364" s="7" t="s">
        <v>401</v>
      </c>
      <c r="F364" s="2">
        <v>46076.252890405092</v>
      </c>
      <c r="G364" s="3">
        <v>46076</v>
      </c>
      <c r="H364" t="s">
        <v>11</v>
      </c>
      <c r="I364">
        <v>6</v>
      </c>
    </row>
    <row r="365" spans="1:9" x14ac:dyDescent="0.2">
      <c r="A365" s="16" t="s">
        <v>414</v>
      </c>
      <c r="B365" s="16" t="s">
        <v>10</v>
      </c>
      <c r="C365" s="2">
        <v>46076.586442719905</v>
      </c>
      <c r="D365">
        <v>15</v>
      </c>
      <c r="E365" s="7" t="s">
        <v>89</v>
      </c>
      <c r="F365" s="2">
        <v>46076.253109386576</v>
      </c>
      <c r="G365" s="3">
        <v>46076</v>
      </c>
      <c r="H365" t="s">
        <v>11</v>
      </c>
      <c r="I365">
        <v>6</v>
      </c>
    </row>
    <row r="366" spans="1:9" x14ac:dyDescent="0.2">
      <c r="A366" s="16" t="s">
        <v>415</v>
      </c>
      <c r="B366" s="16" t="s">
        <v>10</v>
      </c>
      <c r="C366" s="2">
        <v>46076.590649293983</v>
      </c>
      <c r="D366">
        <v>36</v>
      </c>
      <c r="F366" s="2">
        <v>46076.257315960647</v>
      </c>
      <c r="G366" s="3">
        <v>46076</v>
      </c>
      <c r="H366" t="s">
        <v>11</v>
      </c>
      <c r="I366">
        <v>6</v>
      </c>
    </row>
    <row r="367" spans="1:9" x14ac:dyDescent="0.2">
      <c r="A367" s="16" t="s">
        <v>416</v>
      </c>
      <c r="B367" s="16" t="s">
        <v>10</v>
      </c>
      <c r="C367" s="2">
        <v>46076.594548831017</v>
      </c>
      <c r="D367">
        <v>2</v>
      </c>
      <c r="F367" s="2">
        <v>46076.261215497689</v>
      </c>
      <c r="G367" s="3">
        <v>46076</v>
      </c>
      <c r="H367" t="s">
        <v>11</v>
      </c>
      <c r="I367">
        <v>6</v>
      </c>
    </row>
    <row r="368" spans="1:9" x14ac:dyDescent="0.2">
      <c r="A368" s="16" t="s">
        <v>417</v>
      </c>
      <c r="B368" s="16" t="s">
        <v>10</v>
      </c>
      <c r="C368" s="2">
        <v>46076.596690196762</v>
      </c>
      <c r="D368">
        <v>15</v>
      </c>
      <c r="F368" s="2">
        <v>46076.263356863426</v>
      </c>
      <c r="G368" s="3">
        <v>46076</v>
      </c>
      <c r="H368" t="s">
        <v>11</v>
      </c>
      <c r="I368">
        <v>6</v>
      </c>
    </row>
    <row r="369" spans="1:9" x14ac:dyDescent="0.2">
      <c r="A369" s="16" t="s">
        <v>418</v>
      </c>
      <c r="B369" s="16" t="s">
        <v>10</v>
      </c>
      <c r="C369" s="2">
        <v>46076.5972075463</v>
      </c>
      <c r="D369">
        <v>2</v>
      </c>
      <c r="E369" s="7">
        <v>49949</v>
      </c>
      <c r="F369" s="2">
        <v>46076.263874212964</v>
      </c>
      <c r="G369" s="3">
        <v>46076</v>
      </c>
      <c r="H369" t="s">
        <v>11</v>
      </c>
      <c r="I369">
        <v>6</v>
      </c>
    </row>
    <row r="370" spans="1:9" x14ac:dyDescent="0.2">
      <c r="A370" s="16" t="s">
        <v>799</v>
      </c>
      <c r="B370" s="16" t="s">
        <v>10</v>
      </c>
      <c r="C370" s="2">
        <v>46076.611839837962</v>
      </c>
      <c r="D370">
        <v>15</v>
      </c>
      <c r="E370" s="7" t="s">
        <v>89</v>
      </c>
      <c r="F370" s="2">
        <v>46076.278506504626</v>
      </c>
      <c r="G370" s="3">
        <v>46076</v>
      </c>
      <c r="H370" t="s">
        <v>11</v>
      </c>
      <c r="I370">
        <v>6</v>
      </c>
    </row>
    <row r="371" spans="1:9" x14ac:dyDescent="0.2">
      <c r="A371" s="16" t="s">
        <v>800</v>
      </c>
      <c r="B371" s="16" t="s">
        <v>10</v>
      </c>
      <c r="C371" s="2">
        <v>46076.612595289349</v>
      </c>
      <c r="D371">
        <v>36</v>
      </c>
      <c r="F371" s="2">
        <v>46076.27926195602</v>
      </c>
      <c r="G371" s="3">
        <v>46076</v>
      </c>
      <c r="H371" t="s">
        <v>11</v>
      </c>
      <c r="I371">
        <v>6</v>
      </c>
    </row>
    <row r="372" spans="1:9" x14ac:dyDescent="0.2">
      <c r="A372" s="16" t="s">
        <v>801</v>
      </c>
      <c r="B372" s="16" t="s">
        <v>10</v>
      </c>
      <c r="C372" s="2">
        <v>46076.612812384257</v>
      </c>
      <c r="D372">
        <v>40</v>
      </c>
      <c r="E372" s="7" t="s">
        <v>401</v>
      </c>
      <c r="F372" s="2">
        <v>46076.279479050929</v>
      </c>
      <c r="G372" s="3">
        <v>46076</v>
      </c>
      <c r="H372" t="s">
        <v>11</v>
      </c>
      <c r="I372">
        <v>6</v>
      </c>
    </row>
    <row r="373" spans="1:9" x14ac:dyDescent="0.2">
      <c r="A373" s="16" t="s">
        <v>802</v>
      </c>
      <c r="B373" s="16" t="s">
        <v>10</v>
      </c>
      <c r="C373" s="2">
        <v>46076.613042013887</v>
      </c>
      <c r="D373">
        <v>15</v>
      </c>
      <c r="F373" s="2">
        <v>46076.279708680559</v>
      </c>
      <c r="G373" s="3">
        <v>46076</v>
      </c>
      <c r="H373" t="s">
        <v>11</v>
      </c>
      <c r="I373">
        <v>6</v>
      </c>
    </row>
    <row r="374" spans="1:9" x14ac:dyDescent="0.2">
      <c r="A374" s="16" t="s">
        <v>803</v>
      </c>
      <c r="B374" s="16" t="s">
        <v>10</v>
      </c>
      <c r="C374" s="2">
        <v>46076.614164710649</v>
      </c>
      <c r="D374">
        <v>2</v>
      </c>
      <c r="E374" s="7" t="s">
        <v>804</v>
      </c>
      <c r="F374" s="2">
        <v>46076.280831377313</v>
      </c>
      <c r="G374" s="3">
        <v>46076</v>
      </c>
      <c r="H374" t="s">
        <v>11</v>
      </c>
      <c r="I374">
        <v>6</v>
      </c>
    </row>
    <row r="375" spans="1:9" x14ac:dyDescent="0.2">
      <c r="A375" s="16" t="s">
        <v>419</v>
      </c>
      <c r="B375" s="16" t="s">
        <v>10</v>
      </c>
      <c r="C375" s="2">
        <v>46076.615566909721</v>
      </c>
      <c r="D375">
        <v>2</v>
      </c>
      <c r="F375" s="2">
        <v>46076.282233576392</v>
      </c>
      <c r="G375" s="3">
        <v>46076</v>
      </c>
      <c r="H375" t="s">
        <v>11</v>
      </c>
      <c r="I375">
        <v>6</v>
      </c>
    </row>
    <row r="376" spans="1:9" x14ac:dyDescent="0.2">
      <c r="A376" s="16" t="s">
        <v>805</v>
      </c>
      <c r="B376" s="16" t="s">
        <v>10</v>
      </c>
      <c r="C376" s="2">
        <v>46076.618023206021</v>
      </c>
      <c r="D376">
        <v>35</v>
      </c>
      <c r="F376" s="2">
        <v>46076.284689872686</v>
      </c>
      <c r="G376" s="3">
        <v>46076</v>
      </c>
      <c r="H376" t="s">
        <v>11</v>
      </c>
      <c r="I376">
        <v>6</v>
      </c>
    </row>
    <row r="377" spans="1:9" x14ac:dyDescent="0.2">
      <c r="A377" s="16" t="s">
        <v>420</v>
      </c>
      <c r="B377" s="16" t="s">
        <v>10</v>
      </c>
      <c r="C377" s="2">
        <v>46076.619353125003</v>
      </c>
      <c r="D377">
        <v>2</v>
      </c>
      <c r="E377" s="7" t="s">
        <v>70</v>
      </c>
      <c r="F377" s="2">
        <v>46076.286019791667</v>
      </c>
      <c r="G377" s="3">
        <v>46076</v>
      </c>
      <c r="H377" t="s">
        <v>11</v>
      </c>
      <c r="I377">
        <v>6</v>
      </c>
    </row>
    <row r="378" spans="1:9" x14ac:dyDescent="0.2">
      <c r="A378" s="16" t="s">
        <v>421</v>
      </c>
      <c r="B378" s="16" t="s">
        <v>10</v>
      </c>
      <c r="C378" s="2">
        <v>46076.624033217595</v>
      </c>
      <c r="D378">
        <v>2</v>
      </c>
      <c r="E378" s="7" t="s">
        <v>60</v>
      </c>
      <c r="F378" s="2">
        <v>46076.290699884259</v>
      </c>
      <c r="G378" s="3">
        <v>46076</v>
      </c>
      <c r="H378" t="s">
        <v>11</v>
      </c>
      <c r="I378">
        <v>6</v>
      </c>
    </row>
    <row r="379" spans="1:9" x14ac:dyDescent="0.2">
      <c r="A379" s="16" t="s">
        <v>422</v>
      </c>
      <c r="B379" s="16" t="s">
        <v>10</v>
      </c>
      <c r="C379" s="2">
        <v>46076.627117928241</v>
      </c>
      <c r="D379">
        <v>15</v>
      </c>
      <c r="F379" s="2">
        <v>46076.293784594905</v>
      </c>
      <c r="G379" s="3">
        <v>46076</v>
      </c>
      <c r="H379" t="s">
        <v>11</v>
      </c>
      <c r="I379">
        <v>7</v>
      </c>
    </row>
    <row r="380" spans="1:9" x14ac:dyDescent="0.2">
      <c r="A380" s="16" t="s">
        <v>423</v>
      </c>
      <c r="B380" s="16" t="s">
        <v>10</v>
      </c>
      <c r="C380" s="2">
        <v>46076.627241863425</v>
      </c>
      <c r="D380">
        <v>35</v>
      </c>
      <c r="F380" s="2">
        <v>46076.29390853009</v>
      </c>
      <c r="G380" s="3">
        <v>46076</v>
      </c>
      <c r="H380" t="s">
        <v>11</v>
      </c>
      <c r="I380">
        <v>7</v>
      </c>
    </row>
    <row r="381" spans="1:9" x14ac:dyDescent="0.2">
      <c r="A381" s="16" t="s">
        <v>424</v>
      </c>
      <c r="B381" s="16" t="s">
        <v>10</v>
      </c>
      <c r="C381" s="2">
        <v>46076.632470104167</v>
      </c>
      <c r="D381">
        <v>2</v>
      </c>
      <c r="E381" s="7">
        <v>49949</v>
      </c>
      <c r="F381" s="2">
        <v>46076.299136770831</v>
      </c>
      <c r="G381" s="3">
        <v>46076</v>
      </c>
      <c r="H381" t="s">
        <v>11</v>
      </c>
      <c r="I381">
        <v>7</v>
      </c>
    </row>
    <row r="382" spans="1:9" x14ac:dyDescent="0.2">
      <c r="A382" s="16" t="s">
        <v>425</v>
      </c>
      <c r="B382" s="16" t="s">
        <v>10</v>
      </c>
      <c r="C382" s="2">
        <v>46076.634417881942</v>
      </c>
      <c r="D382">
        <v>2</v>
      </c>
      <c r="F382" s="2">
        <v>46076.301084548613</v>
      </c>
      <c r="G382" s="3">
        <v>46076</v>
      </c>
      <c r="H382" t="s">
        <v>11</v>
      </c>
      <c r="I382">
        <v>7</v>
      </c>
    </row>
    <row r="383" spans="1:9" x14ac:dyDescent="0.2">
      <c r="A383" s="16" t="s">
        <v>1059</v>
      </c>
      <c r="B383" s="16" t="s">
        <v>10</v>
      </c>
      <c r="C383" s="2">
        <v>46076.63454864583</v>
      </c>
      <c r="D383">
        <v>35</v>
      </c>
      <c r="F383" s="2">
        <v>46076.301215312502</v>
      </c>
      <c r="G383" s="3">
        <v>46076</v>
      </c>
      <c r="H383" t="s">
        <v>11</v>
      </c>
      <c r="I383">
        <v>7</v>
      </c>
    </row>
    <row r="384" spans="1:9" x14ac:dyDescent="0.2">
      <c r="A384" s="16" t="s">
        <v>426</v>
      </c>
      <c r="B384" s="16" t="s">
        <v>10</v>
      </c>
      <c r="C384" s="2">
        <v>46076.63525146991</v>
      </c>
      <c r="D384">
        <v>15</v>
      </c>
      <c r="E384" s="7" t="s">
        <v>89</v>
      </c>
      <c r="F384" s="2">
        <v>46076.301918136574</v>
      </c>
      <c r="G384" s="3">
        <v>46076</v>
      </c>
      <c r="H384" t="s">
        <v>11</v>
      </c>
      <c r="I384">
        <v>7</v>
      </c>
    </row>
    <row r="385" spans="1:9" x14ac:dyDescent="0.2">
      <c r="A385" s="16" t="s">
        <v>1060</v>
      </c>
      <c r="B385" s="16" t="s">
        <v>10</v>
      </c>
      <c r="C385" s="2">
        <v>46076.636369675929</v>
      </c>
      <c r="D385">
        <v>2</v>
      </c>
      <c r="F385" s="2">
        <v>46076.303036342593</v>
      </c>
      <c r="G385" s="3">
        <v>46076</v>
      </c>
      <c r="H385" t="s">
        <v>11</v>
      </c>
      <c r="I385">
        <v>7</v>
      </c>
    </row>
    <row r="386" spans="1:9" x14ac:dyDescent="0.2">
      <c r="A386" s="16" t="s">
        <v>1061</v>
      </c>
      <c r="B386" s="16" t="s">
        <v>10</v>
      </c>
      <c r="C386" s="2">
        <v>46076.641936192129</v>
      </c>
      <c r="D386">
        <v>2</v>
      </c>
      <c r="E386" s="7" t="s">
        <v>804</v>
      </c>
      <c r="F386" s="2">
        <v>46076.308602858793</v>
      </c>
      <c r="G386" s="3">
        <v>46076</v>
      </c>
      <c r="H386" t="s">
        <v>11</v>
      </c>
      <c r="I386">
        <v>7</v>
      </c>
    </row>
    <row r="387" spans="1:9" x14ac:dyDescent="0.2">
      <c r="A387" s="16" t="s">
        <v>1062</v>
      </c>
      <c r="B387" s="16" t="s">
        <v>10</v>
      </c>
      <c r="C387" s="2">
        <v>46076.647016041665</v>
      </c>
      <c r="D387">
        <v>15</v>
      </c>
      <c r="F387" s="2">
        <v>46076.313682708336</v>
      </c>
      <c r="G387" s="3">
        <v>46076</v>
      </c>
      <c r="H387" t="s">
        <v>11</v>
      </c>
      <c r="I387">
        <v>7</v>
      </c>
    </row>
    <row r="388" spans="1:9" x14ac:dyDescent="0.2">
      <c r="A388" s="16" t="s">
        <v>427</v>
      </c>
      <c r="B388" s="16" t="s">
        <v>10</v>
      </c>
      <c r="C388" s="2">
        <v>46076.656376469909</v>
      </c>
      <c r="D388">
        <v>36</v>
      </c>
      <c r="F388" s="2">
        <v>46076.323043136574</v>
      </c>
      <c r="G388" s="3">
        <v>46076</v>
      </c>
      <c r="H388" t="s">
        <v>11</v>
      </c>
      <c r="I388">
        <v>7</v>
      </c>
    </row>
    <row r="389" spans="1:9" x14ac:dyDescent="0.2">
      <c r="A389" s="16" t="s">
        <v>1080</v>
      </c>
      <c r="B389" s="16" t="s">
        <v>10</v>
      </c>
      <c r="C389" s="2">
        <v>46076.664806423614</v>
      </c>
      <c r="D389">
        <v>15</v>
      </c>
      <c r="E389" s="7" t="s">
        <v>89</v>
      </c>
      <c r="F389" s="2">
        <v>46076.331473090278</v>
      </c>
      <c r="G389" s="3">
        <v>46076</v>
      </c>
      <c r="H389" t="s">
        <v>11</v>
      </c>
      <c r="I389">
        <v>7</v>
      </c>
    </row>
    <row r="390" spans="1:9" x14ac:dyDescent="0.2">
      <c r="A390" s="16" t="s">
        <v>428</v>
      </c>
      <c r="B390" s="16" t="s">
        <v>10</v>
      </c>
      <c r="C390" s="2">
        <v>46076.677277141207</v>
      </c>
      <c r="D390">
        <v>634</v>
      </c>
      <c r="E390" s="7" t="s">
        <v>429</v>
      </c>
      <c r="F390" s="2">
        <v>46076.343943807871</v>
      </c>
      <c r="G390" s="3">
        <v>46076</v>
      </c>
      <c r="H390" t="s">
        <v>11</v>
      </c>
      <c r="I390">
        <v>8</v>
      </c>
    </row>
    <row r="391" spans="1:9" x14ac:dyDescent="0.2">
      <c r="A391" s="16" t="s">
        <v>430</v>
      </c>
      <c r="B391" s="16" t="s">
        <v>10</v>
      </c>
      <c r="C391" s="2">
        <v>46076.683382210649</v>
      </c>
      <c r="D391">
        <v>15</v>
      </c>
      <c r="E391" s="7" t="s">
        <v>89</v>
      </c>
      <c r="F391" s="2">
        <v>46076.350048877313</v>
      </c>
      <c r="G391" s="3">
        <v>46076</v>
      </c>
      <c r="H391" t="s">
        <v>11</v>
      </c>
      <c r="I391">
        <v>8</v>
      </c>
    </row>
    <row r="392" spans="1:9" x14ac:dyDescent="0.2">
      <c r="A392" s="16" t="s">
        <v>431</v>
      </c>
      <c r="B392" s="16" t="s">
        <v>10</v>
      </c>
      <c r="C392" s="2">
        <v>46076.684953530093</v>
      </c>
      <c r="D392">
        <v>15</v>
      </c>
      <c r="F392" s="2">
        <v>46076.351620196758</v>
      </c>
      <c r="G392" s="3">
        <v>46076</v>
      </c>
      <c r="H392" t="s">
        <v>11</v>
      </c>
      <c r="I392">
        <v>8</v>
      </c>
    </row>
    <row r="393" spans="1:9" x14ac:dyDescent="0.2">
      <c r="A393" s="16" t="s">
        <v>432</v>
      </c>
      <c r="B393" s="16" t="s">
        <v>10</v>
      </c>
      <c r="C393" s="2">
        <v>46076.685634548609</v>
      </c>
      <c r="D393">
        <v>36</v>
      </c>
      <c r="F393" s="2">
        <v>46076.35230121528</v>
      </c>
      <c r="G393" s="3">
        <v>46076</v>
      </c>
      <c r="H393" t="s">
        <v>11</v>
      </c>
      <c r="I393">
        <v>8</v>
      </c>
    </row>
    <row r="394" spans="1:9" x14ac:dyDescent="0.2">
      <c r="A394" s="16" t="s">
        <v>433</v>
      </c>
      <c r="B394" s="16" t="s">
        <v>10</v>
      </c>
      <c r="C394" s="2">
        <v>46076.710648599539</v>
      </c>
      <c r="D394">
        <v>15</v>
      </c>
      <c r="E394" s="7" t="s">
        <v>89</v>
      </c>
      <c r="F394" s="2">
        <v>46076.377315266203</v>
      </c>
      <c r="G394" s="3">
        <v>46076</v>
      </c>
      <c r="H394" t="s">
        <v>11</v>
      </c>
      <c r="I394">
        <v>9</v>
      </c>
    </row>
    <row r="395" spans="1:9" x14ac:dyDescent="0.2">
      <c r="A395" s="16" t="s">
        <v>434</v>
      </c>
      <c r="B395" s="16" t="s">
        <v>10</v>
      </c>
      <c r="C395" s="2">
        <v>46076.71066449074</v>
      </c>
      <c r="D395">
        <v>35</v>
      </c>
      <c r="F395" s="2">
        <v>46076.377331157404</v>
      </c>
      <c r="G395" s="3">
        <v>46076</v>
      </c>
      <c r="H395" t="s">
        <v>11</v>
      </c>
      <c r="I395">
        <v>9</v>
      </c>
    </row>
    <row r="396" spans="1:9" x14ac:dyDescent="0.2">
      <c r="A396" s="16" t="s">
        <v>435</v>
      </c>
      <c r="B396" s="16" t="s">
        <v>10</v>
      </c>
      <c r="C396" s="2">
        <v>46076.720596921296</v>
      </c>
      <c r="D396">
        <v>2</v>
      </c>
      <c r="F396" s="2">
        <v>46076.38726358796</v>
      </c>
      <c r="G396" s="3">
        <v>46076</v>
      </c>
      <c r="H396" t="s">
        <v>11</v>
      </c>
      <c r="I396">
        <v>9</v>
      </c>
    </row>
    <row r="397" spans="1:9" x14ac:dyDescent="0.2">
      <c r="A397" s="16" t="s">
        <v>436</v>
      </c>
      <c r="B397" s="16" t="s">
        <v>10</v>
      </c>
      <c r="C397" s="2">
        <v>46076.720859085646</v>
      </c>
      <c r="D397">
        <v>433</v>
      </c>
      <c r="F397" s="2">
        <v>46076.387525752318</v>
      </c>
      <c r="G397" s="3">
        <v>46076</v>
      </c>
      <c r="H397" t="s">
        <v>11</v>
      </c>
      <c r="I397">
        <v>9</v>
      </c>
    </row>
    <row r="398" spans="1:9" x14ac:dyDescent="0.2">
      <c r="A398" s="16" t="s">
        <v>437</v>
      </c>
      <c r="B398" s="16" t="s">
        <v>10</v>
      </c>
      <c r="C398" s="2">
        <v>46076.732154861114</v>
      </c>
      <c r="D398">
        <v>36</v>
      </c>
      <c r="F398" s="2">
        <v>46076.398821527779</v>
      </c>
      <c r="G398" s="3">
        <v>46076</v>
      </c>
      <c r="H398" t="s">
        <v>11</v>
      </c>
      <c r="I398">
        <v>9</v>
      </c>
    </row>
    <row r="399" spans="1:9" x14ac:dyDescent="0.2">
      <c r="A399" s="16" t="s">
        <v>438</v>
      </c>
      <c r="B399" s="16" t="s">
        <v>10</v>
      </c>
      <c r="C399" s="2">
        <v>46076.747439826388</v>
      </c>
      <c r="D399">
        <v>2</v>
      </c>
      <c r="E399" s="7" t="s">
        <v>60</v>
      </c>
      <c r="F399" s="2">
        <v>46076.414106493059</v>
      </c>
      <c r="G399" s="3">
        <v>46076</v>
      </c>
      <c r="H399" t="s">
        <v>11</v>
      </c>
      <c r="I399">
        <v>9</v>
      </c>
    </row>
    <row r="400" spans="1:9" x14ac:dyDescent="0.2">
      <c r="A400" s="16" t="s">
        <v>439</v>
      </c>
      <c r="B400" s="16" t="s">
        <v>10</v>
      </c>
      <c r="C400" s="2">
        <v>46076.752630509262</v>
      </c>
      <c r="D400">
        <v>2</v>
      </c>
      <c r="F400" s="2">
        <v>46076.419297175926</v>
      </c>
      <c r="G400" s="3">
        <v>46076</v>
      </c>
      <c r="H400" t="s">
        <v>11</v>
      </c>
      <c r="I400">
        <v>10</v>
      </c>
    </row>
    <row r="401" spans="1:9" x14ac:dyDescent="0.2">
      <c r="A401" s="16" t="s">
        <v>440</v>
      </c>
      <c r="B401" s="16" t="s">
        <v>10</v>
      </c>
      <c r="C401" s="2">
        <v>46076.753302847224</v>
      </c>
      <c r="D401">
        <v>15</v>
      </c>
      <c r="F401" s="2">
        <v>46076.419969513889</v>
      </c>
      <c r="G401" s="3">
        <v>46076</v>
      </c>
      <c r="H401" t="s">
        <v>11</v>
      </c>
      <c r="I401">
        <v>10</v>
      </c>
    </row>
    <row r="402" spans="1:9" x14ac:dyDescent="0.2">
      <c r="A402" s="16" t="s">
        <v>441</v>
      </c>
      <c r="B402" s="16" t="s">
        <v>10</v>
      </c>
      <c r="C402" s="2">
        <v>46076.755479594911</v>
      </c>
      <c r="D402">
        <v>2</v>
      </c>
      <c r="E402" s="7" t="s">
        <v>60</v>
      </c>
      <c r="F402" s="2">
        <v>46076.422146261575</v>
      </c>
      <c r="G402" s="3">
        <v>46076</v>
      </c>
      <c r="H402" t="s">
        <v>11</v>
      </c>
      <c r="I402">
        <v>10</v>
      </c>
    </row>
    <row r="403" spans="1:9" x14ac:dyDescent="0.2">
      <c r="A403" s="16" t="s">
        <v>442</v>
      </c>
      <c r="B403" s="16" t="s">
        <v>10</v>
      </c>
      <c r="C403" s="2">
        <v>46076.76000962963</v>
      </c>
      <c r="D403">
        <v>2</v>
      </c>
      <c r="F403" s="2">
        <v>46076.426676296294</v>
      </c>
      <c r="G403" s="3">
        <v>46076</v>
      </c>
      <c r="H403" t="s">
        <v>11</v>
      </c>
      <c r="I403">
        <v>10</v>
      </c>
    </row>
    <row r="404" spans="1:9" x14ac:dyDescent="0.2">
      <c r="A404" s="16" t="s">
        <v>443</v>
      </c>
      <c r="B404" s="16" t="s">
        <v>10</v>
      </c>
      <c r="C404" s="2">
        <v>46076.761823425928</v>
      </c>
      <c r="D404">
        <v>35</v>
      </c>
      <c r="F404" s="2">
        <v>46076.428490092592</v>
      </c>
      <c r="G404" s="3">
        <v>46076</v>
      </c>
      <c r="H404" t="s">
        <v>11</v>
      </c>
      <c r="I404">
        <v>10</v>
      </c>
    </row>
    <row r="405" spans="1:9" x14ac:dyDescent="0.2">
      <c r="A405" s="16" t="s">
        <v>444</v>
      </c>
      <c r="B405" s="16" t="s">
        <v>10</v>
      </c>
      <c r="C405" s="2">
        <v>46076.786907187503</v>
      </c>
      <c r="D405">
        <v>36</v>
      </c>
      <c r="F405" s="2">
        <v>46076.453573854167</v>
      </c>
      <c r="G405" s="3">
        <v>46076</v>
      </c>
      <c r="H405" t="s">
        <v>11</v>
      </c>
      <c r="I405">
        <v>10</v>
      </c>
    </row>
    <row r="406" spans="1:9" x14ac:dyDescent="0.2">
      <c r="A406" s="16" t="s">
        <v>445</v>
      </c>
      <c r="B406" s="16" t="s">
        <v>10</v>
      </c>
      <c r="C406" s="2">
        <v>46076.794028807868</v>
      </c>
      <c r="D406">
        <v>15</v>
      </c>
      <c r="F406" s="2">
        <v>46076.46069547454</v>
      </c>
      <c r="G406" s="3">
        <v>46076</v>
      </c>
      <c r="H406" t="s">
        <v>11</v>
      </c>
      <c r="I406">
        <v>11</v>
      </c>
    </row>
    <row r="407" spans="1:9" x14ac:dyDescent="0.2">
      <c r="A407" s="16" t="s">
        <v>446</v>
      </c>
      <c r="B407" s="16" t="s">
        <v>10</v>
      </c>
      <c r="C407" s="2">
        <v>46076.833535891201</v>
      </c>
      <c r="D407">
        <v>35</v>
      </c>
      <c r="F407" s="2">
        <v>46076.500202557872</v>
      </c>
      <c r="G407" s="3">
        <v>46076</v>
      </c>
      <c r="H407" t="s">
        <v>11</v>
      </c>
      <c r="I407">
        <v>12</v>
      </c>
    </row>
    <row r="408" spans="1:9" x14ac:dyDescent="0.2">
      <c r="A408" s="16" t="s">
        <v>447</v>
      </c>
      <c r="B408" s="16" t="s">
        <v>10</v>
      </c>
      <c r="C408" s="2">
        <v>46076.860124074075</v>
      </c>
      <c r="D408">
        <v>15</v>
      </c>
      <c r="F408" s="2">
        <v>46076.52679074074</v>
      </c>
      <c r="G408" s="3">
        <v>46076</v>
      </c>
      <c r="H408" t="s">
        <v>11</v>
      </c>
      <c r="I408">
        <v>12</v>
      </c>
    </row>
    <row r="409" spans="1:9" x14ac:dyDescent="0.2">
      <c r="A409" s="16" t="s">
        <v>448</v>
      </c>
      <c r="B409" s="16" t="s">
        <v>10</v>
      </c>
      <c r="C409" s="2">
        <v>46076.891020543982</v>
      </c>
      <c r="D409">
        <v>15</v>
      </c>
      <c r="F409" s="2">
        <v>46076.557687210647</v>
      </c>
      <c r="G409" s="3">
        <v>46076</v>
      </c>
      <c r="H409" t="s">
        <v>11</v>
      </c>
      <c r="I409">
        <v>13</v>
      </c>
    </row>
    <row r="410" spans="1:9" x14ac:dyDescent="0.2">
      <c r="A410" s="16" t="s">
        <v>449</v>
      </c>
      <c r="B410" s="16" t="s">
        <v>10</v>
      </c>
      <c r="C410" s="2">
        <v>46076.920120717594</v>
      </c>
      <c r="D410">
        <v>15</v>
      </c>
      <c r="F410" s="2">
        <v>46076.586787384258</v>
      </c>
      <c r="G410" s="3">
        <v>46076</v>
      </c>
      <c r="H410" t="s">
        <v>11</v>
      </c>
      <c r="I410">
        <v>14</v>
      </c>
    </row>
    <row r="411" spans="1:9" x14ac:dyDescent="0.2">
      <c r="A411" s="16" t="s">
        <v>450</v>
      </c>
      <c r="B411" s="16" t="s">
        <v>10</v>
      </c>
      <c r="C411" s="2">
        <v>46076.990234398145</v>
      </c>
      <c r="D411">
        <v>15</v>
      </c>
      <c r="F411" s="2">
        <v>46076.656901064816</v>
      </c>
      <c r="G411" s="3">
        <v>46076</v>
      </c>
      <c r="H411" t="s">
        <v>11</v>
      </c>
      <c r="I411">
        <v>15</v>
      </c>
    </row>
    <row r="412" spans="1:9" x14ac:dyDescent="0.2">
      <c r="A412" s="16" t="s">
        <v>451</v>
      </c>
      <c r="B412" s="16" t="s">
        <v>10</v>
      </c>
      <c r="C412" s="2">
        <v>46076.998949513887</v>
      </c>
      <c r="D412">
        <v>2</v>
      </c>
      <c r="E412" s="7" t="s">
        <v>452</v>
      </c>
      <c r="F412" s="2">
        <v>46076.665616180559</v>
      </c>
      <c r="G412" s="3">
        <v>46076</v>
      </c>
      <c r="H412" t="s">
        <v>11</v>
      </c>
      <c r="I412">
        <v>15</v>
      </c>
    </row>
    <row r="413" spans="1:9" x14ac:dyDescent="0.2">
      <c r="A413" s="16" t="s">
        <v>453</v>
      </c>
      <c r="B413" s="16" t="s">
        <v>10</v>
      </c>
      <c r="C413" s="2">
        <v>46077.004805914352</v>
      </c>
      <c r="D413">
        <v>2</v>
      </c>
      <c r="E413" s="7" t="s">
        <v>452</v>
      </c>
      <c r="F413" s="2">
        <v>46076.671472581016</v>
      </c>
      <c r="G413" s="3">
        <v>46076</v>
      </c>
      <c r="H413" t="s">
        <v>11</v>
      </c>
      <c r="I413">
        <v>16</v>
      </c>
    </row>
    <row r="414" spans="1:9" x14ac:dyDescent="0.2">
      <c r="A414" s="16" t="s">
        <v>454</v>
      </c>
      <c r="B414" s="16" t="s">
        <v>10</v>
      </c>
      <c r="C414" s="2">
        <v>46077.005176261577</v>
      </c>
      <c r="D414">
        <v>15</v>
      </c>
      <c r="F414" s="2">
        <v>46076.671842928241</v>
      </c>
      <c r="G414" s="3">
        <v>46076</v>
      </c>
      <c r="H414" t="s">
        <v>11</v>
      </c>
      <c r="I414">
        <v>16</v>
      </c>
    </row>
    <row r="415" spans="1:9" x14ac:dyDescent="0.2">
      <c r="A415" s="16" t="s">
        <v>455</v>
      </c>
      <c r="B415" s="16" t="s">
        <v>10</v>
      </c>
      <c r="C415" s="2">
        <v>46077.045698298614</v>
      </c>
      <c r="D415">
        <v>2</v>
      </c>
      <c r="E415" s="7" t="s">
        <v>452</v>
      </c>
      <c r="F415" s="2">
        <v>46076.712364965279</v>
      </c>
      <c r="G415" s="3">
        <v>46076</v>
      </c>
      <c r="H415" t="s">
        <v>11</v>
      </c>
      <c r="I415">
        <v>17</v>
      </c>
    </row>
    <row r="416" spans="1:9" x14ac:dyDescent="0.2">
      <c r="A416" s="16" t="s">
        <v>791</v>
      </c>
      <c r="B416" s="16" t="s">
        <v>10</v>
      </c>
      <c r="C416" s="2">
        <v>46077.048480567129</v>
      </c>
      <c r="D416">
        <v>15</v>
      </c>
      <c r="F416" s="2">
        <v>46076.715147233794</v>
      </c>
      <c r="G416" s="3">
        <v>46076</v>
      </c>
      <c r="H416" t="s">
        <v>11</v>
      </c>
      <c r="I416">
        <v>17</v>
      </c>
    </row>
    <row r="417" spans="1:9" x14ac:dyDescent="0.2">
      <c r="A417" s="16" t="s">
        <v>456</v>
      </c>
      <c r="B417" s="16" t="s">
        <v>10</v>
      </c>
      <c r="C417" s="2">
        <v>46077.051349363428</v>
      </c>
      <c r="D417">
        <v>15</v>
      </c>
      <c r="F417" s="2">
        <v>46076.718016030092</v>
      </c>
      <c r="G417" s="3">
        <v>46076</v>
      </c>
      <c r="H417" t="s">
        <v>11</v>
      </c>
      <c r="I417">
        <v>17</v>
      </c>
    </row>
    <row r="418" spans="1:9" x14ac:dyDescent="0.2">
      <c r="A418" s="16" t="s">
        <v>457</v>
      </c>
      <c r="B418" s="16" t="s">
        <v>10</v>
      </c>
      <c r="C418" s="2">
        <v>46077.128433634258</v>
      </c>
      <c r="D418">
        <v>15</v>
      </c>
      <c r="F418" s="2">
        <v>46076.795100300929</v>
      </c>
      <c r="G418" s="3">
        <v>46076</v>
      </c>
      <c r="H418" t="s">
        <v>11</v>
      </c>
      <c r="I418">
        <v>19</v>
      </c>
    </row>
    <row r="419" spans="1:9" x14ac:dyDescent="0.2">
      <c r="A419" s="16" t="s">
        <v>458</v>
      </c>
      <c r="B419" s="16" t="s">
        <v>10</v>
      </c>
      <c r="C419" s="2">
        <v>46077.169454317132</v>
      </c>
      <c r="D419">
        <v>2</v>
      </c>
      <c r="E419" s="7" t="s">
        <v>452</v>
      </c>
      <c r="F419" s="2">
        <v>46076.836120983797</v>
      </c>
      <c r="G419" s="3">
        <v>46076</v>
      </c>
      <c r="H419" t="s">
        <v>11</v>
      </c>
      <c r="I419">
        <v>20</v>
      </c>
    </row>
    <row r="420" spans="1:9" x14ac:dyDescent="0.2">
      <c r="A420" s="16" t="s">
        <v>459</v>
      </c>
      <c r="B420" s="16" t="s">
        <v>10</v>
      </c>
      <c r="C420" s="2">
        <v>46077.177911817133</v>
      </c>
      <c r="D420">
        <v>15</v>
      </c>
      <c r="F420" s="2">
        <v>46076.844578483797</v>
      </c>
      <c r="G420" s="3">
        <v>46076</v>
      </c>
      <c r="H420" t="s">
        <v>11</v>
      </c>
      <c r="I420">
        <v>20</v>
      </c>
    </row>
    <row r="421" spans="1:9" x14ac:dyDescent="0.2">
      <c r="A421" s="16" t="s">
        <v>460</v>
      </c>
      <c r="B421" s="16" t="s">
        <v>10</v>
      </c>
      <c r="C421" s="2">
        <v>46077.223100347219</v>
      </c>
      <c r="D421">
        <v>35</v>
      </c>
      <c r="F421" s="2">
        <v>46076.88976701389</v>
      </c>
      <c r="G421" s="3">
        <v>46076</v>
      </c>
      <c r="H421" t="s">
        <v>11</v>
      </c>
      <c r="I421">
        <v>21</v>
      </c>
    </row>
    <row r="422" spans="1:9" x14ac:dyDescent="0.2">
      <c r="A422" s="16" t="s">
        <v>461</v>
      </c>
      <c r="B422" s="16" t="s">
        <v>10</v>
      </c>
      <c r="C422" s="2">
        <v>46077.230652511571</v>
      </c>
      <c r="D422">
        <v>15</v>
      </c>
      <c r="F422" s="2">
        <v>46076.897319178242</v>
      </c>
      <c r="G422" s="3">
        <v>46076</v>
      </c>
      <c r="H422" t="s">
        <v>11</v>
      </c>
      <c r="I422">
        <v>21</v>
      </c>
    </row>
    <row r="423" spans="1:9" x14ac:dyDescent="0.2">
      <c r="A423" s="16" t="s">
        <v>462</v>
      </c>
      <c r="B423" s="16" t="s">
        <v>10</v>
      </c>
      <c r="C423" s="2">
        <v>46077.24374327546</v>
      </c>
      <c r="D423">
        <v>36</v>
      </c>
      <c r="F423" s="2">
        <v>46076.910409942131</v>
      </c>
      <c r="G423" s="3">
        <v>46076</v>
      </c>
      <c r="H423" t="s">
        <v>11</v>
      </c>
      <c r="I423">
        <v>21</v>
      </c>
    </row>
    <row r="424" spans="1:9" x14ac:dyDescent="0.2">
      <c r="A424" s="16" t="s">
        <v>463</v>
      </c>
      <c r="B424" s="16" t="s">
        <v>10</v>
      </c>
      <c r="C424" s="2">
        <v>46077.277093402779</v>
      </c>
      <c r="D424">
        <v>634</v>
      </c>
      <c r="E424" s="7" t="s">
        <v>429</v>
      </c>
      <c r="F424" s="2">
        <v>46076.943760069444</v>
      </c>
      <c r="G424" s="3">
        <v>46076</v>
      </c>
      <c r="H424" t="s">
        <v>11</v>
      </c>
      <c r="I424">
        <v>22</v>
      </c>
    </row>
    <row r="425" spans="1:9" x14ac:dyDescent="0.2">
      <c r="A425" s="16" t="s">
        <v>464</v>
      </c>
      <c r="B425" s="16" t="s">
        <v>10</v>
      </c>
      <c r="C425" s="2">
        <v>46077.309574652776</v>
      </c>
      <c r="D425">
        <v>4</v>
      </c>
      <c r="F425" s="2">
        <v>46076.976241319448</v>
      </c>
      <c r="G425" s="3">
        <v>46076</v>
      </c>
      <c r="H425" t="s">
        <v>11</v>
      </c>
      <c r="I425">
        <v>23</v>
      </c>
    </row>
    <row r="426" spans="1:9" x14ac:dyDescent="0.2">
      <c r="A426" s="16" t="s">
        <v>465</v>
      </c>
      <c r="B426" s="16" t="s">
        <v>10</v>
      </c>
      <c r="C426" s="2">
        <v>46077.350598055556</v>
      </c>
      <c r="D426">
        <v>3</v>
      </c>
      <c r="F426" s="2">
        <v>46077.017264722221</v>
      </c>
      <c r="G426" s="3">
        <v>46077</v>
      </c>
      <c r="H426" t="s">
        <v>28</v>
      </c>
      <c r="I426">
        <v>0</v>
      </c>
    </row>
    <row r="427" spans="1:9" x14ac:dyDescent="0.2">
      <c r="A427" s="16" t="s">
        <v>466</v>
      </c>
      <c r="B427" s="16" t="s">
        <v>10</v>
      </c>
      <c r="C427" s="2">
        <v>46077.360396979166</v>
      </c>
      <c r="D427">
        <v>2</v>
      </c>
      <c r="E427" s="7" t="s">
        <v>467</v>
      </c>
      <c r="F427" s="2">
        <v>46077.02706364583</v>
      </c>
      <c r="G427" s="3">
        <v>46077</v>
      </c>
      <c r="H427" t="s">
        <v>28</v>
      </c>
      <c r="I427">
        <v>0</v>
      </c>
    </row>
    <row r="428" spans="1:9" x14ac:dyDescent="0.2">
      <c r="A428" s="16" t="s">
        <v>468</v>
      </c>
      <c r="B428" s="16" t="s">
        <v>10</v>
      </c>
      <c r="C428" s="2">
        <v>46077.363071168984</v>
      </c>
      <c r="D428">
        <v>3</v>
      </c>
      <c r="E428" s="7" t="s">
        <v>469</v>
      </c>
      <c r="F428" s="2">
        <v>46077.029737835648</v>
      </c>
      <c r="G428" s="3">
        <v>46077</v>
      </c>
      <c r="H428" t="s">
        <v>28</v>
      </c>
      <c r="I428">
        <v>0</v>
      </c>
    </row>
    <row r="429" spans="1:9" x14ac:dyDescent="0.2">
      <c r="A429" s="16" t="s">
        <v>470</v>
      </c>
      <c r="B429" s="16" t="s">
        <v>10</v>
      </c>
      <c r="C429" s="2">
        <v>46077.368928206015</v>
      </c>
      <c r="D429">
        <v>2</v>
      </c>
      <c r="F429" s="2">
        <v>46077.035594872686</v>
      </c>
      <c r="G429" s="3">
        <v>46077</v>
      </c>
      <c r="H429" t="s">
        <v>28</v>
      </c>
      <c r="I429">
        <v>0</v>
      </c>
    </row>
    <row r="430" spans="1:9" x14ac:dyDescent="0.2">
      <c r="A430" s="16" t="s">
        <v>471</v>
      </c>
      <c r="B430" s="16" t="s">
        <v>10</v>
      </c>
      <c r="C430" s="2">
        <v>46077.373951226851</v>
      </c>
      <c r="D430">
        <v>36</v>
      </c>
      <c r="F430" s="2">
        <v>46077.040617893515</v>
      </c>
      <c r="G430" s="3">
        <v>46077</v>
      </c>
      <c r="H430" t="s">
        <v>28</v>
      </c>
      <c r="I430">
        <v>0</v>
      </c>
    </row>
    <row r="431" spans="1:9" x14ac:dyDescent="0.2">
      <c r="A431" s="16" t="s">
        <v>472</v>
      </c>
      <c r="B431" s="16" t="s">
        <v>10</v>
      </c>
      <c r="C431" s="2">
        <v>46077.381797986112</v>
      </c>
      <c r="D431">
        <v>2</v>
      </c>
      <c r="F431" s="2">
        <v>46077.048464652777</v>
      </c>
      <c r="G431" s="3">
        <v>46077</v>
      </c>
      <c r="H431" t="s">
        <v>28</v>
      </c>
      <c r="I431">
        <v>1</v>
      </c>
    </row>
    <row r="432" spans="1:9" x14ac:dyDescent="0.2">
      <c r="A432" s="16" t="s">
        <v>473</v>
      </c>
      <c r="B432" s="16" t="s">
        <v>10</v>
      </c>
      <c r="C432" s="2">
        <v>46077.382139097223</v>
      </c>
      <c r="D432">
        <v>2</v>
      </c>
      <c r="F432" s="2">
        <v>46077.048805763887</v>
      </c>
      <c r="G432" s="3">
        <v>46077</v>
      </c>
      <c r="H432" t="s">
        <v>28</v>
      </c>
      <c r="I432">
        <v>1</v>
      </c>
    </row>
    <row r="433" spans="1:9" x14ac:dyDescent="0.2">
      <c r="A433" s="16" t="s">
        <v>474</v>
      </c>
      <c r="B433" s="16" t="s">
        <v>10</v>
      </c>
      <c r="C433" s="2">
        <v>46077.393973715276</v>
      </c>
      <c r="D433">
        <v>3</v>
      </c>
      <c r="F433" s="2">
        <v>46077.060640381947</v>
      </c>
      <c r="G433" s="3">
        <v>46077</v>
      </c>
      <c r="H433" t="s">
        <v>28</v>
      </c>
      <c r="I433">
        <v>1</v>
      </c>
    </row>
    <row r="434" spans="1:9" x14ac:dyDescent="0.2">
      <c r="A434" s="16" t="s">
        <v>475</v>
      </c>
      <c r="B434" s="16" t="s">
        <v>10</v>
      </c>
      <c r="C434" s="2">
        <v>46077.396026724535</v>
      </c>
      <c r="D434">
        <v>2</v>
      </c>
      <c r="F434" s="2">
        <v>46077.062693391206</v>
      </c>
      <c r="G434" s="3">
        <v>46077</v>
      </c>
      <c r="H434" t="s">
        <v>28</v>
      </c>
      <c r="I434">
        <v>1</v>
      </c>
    </row>
    <row r="435" spans="1:9" x14ac:dyDescent="0.2">
      <c r="A435" s="16" t="s">
        <v>476</v>
      </c>
      <c r="B435" s="16" t="s">
        <v>10</v>
      </c>
      <c r="C435" s="2">
        <v>46077.437228993054</v>
      </c>
      <c r="D435">
        <v>36</v>
      </c>
      <c r="E435" s="7" t="s">
        <v>477</v>
      </c>
      <c r="F435" s="2">
        <v>46077.103895659726</v>
      </c>
      <c r="G435" s="3">
        <v>46077</v>
      </c>
      <c r="H435" t="s">
        <v>28</v>
      </c>
      <c r="I435">
        <v>2</v>
      </c>
    </row>
    <row r="436" spans="1:9" x14ac:dyDescent="0.2">
      <c r="A436" s="16" t="s">
        <v>478</v>
      </c>
      <c r="B436" s="16" t="s">
        <v>10</v>
      </c>
      <c r="C436" s="2">
        <v>46077.437856620367</v>
      </c>
      <c r="D436">
        <v>36</v>
      </c>
      <c r="F436" s="2">
        <v>46077.104523287038</v>
      </c>
      <c r="G436" s="3">
        <v>46077</v>
      </c>
      <c r="H436" t="s">
        <v>28</v>
      </c>
      <c r="I436">
        <v>2</v>
      </c>
    </row>
    <row r="437" spans="1:9" x14ac:dyDescent="0.2">
      <c r="A437" s="16" t="s">
        <v>479</v>
      </c>
      <c r="B437" s="16" t="s">
        <v>10</v>
      </c>
      <c r="C437" s="2">
        <v>46077.439054479168</v>
      </c>
      <c r="D437">
        <v>36</v>
      </c>
      <c r="F437" s="2">
        <v>46077.105721145832</v>
      </c>
      <c r="G437" s="3">
        <v>46077</v>
      </c>
      <c r="H437" t="s">
        <v>28</v>
      </c>
      <c r="I437">
        <v>2</v>
      </c>
    </row>
    <row r="438" spans="1:9" x14ac:dyDescent="0.2">
      <c r="A438" s="16" t="s">
        <v>480</v>
      </c>
      <c r="B438" s="16" t="s">
        <v>10</v>
      </c>
      <c r="C438" s="2">
        <v>46077.440036030093</v>
      </c>
      <c r="D438">
        <v>3</v>
      </c>
      <c r="E438" s="7" t="s">
        <v>34</v>
      </c>
      <c r="F438" s="2">
        <v>46077.106702696758</v>
      </c>
      <c r="G438" s="3">
        <v>46077</v>
      </c>
      <c r="H438" t="s">
        <v>28</v>
      </c>
      <c r="I438">
        <v>2</v>
      </c>
    </row>
    <row r="439" spans="1:9" x14ac:dyDescent="0.2">
      <c r="A439" s="16" t="s">
        <v>481</v>
      </c>
      <c r="B439" s="16" t="s">
        <v>10</v>
      </c>
      <c r="C439" s="2">
        <v>46077.451396550925</v>
      </c>
      <c r="D439">
        <v>1</v>
      </c>
      <c r="F439" s="2">
        <v>46077.118063217589</v>
      </c>
      <c r="G439" s="3">
        <v>46077</v>
      </c>
      <c r="H439" t="s">
        <v>28</v>
      </c>
      <c r="I439">
        <v>2</v>
      </c>
    </row>
    <row r="440" spans="1:9" x14ac:dyDescent="0.2">
      <c r="A440" s="16" t="s">
        <v>1262</v>
      </c>
      <c r="B440" s="16" t="s">
        <v>10</v>
      </c>
      <c r="C440" s="2">
        <v>46077.451602905094</v>
      </c>
      <c r="D440">
        <v>1</v>
      </c>
      <c r="F440" s="2">
        <v>46077.118269571758</v>
      </c>
      <c r="G440" s="3">
        <v>46077</v>
      </c>
      <c r="H440" t="s">
        <v>28</v>
      </c>
      <c r="I440">
        <v>2</v>
      </c>
    </row>
    <row r="441" spans="1:9" x14ac:dyDescent="0.2">
      <c r="A441" s="16" t="s">
        <v>482</v>
      </c>
      <c r="B441" s="16" t="s">
        <v>10</v>
      </c>
      <c r="C441" s="2">
        <v>46077.46948954861</v>
      </c>
      <c r="D441">
        <v>3</v>
      </c>
      <c r="F441" s="2">
        <v>46077.136156215274</v>
      </c>
      <c r="G441" s="3">
        <v>46077</v>
      </c>
      <c r="H441" t="s">
        <v>28</v>
      </c>
      <c r="I441">
        <v>3</v>
      </c>
    </row>
    <row r="442" spans="1:9" x14ac:dyDescent="0.2">
      <c r="A442" s="16" t="s">
        <v>483</v>
      </c>
      <c r="B442" s="16" t="s">
        <v>10</v>
      </c>
      <c r="C442" s="2">
        <v>46077.491074907404</v>
      </c>
      <c r="D442">
        <v>36</v>
      </c>
      <c r="F442" s="2">
        <v>46077.157741574076</v>
      </c>
      <c r="G442" s="3">
        <v>46077</v>
      </c>
      <c r="H442" t="s">
        <v>28</v>
      </c>
      <c r="I442">
        <v>3</v>
      </c>
    </row>
    <row r="443" spans="1:9" x14ac:dyDescent="0.2">
      <c r="A443" s="16" t="s">
        <v>946</v>
      </c>
      <c r="B443" s="16" t="s">
        <v>10</v>
      </c>
      <c r="C443" s="2">
        <v>46077.491989953705</v>
      </c>
      <c r="D443">
        <v>36</v>
      </c>
      <c r="F443" s="2">
        <v>46077.15865662037</v>
      </c>
      <c r="G443" s="3">
        <v>46077</v>
      </c>
      <c r="H443" t="s">
        <v>28</v>
      </c>
      <c r="I443">
        <v>3</v>
      </c>
    </row>
    <row r="444" spans="1:9" x14ac:dyDescent="0.2">
      <c r="A444" s="16" t="s">
        <v>484</v>
      </c>
      <c r="B444" s="16" t="s">
        <v>10</v>
      </c>
      <c r="C444" s="2">
        <v>46077.494195949075</v>
      </c>
      <c r="D444">
        <v>433</v>
      </c>
      <c r="E444" s="7" t="s">
        <v>34</v>
      </c>
      <c r="F444" s="2">
        <v>46077.160862615739</v>
      </c>
      <c r="G444" s="3">
        <v>46077</v>
      </c>
      <c r="H444" t="s">
        <v>28</v>
      </c>
      <c r="I444">
        <v>3</v>
      </c>
    </row>
    <row r="445" spans="1:9" x14ac:dyDescent="0.2">
      <c r="A445" s="16" t="s">
        <v>485</v>
      </c>
      <c r="B445" s="16" t="s">
        <v>10</v>
      </c>
      <c r="C445" s="2">
        <v>46077.505714074076</v>
      </c>
      <c r="D445">
        <v>36</v>
      </c>
      <c r="F445" s="2">
        <v>46077.17238074074</v>
      </c>
      <c r="G445" s="3">
        <v>46077</v>
      </c>
      <c r="H445" t="s">
        <v>28</v>
      </c>
      <c r="I445">
        <v>4</v>
      </c>
    </row>
    <row r="446" spans="1:9" x14ac:dyDescent="0.2">
      <c r="A446" s="16" t="s">
        <v>486</v>
      </c>
      <c r="B446" s="16" t="s">
        <v>10</v>
      </c>
      <c r="C446" s="2">
        <v>46077.514165960645</v>
      </c>
      <c r="D446">
        <v>2</v>
      </c>
      <c r="F446" s="2">
        <v>46077.180832627317</v>
      </c>
      <c r="G446" s="3">
        <v>46077</v>
      </c>
      <c r="H446" t="s">
        <v>28</v>
      </c>
      <c r="I446">
        <v>4</v>
      </c>
    </row>
    <row r="447" spans="1:9" x14ac:dyDescent="0.2">
      <c r="A447" s="16" t="s">
        <v>487</v>
      </c>
      <c r="B447" s="16" t="s">
        <v>10</v>
      </c>
      <c r="C447" s="2">
        <v>46077.537039872688</v>
      </c>
      <c r="D447">
        <v>433</v>
      </c>
      <c r="F447" s="2">
        <v>46077.203706539352</v>
      </c>
      <c r="G447" s="3">
        <v>46077</v>
      </c>
      <c r="H447" t="s">
        <v>28</v>
      </c>
      <c r="I447">
        <v>4</v>
      </c>
    </row>
    <row r="448" spans="1:9" x14ac:dyDescent="0.2">
      <c r="A448" s="16" t="s">
        <v>488</v>
      </c>
      <c r="B448" s="16" t="s">
        <v>10</v>
      </c>
      <c r="C448" s="2">
        <v>46077.564513194447</v>
      </c>
      <c r="D448">
        <v>15</v>
      </c>
      <c r="F448" s="2">
        <v>46077.231179861112</v>
      </c>
      <c r="G448" s="3">
        <v>46077</v>
      </c>
      <c r="H448" t="s">
        <v>28</v>
      </c>
      <c r="I448">
        <v>5</v>
      </c>
    </row>
    <row r="449" spans="1:9" x14ac:dyDescent="0.2">
      <c r="A449" s="16" t="s">
        <v>489</v>
      </c>
      <c r="B449" s="16" t="s">
        <v>10</v>
      </c>
      <c r="C449" s="2">
        <v>46077.564541828702</v>
      </c>
      <c r="D449">
        <v>40</v>
      </c>
      <c r="F449" s="2">
        <v>46077.231208495374</v>
      </c>
      <c r="G449" s="3">
        <v>46077</v>
      </c>
      <c r="H449" t="s">
        <v>28</v>
      </c>
      <c r="I449">
        <v>5</v>
      </c>
    </row>
    <row r="450" spans="1:9" x14ac:dyDescent="0.2">
      <c r="A450" s="16" t="s">
        <v>490</v>
      </c>
      <c r="B450" s="16" t="s">
        <v>10</v>
      </c>
      <c r="C450" s="2">
        <v>46077.649010266206</v>
      </c>
      <c r="D450">
        <v>36</v>
      </c>
      <c r="F450" s="2">
        <v>46077.315676932871</v>
      </c>
      <c r="G450" s="3">
        <v>46077</v>
      </c>
      <c r="H450" t="s">
        <v>28</v>
      </c>
      <c r="I450">
        <v>7</v>
      </c>
    </row>
    <row r="451" spans="1:9" x14ac:dyDescent="0.2">
      <c r="A451" s="16" t="s">
        <v>491</v>
      </c>
      <c r="B451" s="16" t="s">
        <v>10</v>
      </c>
      <c r="C451" s="2">
        <v>46077.65745471065</v>
      </c>
      <c r="D451">
        <v>36</v>
      </c>
      <c r="F451" s="2">
        <v>46077.324121377314</v>
      </c>
      <c r="G451" s="3">
        <v>46077</v>
      </c>
      <c r="H451" t="s">
        <v>28</v>
      </c>
      <c r="I451">
        <v>7</v>
      </c>
    </row>
    <row r="452" spans="1:9" x14ac:dyDescent="0.2">
      <c r="A452" s="16" t="s">
        <v>492</v>
      </c>
      <c r="B452" s="16" t="s">
        <v>10</v>
      </c>
      <c r="C452" s="2">
        <v>46077.667570949074</v>
      </c>
      <c r="D452">
        <v>3</v>
      </c>
      <c r="F452" s="2">
        <v>46077.334237615738</v>
      </c>
      <c r="G452" s="3">
        <v>46077</v>
      </c>
      <c r="H452" t="s">
        <v>28</v>
      </c>
      <c r="I452">
        <v>8</v>
      </c>
    </row>
    <row r="453" spans="1:9" x14ac:dyDescent="0.2">
      <c r="A453" s="16" t="s">
        <v>493</v>
      </c>
      <c r="B453" s="16" t="s">
        <v>10</v>
      </c>
      <c r="C453" s="2">
        <v>46077.675355856481</v>
      </c>
      <c r="D453">
        <v>36</v>
      </c>
      <c r="F453" s="2">
        <v>46077.342022523146</v>
      </c>
      <c r="G453" s="3">
        <v>46077</v>
      </c>
      <c r="H453" t="s">
        <v>28</v>
      </c>
      <c r="I453">
        <v>8</v>
      </c>
    </row>
    <row r="454" spans="1:9" x14ac:dyDescent="0.2">
      <c r="A454" s="16" t="s">
        <v>494</v>
      </c>
      <c r="B454" s="16" t="s">
        <v>10</v>
      </c>
      <c r="C454" s="2">
        <v>46078.274521087966</v>
      </c>
      <c r="D454">
        <v>2</v>
      </c>
      <c r="F454" s="2">
        <v>46077.94118775463</v>
      </c>
      <c r="G454" s="3">
        <v>46077</v>
      </c>
      <c r="H454" t="s">
        <v>28</v>
      </c>
      <c r="I454">
        <v>22</v>
      </c>
    </row>
    <row r="455" spans="1:9" x14ac:dyDescent="0.2">
      <c r="A455" s="16" t="s">
        <v>495</v>
      </c>
      <c r="B455" s="16" t="s">
        <v>10</v>
      </c>
      <c r="C455" s="2">
        <v>46078.306234791664</v>
      </c>
      <c r="D455">
        <v>36</v>
      </c>
      <c r="F455" s="2">
        <v>46077.972901458335</v>
      </c>
      <c r="G455" s="3">
        <v>46077</v>
      </c>
      <c r="H455" t="s">
        <v>28</v>
      </c>
      <c r="I455">
        <v>23</v>
      </c>
    </row>
    <row r="456" spans="1:9" x14ac:dyDescent="0.2">
      <c r="A456" s="16" t="s">
        <v>496</v>
      </c>
      <c r="B456" s="16" t="s">
        <v>10</v>
      </c>
      <c r="C456" s="2">
        <v>46078.320153171298</v>
      </c>
      <c r="D456">
        <v>2</v>
      </c>
      <c r="F456" s="2">
        <v>46077.986819837963</v>
      </c>
      <c r="G456" s="3">
        <v>46077</v>
      </c>
      <c r="H456" t="s">
        <v>28</v>
      </c>
      <c r="I456">
        <v>23</v>
      </c>
    </row>
    <row r="457" spans="1:9" x14ac:dyDescent="0.2">
      <c r="A457" s="16" t="s">
        <v>1081</v>
      </c>
      <c r="B457" s="16" t="s">
        <v>10</v>
      </c>
      <c r="C457" s="2">
        <v>46078.321915578701</v>
      </c>
      <c r="D457">
        <v>36</v>
      </c>
      <c r="F457" s="2">
        <v>46077.988582245373</v>
      </c>
      <c r="G457" s="3">
        <v>46077</v>
      </c>
      <c r="H457" t="s">
        <v>28</v>
      </c>
      <c r="I457">
        <v>23</v>
      </c>
    </row>
    <row r="458" spans="1:9" x14ac:dyDescent="0.2">
      <c r="A458" s="16" t="s">
        <v>1275</v>
      </c>
      <c r="B458" s="16" t="s">
        <v>10</v>
      </c>
      <c r="C458" s="2">
        <v>46078.328813842592</v>
      </c>
      <c r="D458">
        <v>36</v>
      </c>
      <c r="F458" s="2">
        <v>46077.995480509257</v>
      </c>
      <c r="G458" s="3">
        <v>46077</v>
      </c>
      <c r="H458" t="s">
        <v>28</v>
      </c>
      <c r="I458">
        <v>23</v>
      </c>
    </row>
    <row r="459" spans="1:9" x14ac:dyDescent="0.2">
      <c r="A459" s="16" t="s">
        <v>897</v>
      </c>
      <c r="B459" s="16" t="s">
        <v>10</v>
      </c>
      <c r="C459" s="2">
        <v>46078.332020439811</v>
      </c>
      <c r="D459">
        <v>2</v>
      </c>
      <c r="F459" s="2">
        <v>46077.998687106483</v>
      </c>
      <c r="G459" s="3">
        <v>46077</v>
      </c>
      <c r="H459" t="s">
        <v>28</v>
      </c>
      <c r="I459">
        <v>23</v>
      </c>
    </row>
    <row r="460" spans="1:9" x14ac:dyDescent="0.2">
      <c r="A460" s="16" t="s">
        <v>497</v>
      </c>
      <c r="B460" s="16" t="s">
        <v>10</v>
      </c>
      <c r="C460" s="2">
        <v>46078.333439930553</v>
      </c>
      <c r="D460">
        <v>36</v>
      </c>
      <c r="F460" s="2">
        <v>46078.000106597225</v>
      </c>
      <c r="G460" s="3">
        <v>46078</v>
      </c>
      <c r="H460" t="s">
        <v>63</v>
      </c>
      <c r="I460">
        <v>0</v>
      </c>
    </row>
    <row r="461" spans="1:9" x14ac:dyDescent="0.2">
      <c r="A461" s="16" t="s">
        <v>498</v>
      </c>
      <c r="B461" s="16" t="s">
        <v>10</v>
      </c>
      <c r="C461" s="2">
        <v>46078.480629386577</v>
      </c>
      <c r="D461">
        <v>4</v>
      </c>
      <c r="F461" s="2">
        <v>46078.147296053241</v>
      </c>
      <c r="G461" s="3">
        <v>46078</v>
      </c>
      <c r="H461" t="s">
        <v>63</v>
      </c>
      <c r="I461">
        <v>3</v>
      </c>
    </row>
    <row r="462" spans="1:9" x14ac:dyDescent="0.2">
      <c r="A462" s="16" t="s">
        <v>499</v>
      </c>
      <c r="B462" s="16" t="s">
        <v>10</v>
      </c>
      <c r="C462" s="2">
        <v>46079.296235555557</v>
      </c>
      <c r="D462">
        <v>632</v>
      </c>
      <c r="E462" s="7" t="s">
        <v>429</v>
      </c>
      <c r="F462" s="2">
        <v>46078.962902222222</v>
      </c>
      <c r="G462" s="3">
        <v>46078</v>
      </c>
      <c r="H462" t="s">
        <v>63</v>
      </c>
      <c r="I462">
        <v>23</v>
      </c>
    </row>
    <row r="463" spans="1:9" x14ac:dyDescent="0.2">
      <c r="A463" s="16" t="s">
        <v>500</v>
      </c>
      <c r="B463" s="16" t="s">
        <v>10</v>
      </c>
      <c r="C463" s="2">
        <v>46079.387502905091</v>
      </c>
      <c r="D463">
        <v>2</v>
      </c>
      <c r="F463" s="2">
        <v>46079.054169571762</v>
      </c>
      <c r="G463" s="3">
        <v>46079</v>
      </c>
      <c r="H463" t="s">
        <v>95</v>
      </c>
      <c r="I463">
        <v>1</v>
      </c>
    </row>
    <row r="464" spans="1:9" x14ac:dyDescent="0.2">
      <c r="A464" s="16" t="s">
        <v>792</v>
      </c>
      <c r="B464" s="16" t="s">
        <v>10</v>
      </c>
      <c r="C464" s="2">
        <v>46079.389725972222</v>
      </c>
      <c r="D464">
        <v>16</v>
      </c>
      <c r="F464" s="2">
        <v>46079.056392638886</v>
      </c>
      <c r="G464" s="3">
        <v>46079</v>
      </c>
      <c r="H464" t="s">
        <v>95</v>
      </c>
      <c r="I464">
        <v>1</v>
      </c>
    </row>
    <row r="465" spans="1:9" x14ac:dyDescent="0.2">
      <c r="A465" s="16" t="s">
        <v>501</v>
      </c>
      <c r="B465" s="16" t="s">
        <v>10</v>
      </c>
      <c r="C465" s="2">
        <v>46079.397686087963</v>
      </c>
      <c r="D465">
        <v>6</v>
      </c>
      <c r="F465" s="2">
        <v>46079.064352754627</v>
      </c>
      <c r="G465" s="3">
        <v>46079</v>
      </c>
      <c r="H465" t="s">
        <v>95</v>
      </c>
      <c r="I465">
        <v>1</v>
      </c>
    </row>
    <row r="466" spans="1:9" x14ac:dyDescent="0.2">
      <c r="A466" s="16" t="s">
        <v>502</v>
      </c>
      <c r="B466" s="16" t="s">
        <v>10</v>
      </c>
      <c r="C466" s="2">
        <v>46079.684989756941</v>
      </c>
      <c r="D466">
        <v>433</v>
      </c>
      <c r="E466" s="7" t="s">
        <v>34</v>
      </c>
      <c r="F466" s="2">
        <v>46079.351656423612</v>
      </c>
      <c r="G466" s="3">
        <v>46079</v>
      </c>
      <c r="H466" t="s">
        <v>95</v>
      </c>
      <c r="I466">
        <v>8</v>
      </c>
    </row>
    <row r="467" spans="1:9" x14ac:dyDescent="0.2">
      <c r="A467" s="16" t="s">
        <v>503</v>
      </c>
      <c r="B467" s="16" t="s">
        <v>10</v>
      </c>
      <c r="C467" s="2">
        <v>46079.748997418981</v>
      </c>
      <c r="D467">
        <v>1</v>
      </c>
      <c r="E467" s="7" t="s">
        <v>504</v>
      </c>
      <c r="F467" s="2">
        <v>46079.415664085645</v>
      </c>
      <c r="G467" s="3">
        <v>46079</v>
      </c>
      <c r="H467" t="s">
        <v>95</v>
      </c>
      <c r="I467">
        <v>9</v>
      </c>
    </row>
    <row r="468" spans="1:9" x14ac:dyDescent="0.2">
      <c r="A468" s="16" t="s">
        <v>505</v>
      </c>
      <c r="B468" s="16" t="s">
        <v>10</v>
      </c>
      <c r="C468" s="2">
        <v>46079.750627372683</v>
      </c>
      <c r="D468">
        <v>1</v>
      </c>
      <c r="E468" s="7" t="s">
        <v>504</v>
      </c>
      <c r="F468" s="2">
        <v>46079.417294039355</v>
      </c>
      <c r="G468" s="3">
        <v>46079</v>
      </c>
      <c r="H468" t="s">
        <v>95</v>
      </c>
      <c r="I468">
        <v>10</v>
      </c>
    </row>
    <row r="469" spans="1:9" x14ac:dyDescent="0.2">
      <c r="A469" s="16" t="s">
        <v>506</v>
      </c>
      <c r="B469" s="16" t="s">
        <v>10</v>
      </c>
      <c r="C469" s="2">
        <v>46079.752973229166</v>
      </c>
      <c r="D469">
        <v>1</v>
      </c>
      <c r="E469" s="7" t="s">
        <v>507</v>
      </c>
      <c r="F469" s="2">
        <v>46079.41963989583</v>
      </c>
      <c r="G469" s="3">
        <v>46079</v>
      </c>
      <c r="H469" t="s">
        <v>95</v>
      </c>
      <c r="I469">
        <v>10</v>
      </c>
    </row>
    <row r="470" spans="1:9" x14ac:dyDescent="0.2">
      <c r="A470" s="16" t="s">
        <v>508</v>
      </c>
      <c r="B470" s="16" t="s">
        <v>10</v>
      </c>
      <c r="C470" s="2">
        <v>46079.755637569448</v>
      </c>
      <c r="D470">
        <v>1</v>
      </c>
      <c r="F470" s="2">
        <v>46079.422304236112</v>
      </c>
      <c r="G470" s="3">
        <v>46079</v>
      </c>
      <c r="H470" t="s">
        <v>95</v>
      </c>
      <c r="I470">
        <v>10</v>
      </c>
    </row>
    <row r="471" spans="1:9" x14ac:dyDescent="0.2">
      <c r="A471" s="16" t="s">
        <v>509</v>
      </c>
      <c r="B471" s="16" t="s">
        <v>10</v>
      </c>
      <c r="C471" s="2">
        <v>46080.330947592593</v>
      </c>
      <c r="D471">
        <v>1</v>
      </c>
      <c r="F471" s="2">
        <v>46079.997614259257</v>
      </c>
      <c r="G471" s="3">
        <v>46079</v>
      </c>
      <c r="H471" t="s">
        <v>95</v>
      </c>
      <c r="I471">
        <v>23</v>
      </c>
    </row>
    <row r="472" spans="1:9" x14ac:dyDescent="0.2">
      <c r="A472" s="16" t="s">
        <v>510</v>
      </c>
      <c r="B472" s="16" t="s">
        <v>10</v>
      </c>
      <c r="C472" s="2">
        <v>46080.335563090281</v>
      </c>
      <c r="D472">
        <v>1</v>
      </c>
      <c r="F472" s="2">
        <v>46080.002229756945</v>
      </c>
      <c r="G472" s="3">
        <v>46080</v>
      </c>
      <c r="H472" t="s">
        <v>115</v>
      </c>
      <c r="I472">
        <v>0</v>
      </c>
    </row>
    <row r="473" spans="1:9" x14ac:dyDescent="0.2">
      <c r="A473" s="16" t="s">
        <v>511</v>
      </c>
      <c r="B473" s="16" t="s">
        <v>10</v>
      </c>
      <c r="C473" s="2">
        <v>46081.125514872685</v>
      </c>
      <c r="D473">
        <v>1</v>
      </c>
      <c r="F473" s="2">
        <v>46080.792181539349</v>
      </c>
      <c r="G473" s="3">
        <v>46080</v>
      </c>
      <c r="H473" t="s">
        <v>115</v>
      </c>
      <c r="I473">
        <v>19</v>
      </c>
    </row>
    <row r="474" spans="1:9" x14ac:dyDescent="0.2">
      <c r="A474" s="16" t="s">
        <v>512</v>
      </c>
      <c r="B474" s="16" t="s">
        <v>10</v>
      </c>
      <c r="C474" s="2">
        <v>46081.405227071758</v>
      </c>
      <c r="D474">
        <v>2</v>
      </c>
      <c r="F474" s="2">
        <v>46081.071893738423</v>
      </c>
      <c r="G474" s="3">
        <v>46081</v>
      </c>
      <c r="H474" t="s">
        <v>120</v>
      </c>
      <c r="I474">
        <v>1</v>
      </c>
    </row>
    <row r="475" spans="1:9" x14ac:dyDescent="0.2">
      <c r="A475" s="16" t="s">
        <v>513</v>
      </c>
      <c r="B475" s="16" t="s">
        <v>10</v>
      </c>
      <c r="C475" s="2">
        <v>46081.490657129631</v>
      </c>
      <c r="D475">
        <v>15</v>
      </c>
      <c r="F475" s="2">
        <v>46081.157323796295</v>
      </c>
      <c r="G475" s="3">
        <v>46081</v>
      </c>
      <c r="H475" t="s">
        <v>120</v>
      </c>
      <c r="I475">
        <v>3</v>
      </c>
    </row>
    <row r="476" spans="1:9" x14ac:dyDescent="0.2">
      <c r="A476" s="16" t="s">
        <v>514</v>
      </c>
      <c r="B476" s="16" t="s">
        <v>10</v>
      </c>
      <c r="C476" s="2">
        <v>46081.627891111108</v>
      </c>
      <c r="D476">
        <v>2</v>
      </c>
      <c r="F476" s="2">
        <v>46081.294557777779</v>
      </c>
      <c r="G476" s="3">
        <v>46081</v>
      </c>
      <c r="H476" t="s">
        <v>120</v>
      </c>
      <c r="I476">
        <v>7</v>
      </c>
    </row>
    <row r="477" spans="1:9" x14ac:dyDescent="0.2">
      <c r="A477" s="16" t="s">
        <v>515</v>
      </c>
      <c r="B477" s="16" t="s">
        <v>10</v>
      </c>
      <c r="C477" s="2">
        <v>46082.240478009262</v>
      </c>
      <c r="D477">
        <v>1</v>
      </c>
      <c r="F477" s="2">
        <v>46081.907144675926</v>
      </c>
      <c r="G477" s="3">
        <v>46081</v>
      </c>
      <c r="H477" t="s">
        <v>120</v>
      </c>
      <c r="I477">
        <v>21</v>
      </c>
    </row>
    <row r="478" spans="1:9" x14ac:dyDescent="0.2">
      <c r="A478" s="16" t="s">
        <v>516</v>
      </c>
      <c r="B478" s="16" t="s">
        <v>10</v>
      </c>
      <c r="C478" s="2">
        <v>46082.349136168981</v>
      </c>
      <c r="D478">
        <v>2</v>
      </c>
      <c r="E478" s="7" t="s">
        <v>517</v>
      </c>
      <c r="F478" s="2">
        <v>46082.015802835645</v>
      </c>
      <c r="G478" s="3">
        <v>46082</v>
      </c>
      <c r="H478" t="s">
        <v>125</v>
      </c>
      <c r="I478">
        <v>0</v>
      </c>
    </row>
    <row r="479" spans="1:9" x14ac:dyDescent="0.2">
      <c r="A479" s="16" t="s">
        <v>518</v>
      </c>
      <c r="B479" s="16" t="s">
        <v>10</v>
      </c>
      <c r="C479" s="2">
        <v>46082.449154097223</v>
      </c>
      <c r="D479">
        <v>35</v>
      </c>
      <c r="F479" s="2">
        <v>46082.115820763887</v>
      </c>
      <c r="G479" s="3">
        <v>46082</v>
      </c>
      <c r="H479" t="s">
        <v>125</v>
      </c>
      <c r="I479">
        <v>2</v>
      </c>
    </row>
    <row r="480" spans="1:9" x14ac:dyDescent="0.2">
      <c r="A480" s="16" t="s">
        <v>519</v>
      </c>
      <c r="B480" s="16" t="s">
        <v>10</v>
      </c>
      <c r="C480" s="2">
        <v>46082.520446203707</v>
      </c>
      <c r="D480">
        <v>2</v>
      </c>
      <c r="F480" s="2">
        <v>46082.187112870371</v>
      </c>
      <c r="G480" s="3">
        <v>46082</v>
      </c>
      <c r="H480" t="s">
        <v>125</v>
      </c>
      <c r="I480">
        <v>4</v>
      </c>
    </row>
    <row r="481" spans="1:9" x14ac:dyDescent="0.2">
      <c r="A481" s="16" t="s">
        <v>520</v>
      </c>
      <c r="B481" s="16" t="s">
        <v>10</v>
      </c>
      <c r="C481" s="2">
        <v>46082.768674120372</v>
      </c>
      <c r="D481">
        <v>2</v>
      </c>
      <c r="E481" s="7">
        <v>1036</v>
      </c>
      <c r="F481" s="2">
        <v>46082.435340787037</v>
      </c>
      <c r="G481" s="3">
        <v>46082</v>
      </c>
      <c r="H481" t="s">
        <v>125</v>
      </c>
      <c r="I481">
        <v>10</v>
      </c>
    </row>
    <row r="482" spans="1:9" x14ac:dyDescent="0.2">
      <c r="A482" s="16" t="s">
        <v>521</v>
      </c>
      <c r="B482" s="16" t="s">
        <v>10</v>
      </c>
      <c r="C482" s="2">
        <v>46082.866326377312</v>
      </c>
      <c r="D482">
        <v>15</v>
      </c>
      <c r="E482" s="7" t="s">
        <v>522</v>
      </c>
      <c r="F482" s="2">
        <v>46082.532993043984</v>
      </c>
      <c r="G482" s="3">
        <v>46082</v>
      </c>
      <c r="H482" t="s">
        <v>125</v>
      </c>
      <c r="I482">
        <v>12</v>
      </c>
    </row>
    <row r="483" spans="1:9" x14ac:dyDescent="0.2">
      <c r="A483" s="16" t="s">
        <v>523</v>
      </c>
      <c r="B483" s="16" t="s">
        <v>10</v>
      </c>
      <c r="C483" s="2">
        <v>46083.469445972223</v>
      </c>
      <c r="D483">
        <v>36</v>
      </c>
      <c r="F483" s="2">
        <v>46083.136112638887</v>
      </c>
      <c r="G483" s="3">
        <v>46083</v>
      </c>
      <c r="H483" t="s">
        <v>11</v>
      </c>
      <c r="I483">
        <v>3</v>
      </c>
    </row>
    <row r="484" spans="1:9" x14ac:dyDescent="0.2">
      <c r="A484" s="16" t="s">
        <v>524</v>
      </c>
      <c r="B484" s="16" t="s">
        <v>10</v>
      </c>
      <c r="C484" s="2">
        <v>46083.512231932873</v>
      </c>
      <c r="D484">
        <v>3</v>
      </c>
      <c r="E484" s="7" t="s">
        <v>31</v>
      </c>
      <c r="F484" s="2">
        <v>46083.178898599537</v>
      </c>
      <c r="G484" s="3">
        <v>46083</v>
      </c>
      <c r="H484" t="s">
        <v>11</v>
      </c>
      <c r="I484">
        <v>4</v>
      </c>
    </row>
    <row r="485" spans="1:9" x14ac:dyDescent="0.2">
      <c r="A485" s="16" t="s">
        <v>525</v>
      </c>
      <c r="B485" s="16" t="s">
        <v>10</v>
      </c>
      <c r="C485" s="2">
        <v>46083.553641481485</v>
      </c>
      <c r="D485">
        <v>471</v>
      </c>
      <c r="E485" s="7" t="s">
        <v>526</v>
      </c>
      <c r="F485" s="2">
        <v>46083.220308148149</v>
      </c>
      <c r="G485" s="3">
        <v>46083</v>
      </c>
      <c r="H485" t="s">
        <v>11</v>
      </c>
      <c r="I485">
        <v>5</v>
      </c>
    </row>
    <row r="486" spans="1:9" x14ac:dyDescent="0.2">
      <c r="A486" s="16" t="s">
        <v>527</v>
      </c>
      <c r="B486" s="16" t="s">
        <v>10</v>
      </c>
      <c r="C486" s="2">
        <v>46083.593537743058</v>
      </c>
      <c r="D486">
        <v>2</v>
      </c>
      <c r="F486" s="2">
        <v>46083.260204409722</v>
      </c>
      <c r="G486" s="3">
        <v>46083</v>
      </c>
      <c r="H486" t="s">
        <v>11</v>
      </c>
      <c r="I486">
        <v>6</v>
      </c>
    </row>
    <row r="487" spans="1:9" x14ac:dyDescent="0.2">
      <c r="A487" s="16" t="s">
        <v>528</v>
      </c>
      <c r="B487" s="16" t="s">
        <v>10</v>
      </c>
      <c r="C487" s="2">
        <v>46083.630607060186</v>
      </c>
      <c r="D487">
        <v>471</v>
      </c>
      <c r="E487" s="7" t="s">
        <v>526</v>
      </c>
      <c r="F487" s="2">
        <v>46083.29727372685</v>
      </c>
      <c r="G487" s="3">
        <v>46083</v>
      </c>
      <c r="H487" t="s">
        <v>11</v>
      </c>
      <c r="I487">
        <v>7</v>
      </c>
    </row>
    <row r="488" spans="1:9" x14ac:dyDescent="0.2">
      <c r="A488" s="16" t="s">
        <v>832</v>
      </c>
      <c r="B488" s="16" t="s">
        <v>10</v>
      </c>
      <c r="C488" s="2">
        <v>46083.659160462965</v>
      </c>
      <c r="D488">
        <v>471</v>
      </c>
      <c r="E488" s="7" t="s">
        <v>526</v>
      </c>
      <c r="F488" s="2">
        <v>46083.325827129629</v>
      </c>
      <c r="G488" s="3">
        <v>46083</v>
      </c>
      <c r="H488" t="s">
        <v>11</v>
      </c>
      <c r="I488">
        <v>7</v>
      </c>
    </row>
    <row r="489" spans="1:9" x14ac:dyDescent="0.2">
      <c r="A489" s="16" t="s">
        <v>529</v>
      </c>
      <c r="B489" s="16" t="s">
        <v>10</v>
      </c>
      <c r="C489" s="2">
        <v>46083.670724571763</v>
      </c>
      <c r="D489">
        <v>471</v>
      </c>
      <c r="E489" s="7" t="s">
        <v>526</v>
      </c>
      <c r="F489" s="2">
        <v>46083.337391238427</v>
      </c>
      <c r="G489" s="3">
        <v>46083</v>
      </c>
      <c r="H489" t="s">
        <v>11</v>
      </c>
      <c r="I489">
        <v>8</v>
      </c>
    </row>
    <row r="490" spans="1:9" x14ac:dyDescent="0.2">
      <c r="A490" s="16" t="s">
        <v>530</v>
      </c>
      <c r="B490" s="16" t="s">
        <v>10</v>
      </c>
      <c r="C490" s="2">
        <v>46083.716479953706</v>
      </c>
      <c r="D490">
        <v>471</v>
      </c>
      <c r="E490" s="7" t="s">
        <v>526</v>
      </c>
      <c r="F490" s="2">
        <v>46083.38314662037</v>
      </c>
      <c r="G490" s="3">
        <v>46083</v>
      </c>
      <c r="H490" t="s">
        <v>11</v>
      </c>
      <c r="I490">
        <v>9</v>
      </c>
    </row>
    <row r="491" spans="1:9" x14ac:dyDescent="0.2">
      <c r="A491" s="16" t="s">
        <v>531</v>
      </c>
      <c r="B491" s="16" t="s">
        <v>10</v>
      </c>
      <c r="C491" s="2">
        <v>46083.759783668982</v>
      </c>
      <c r="D491">
        <v>432</v>
      </c>
      <c r="E491" s="7" t="s">
        <v>31</v>
      </c>
      <c r="F491" s="2">
        <v>46083.426450335646</v>
      </c>
      <c r="G491" s="3">
        <v>46083</v>
      </c>
      <c r="H491" t="s">
        <v>11</v>
      </c>
      <c r="I491">
        <v>10</v>
      </c>
    </row>
    <row r="492" spans="1:9" x14ac:dyDescent="0.2">
      <c r="A492" s="16" t="s">
        <v>532</v>
      </c>
      <c r="B492" s="16" t="s">
        <v>10</v>
      </c>
      <c r="C492" s="2">
        <v>46083.788233969906</v>
      </c>
      <c r="D492">
        <v>432</v>
      </c>
      <c r="E492" s="7" t="s">
        <v>275</v>
      </c>
      <c r="F492" s="2">
        <v>46083.454900636571</v>
      </c>
      <c r="G492" s="3">
        <v>46083</v>
      </c>
      <c r="H492" t="s">
        <v>11</v>
      </c>
      <c r="I492">
        <v>10</v>
      </c>
    </row>
    <row r="493" spans="1:9" x14ac:dyDescent="0.2">
      <c r="A493" s="16" t="s">
        <v>533</v>
      </c>
      <c r="B493" s="16" t="s">
        <v>10</v>
      </c>
      <c r="C493" s="2">
        <v>46083.791801493055</v>
      </c>
      <c r="D493">
        <v>432</v>
      </c>
      <c r="E493" s="7" t="s">
        <v>31</v>
      </c>
      <c r="F493" s="2">
        <v>46083.458468159719</v>
      </c>
      <c r="G493" s="3">
        <v>46083</v>
      </c>
      <c r="H493" t="s">
        <v>11</v>
      </c>
      <c r="I493">
        <v>11</v>
      </c>
    </row>
    <row r="494" spans="1:9" x14ac:dyDescent="0.2">
      <c r="A494" s="16" t="s">
        <v>534</v>
      </c>
      <c r="B494" s="16" t="s">
        <v>10</v>
      </c>
      <c r="C494" s="2">
        <v>46083.792512824075</v>
      </c>
      <c r="D494">
        <v>432</v>
      </c>
      <c r="E494" s="7" t="s">
        <v>275</v>
      </c>
      <c r="F494" s="2">
        <v>46083.459179490739</v>
      </c>
      <c r="G494" s="3">
        <v>46083</v>
      </c>
      <c r="H494" t="s">
        <v>11</v>
      </c>
      <c r="I494">
        <v>11</v>
      </c>
    </row>
    <row r="495" spans="1:9" x14ac:dyDescent="0.2">
      <c r="A495" s="16" t="s">
        <v>535</v>
      </c>
      <c r="B495" s="16" t="s">
        <v>10</v>
      </c>
      <c r="C495" s="2">
        <v>46083.807491192129</v>
      </c>
      <c r="D495">
        <v>432</v>
      </c>
      <c r="E495" s="7" t="s">
        <v>536</v>
      </c>
      <c r="F495" s="2">
        <v>46083.474157858793</v>
      </c>
      <c r="G495" s="3">
        <v>46083</v>
      </c>
      <c r="H495" t="s">
        <v>11</v>
      </c>
      <c r="I495">
        <v>11</v>
      </c>
    </row>
    <row r="496" spans="1:9" x14ac:dyDescent="0.2">
      <c r="A496" s="16" t="s">
        <v>1155</v>
      </c>
      <c r="B496" s="16" t="s">
        <v>10</v>
      </c>
      <c r="C496" s="2">
        <v>46083.808128194447</v>
      </c>
      <c r="D496">
        <v>432</v>
      </c>
      <c r="E496" s="7" t="s">
        <v>275</v>
      </c>
      <c r="F496" s="2">
        <v>46083.474794861111</v>
      </c>
      <c r="G496" s="3">
        <v>46083</v>
      </c>
      <c r="H496" t="s">
        <v>11</v>
      </c>
      <c r="I496">
        <v>11</v>
      </c>
    </row>
    <row r="497" spans="1:9" x14ac:dyDescent="0.2">
      <c r="A497" s="16" t="s">
        <v>537</v>
      </c>
      <c r="B497" s="16" t="s">
        <v>10</v>
      </c>
      <c r="C497" s="2">
        <v>46083.860607743052</v>
      </c>
      <c r="D497">
        <v>432</v>
      </c>
      <c r="E497" s="7" t="s">
        <v>31</v>
      </c>
      <c r="F497" s="2">
        <v>46083.527274409724</v>
      </c>
      <c r="G497" s="3">
        <v>46083</v>
      </c>
      <c r="H497" t="s">
        <v>11</v>
      </c>
      <c r="I497">
        <v>12</v>
      </c>
    </row>
    <row r="498" spans="1:9" x14ac:dyDescent="0.2">
      <c r="A498" s="16" t="s">
        <v>538</v>
      </c>
      <c r="B498" s="16" t="s">
        <v>10</v>
      </c>
      <c r="C498" s="2">
        <v>46083.864662071763</v>
      </c>
      <c r="D498">
        <v>432</v>
      </c>
      <c r="E498" s="7" t="s">
        <v>275</v>
      </c>
      <c r="F498" s="2">
        <v>46083.531328738427</v>
      </c>
      <c r="G498" s="3">
        <v>46083</v>
      </c>
      <c r="H498" t="s">
        <v>11</v>
      </c>
      <c r="I498">
        <v>12</v>
      </c>
    </row>
    <row r="499" spans="1:9" x14ac:dyDescent="0.2">
      <c r="A499" s="16" t="s">
        <v>539</v>
      </c>
      <c r="B499" s="16" t="s">
        <v>10</v>
      </c>
      <c r="C499" s="2">
        <v>46083.867175312502</v>
      </c>
      <c r="D499">
        <v>432</v>
      </c>
      <c r="F499" s="2">
        <v>46083.533841979166</v>
      </c>
      <c r="G499" s="3">
        <v>46083</v>
      </c>
      <c r="H499" t="s">
        <v>11</v>
      </c>
      <c r="I499">
        <v>12</v>
      </c>
    </row>
    <row r="500" spans="1:9" x14ac:dyDescent="0.2">
      <c r="A500" s="16" t="s">
        <v>540</v>
      </c>
      <c r="B500" s="16" t="s">
        <v>10</v>
      </c>
      <c r="C500" s="2">
        <v>46083.950701805552</v>
      </c>
      <c r="D500">
        <v>432</v>
      </c>
      <c r="E500" s="7" t="s">
        <v>31</v>
      </c>
      <c r="F500" s="2">
        <v>46083.617368472223</v>
      </c>
      <c r="G500" s="3">
        <v>46083</v>
      </c>
      <c r="H500" t="s">
        <v>11</v>
      </c>
      <c r="I500">
        <v>14</v>
      </c>
    </row>
    <row r="501" spans="1:9" x14ac:dyDescent="0.2">
      <c r="A501" s="16" t="s">
        <v>541</v>
      </c>
      <c r="B501" s="16" t="s">
        <v>10</v>
      </c>
      <c r="C501" s="2">
        <v>46084.298001261574</v>
      </c>
      <c r="D501">
        <v>432</v>
      </c>
      <c r="F501" s="2">
        <v>46083.964667928238</v>
      </c>
      <c r="G501" s="3">
        <v>46083</v>
      </c>
      <c r="H501" t="s">
        <v>11</v>
      </c>
      <c r="I501">
        <v>23</v>
      </c>
    </row>
    <row r="502" spans="1:9" x14ac:dyDescent="0.2">
      <c r="A502" s="16" t="s">
        <v>542</v>
      </c>
      <c r="B502" s="16" t="s">
        <v>10</v>
      </c>
      <c r="C502" s="2">
        <v>46084.32831715278</v>
      </c>
      <c r="D502">
        <v>2</v>
      </c>
      <c r="F502" s="2">
        <v>46083.994983819444</v>
      </c>
      <c r="G502" s="3">
        <v>46083</v>
      </c>
      <c r="H502" t="s">
        <v>11</v>
      </c>
      <c r="I502">
        <v>23</v>
      </c>
    </row>
    <row r="503" spans="1:9" x14ac:dyDescent="0.2">
      <c r="A503" s="16" t="s">
        <v>543</v>
      </c>
      <c r="B503" s="16" t="s">
        <v>10</v>
      </c>
      <c r="C503" s="2">
        <v>46084.342814722222</v>
      </c>
      <c r="D503">
        <v>432</v>
      </c>
      <c r="E503" s="7" t="s">
        <v>34</v>
      </c>
      <c r="F503" s="2">
        <v>46084.009481388886</v>
      </c>
      <c r="G503" s="3">
        <v>46084</v>
      </c>
      <c r="H503" t="s">
        <v>28</v>
      </c>
      <c r="I503">
        <v>0</v>
      </c>
    </row>
    <row r="504" spans="1:9" x14ac:dyDescent="0.2">
      <c r="A504" s="16" t="s">
        <v>544</v>
      </c>
      <c r="B504" s="16" t="s">
        <v>10</v>
      </c>
      <c r="C504" s="2">
        <v>46084.413972824077</v>
      </c>
      <c r="D504">
        <v>432</v>
      </c>
      <c r="E504" s="7" t="s">
        <v>31</v>
      </c>
      <c r="F504" s="2">
        <v>46084.080639490741</v>
      </c>
      <c r="G504" s="3">
        <v>46084</v>
      </c>
      <c r="H504" t="s">
        <v>28</v>
      </c>
      <c r="I504">
        <v>1</v>
      </c>
    </row>
    <row r="505" spans="1:9" x14ac:dyDescent="0.2">
      <c r="A505" s="16" t="s">
        <v>545</v>
      </c>
      <c r="B505" s="16" t="s">
        <v>10</v>
      </c>
      <c r="C505" s="2">
        <v>46084.473117893518</v>
      </c>
      <c r="D505">
        <v>471</v>
      </c>
      <c r="E505" s="7" t="s">
        <v>536</v>
      </c>
      <c r="F505" s="2">
        <v>46084.139784560182</v>
      </c>
      <c r="G505" s="3">
        <v>46084</v>
      </c>
      <c r="H505" t="s">
        <v>28</v>
      </c>
      <c r="I505">
        <v>3</v>
      </c>
    </row>
    <row r="506" spans="1:9" x14ac:dyDescent="0.2">
      <c r="A506" s="16" t="s">
        <v>546</v>
      </c>
      <c r="B506" s="16" t="s">
        <v>10</v>
      </c>
      <c r="C506" s="2">
        <v>46084.493473530092</v>
      </c>
      <c r="D506">
        <v>36</v>
      </c>
      <c r="F506" s="2">
        <v>46084.160140196756</v>
      </c>
      <c r="G506" s="3">
        <v>46084</v>
      </c>
      <c r="H506" t="s">
        <v>28</v>
      </c>
      <c r="I506">
        <v>3</v>
      </c>
    </row>
    <row r="507" spans="1:9" x14ac:dyDescent="0.2">
      <c r="A507" s="16" t="s">
        <v>898</v>
      </c>
      <c r="B507" s="16" t="s">
        <v>10</v>
      </c>
      <c r="C507" s="2">
        <v>46084.495349328703</v>
      </c>
      <c r="D507">
        <v>36</v>
      </c>
      <c r="F507" s="2">
        <v>46084.162015995367</v>
      </c>
      <c r="G507" s="3">
        <v>46084</v>
      </c>
      <c r="H507" t="s">
        <v>28</v>
      </c>
      <c r="I507">
        <v>3</v>
      </c>
    </row>
    <row r="508" spans="1:9" x14ac:dyDescent="0.2">
      <c r="A508" s="16" t="s">
        <v>547</v>
      </c>
      <c r="B508" s="16" t="s">
        <v>10</v>
      </c>
      <c r="C508" s="2">
        <v>46084.512245625003</v>
      </c>
      <c r="D508">
        <v>432</v>
      </c>
      <c r="E508" s="7" t="s">
        <v>34</v>
      </c>
      <c r="F508" s="2">
        <v>46084.178912291667</v>
      </c>
      <c r="G508" s="3">
        <v>46084</v>
      </c>
      <c r="H508" t="s">
        <v>28</v>
      </c>
      <c r="I508">
        <v>4</v>
      </c>
    </row>
    <row r="509" spans="1:9" x14ac:dyDescent="0.2">
      <c r="A509" s="16" t="s">
        <v>548</v>
      </c>
      <c r="B509" s="16" t="s">
        <v>10</v>
      </c>
      <c r="C509" s="2">
        <v>46084.548051377315</v>
      </c>
      <c r="D509">
        <v>36</v>
      </c>
      <c r="F509" s="2">
        <v>46084.214718043979</v>
      </c>
      <c r="G509" s="3">
        <v>46084</v>
      </c>
      <c r="H509" t="s">
        <v>28</v>
      </c>
      <c r="I509">
        <v>5</v>
      </c>
    </row>
    <row r="510" spans="1:9" x14ac:dyDescent="0.2">
      <c r="A510" s="16" t="s">
        <v>947</v>
      </c>
      <c r="B510" s="16" t="s">
        <v>10</v>
      </c>
      <c r="C510" s="2">
        <v>46084.571492986113</v>
      </c>
      <c r="D510">
        <v>2</v>
      </c>
      <c r="F510" s="2">
        <v>46084.238159652778</v>
      </c>
      <c r="G510" s="3">
        <v>46084</v>
      </c>
      <c r="H510" t="s">
        <v>28</v>
      </c>
      <c r="I510">
        <v>5</v>
      </c>
    </row>
    <row r="511" spans="1:9" x14ac:dyDescent="0.2">
      <c r="A511" s="16" t="s">
        <v>549</v>
      </c>
      <c r="B511" s="16" t="s">
        <v>10</v>
      </c>
      <c r="C511" s="2">
        <v>46084.61635275463</v>
      </c>
      <c r="D511">
        <v>3</v>
      </c>
      <c r="E511" s="7" t="s">
        <v>34</v>
      </c>
      <c r="F511" s="2">
        <v>46084.283019421295</v>
      </c>
      <c r="G511" s="3">
        <v>46084</v>
      </c>
      <c r="H511" t="s">
        <v>28</v>
      </c>
      <c r="I511">
        <v>6</v>
      </c>
    </row>
    <row r="512" spans="1:9" x14ac:dyDescent="0.2">
      <c r="A512" s="16" t="s">
        <v>550</v>
      </c>
      <c r="B512" s="16" t="s">
        <v>10</v>
      </c>
      <c r="C512" s="2">
        <v>46084.623468680555</v>
      </c>
      <c r="D512">
        <v>35</v>
      </c>
      <c r="E512" s="7" t="s">
        <v>551</v>
      </c>
      <c r="F512" s="2">
        <v>46084.290135347219</v>
      </c>
      <c r="G512" s="3">
        <v>46084</v>
      </c>
      <c r="H512" t="s">
        <v>28</v>
      </c>
      <c r="I512">
        <v>6</v>
      </c>
    </row>
    <row r="513" spans="1:9" x14ac:dyDescent="0.2">
      <c r="A513" s="16" t="s">
        <v>552</v>
      </c>
      <c r="B513" s="16" t="s">
        <v>10</v>
      </c>
      <c r="C513" s="2">
        <v>46084.624403877315</v>
      </c>
      <c r="D513">
        <v>35</v>
      </c>
      <c r="E513" s="7" t="s">
        <v>553</v>
      </c>
      <c r="F513" s="2">
        <v>46084.291070543979</v>
      </c>
      <c r="G513" s="3">
        <v>46084</v>
      </c>
      <c r="H513" t="s">
        <v>28</v>
      </c>
      <c r="I513">
        <v>6</v>
      </c>
    </row>
    <row r="514" spans="1:9" x14ac:dyDescent="0.2">
      <c r="A514" s="16" t="s">
        <v>554</v>
      </c>
      <c r="B514" s="16" t="s">
        <v>10</v>
      </c>
      <c r="C514" s="2">
        <v>46084.624748877315</v>
      </c>
      <c r="D514">
        <v>16</v>
      </c>
      <c r="F514" s="2">
        <v>46084.291415543979</v>
      </c>
      <c r="G514" s="3">
        <v>46084</v>
      </c>
      <c r="H514" t="s">
        <v>28</v>
      </c>
      <c r="I514">
        <v>6</v>
      </c>
    </row>
    <row r="515" spans="1:9" x14ac:dyDescent="0.2">
      <c r="A515" s="16" t="s">
        <v>555</v>
      </c>
      <c r="B515" s="16" t="s">
        <v>10</v>
      </c>
      <c r="C515" s="2">
        <v>46084.625270358796</v>
      </c>
      <c r="D515">
        <v>471</v>
      </c>
      <c r="E515" s="7" t="s">
        <v>536</v>
      </c>
      <c r="F515" s="2">
        <v>46084.29193702546</v>
      </c>
      <c r="G515" s="3">
        <v>46084</v>
      </c>
      <c r="H515" t="s">
        <v>28</v>
      </c>
      <c r="I515">
        <v>7</v>
      </c>
    </row>
    <row r="516" spans="1:9" x14ac:dyDescent="0.2">
      <c r="A516" s="16" t="s">
        <v>556</v>
      </c>
      <c r="B516" s="16" t="s">
        <v>10</v>
      </c>
      <c r="C516" s="2">
        <v>46084.626833310183</v>
      </c>
      <c r="D516">
        <v>16</v>
      </c>
      <c r="F516" s="2">
        <v>46084.293499976855</v>
      </c>
      <c r="G516" s="3">
        <v>46084</v>
      </c>
      <c r="H516" t="s">
        <v>28</v>
      </c>
      <c r="I516">
        <v>7</v>
      </c>
    </row>
    <row r="517" spans="1:9" x14ac:dyDescent="0.2">
      <c r="A517" s="16" t="s">
        <v>557</v>
      </c>
      <c r="B517" s="16" t="s">
        <v>10</v>
      </c>
      <c r="C517" s="2">
        <v>46084.641122824076</v>
      </c>
      <c r="D517">
        <v>471</v>
      </c>
      <c r="E517" s="7" t="s">
        <v>34</v>
      </c>
      <c r="F517" s="2">
        <v>46084.30778949074</v>
      </c>
      <c r="G517" s="3">
        <v>46084</v>
      </c>
      <c r="H517" t="s">
        <v>28</v>
      </c>
      <c r="I517">
        <v>7</v>
      </c>
    </row>
    <row r="518" spans="1:9" x14ac:dyDescent="0.2">
      <c r="A518" s="16" t="s">
        <v>558</v>
      </c>
      <c r="B518" s="16" t="s">
        <v>10</v>
      </c>
      <c r="C518" s="2">
        <v>46084.686362569446</v>
      </c>
      <c r="D518">
        <v>1</v>
      </c>
      <c r="F518" s="2">
        <v>46084.35302923611</v>
      </c>
      <c r="G518" s="3">
        <v>46084</v>
      </c>
      <c r="H518" t="s">
        <v>28</v>
      </c>
      <c r="I518">
        <v>8</v>
      </c>
    </row>
    <row r="519" spans="1:9" x14ac:dyDescent="0.2">
      <c r="A519" s="16" t="s">
        <v>559</v>
      </c>
      <c r="B519" s="16" t="s">
        <v>10</v>
      </c>
      <c r="C519" s="2">
        <v>46084.696196898149</v>
      </c>
      <c r="D519">
        <v>1</v>
      </c>
      <c r="E519" s="7" t="s">
        <v>135</v>
      </c>
      <c r="F519" s="2">
        <v>46084.362863564813</v>
      </c>
      <c r="G519" s="3">
        <v>46084</v>
      </c>
      <c r="H519" t="s">
        <v>28</v>
      </c>
      <c r="I519">
        <v>8</v>
      </c>
    </row>
    <row r="520" spans="1:9" x14ac:dyDescent="0.2">
      <c r="A520" s="16" t="s">
        <v>560</v>
      </c>
      <c r="B520" s="16" t="s">
        <v>10</v>
      </c>
      <c r="C520" s="2">
        <v>46084.779296157409</v>
      </c>
      <c r="D520">
        <v>432</v>
      </c>
      <c r="E520" s="7" t="s">
        <v>561</v>
      </c>
      <c r="F520" s="2">
        <v>46084.445962824073</v>
      </c>
      <c r="G520" s="3">
        <v>46084</v>
      </c>
      <c r="H520" t="s">
        <v>28</v>
      </c>
      <c r="I520">
        <v>10</v>
      </c>
    </row>
    <row r="521" spans="1:9" x14ac:dyDescent="0.2">
      <c r="A521" s="16" t="s">
        <v>562</v>
      </c>
      <c r="B521" s="16" t="s">
        <v>10</v>
      </c>
      <c r="C521" s="2">
        <v>46084.879033217592</v>
      </c>
      <c r="D521">
        <v>3</v>
      </c>
      <c r="E521" s="7" t="s">
        <v>536</v>
      </c>
      <c r="F521" s="2">
        <v>46084.545699884256</v>
      </c>
      <c r="G521" s="3">
        <v>46084</v>
      </c>
      <c r="H521" t="s">
        <v>28</v>
      </c>
      <c r="I521">
        <v>13</v>
      </c>
    </row>
    <row r="522" spans="1:9" x14ac:dyDescent="0.2">
      <c r="A522" s="16" t="s">
        <v>563</v>
      </c>
      <c r="B522" s="16" t="s">
        <v>10</v>
      </c>
      <c r="C522" s="2">
        <v>46085.313992627314</v>
      </c>
      <c r="D522">
        <v>432</v>
      </c>
      <c r="F522" s="2">
        <v>46084.980659293979</v>
      </c>
      <c r="G522" s="3">
        <v>46084</v>
      </c>
      <c r="H522" t="s">
        <v>28</v>
      </c>
      <c r="I522">
        <v>23</v>
      </c>
    </row>
    <row r="523" spans="1:9" x14ac:dyDescent="0.2">
      <c r="A523" s="16" t="s">
        <v>564</v>
      </c>
      <c r="B523" s="16" t="s">
        <v>10</v>
      </c>
      <c r="C523" s="2">
        <v>46085.350547245369</v>
      </c>
      <c r="D523">
        <v>2</v>
      </c>
      <c r="F523" s="2">
        <v>46085.01721391204</v>
      </c>
      <c r="G523" s="3">
        <v>46085</v>
      </c>
      <c r="H523" t="s">
        <v>63</v>
      </c>
      <c r="I523">
        <v>0</v>
      </c>
    </row>
    <row r="524" spans="1:9" x14ac:dyDescent="0.2">
      <c r="A524" s="16" t="s">
        <v>565</v>
      </c>
      <c r="B524" s="16" t="s">
        <v>10</v>
      </c>
      <c r="C524" s="2">
        <v>46085.394234224535</v>
      </c>
      <c r="D524">
        <v>471</v>
      </c>
      <c r="E524" s="7" t="s">
        <v>566</v>
      </c>
      <c r="F524" s="2">
        <v>46085.060900891207</v>
      </c>
      <c r="G524" s="3">
        <v>46085</v>
      </c>
      <c r="H524" t="s">
        <v>63</v>
      </c>
      <c r="I524">
        <v>1</v>
      </c>
    </row>
    <row r="525" spans="1:9" x14ac:dyDescent="0.2">
      <c r="A525" s="16" t="s">
        <v>1276</v>
      </c>
      <c r="B525" s="16" t="s">
        <v>10</v>
      </c>
      <c r="C525" s="2">
        <v>46085.4029031713</v>
      </c>
      <c r="D525">
        <v>471</v>
      </c>
      <c r="E525" s="7" t="s">
        <v>566</v>
      </c>
      <c r="F525" s="2">
        <v>46085.069569837964</v>
      </c>
      <c r="G525" s="3">
        <v>46085</v>
      </c>
      <c r="H525" t="s">
        <v>63</v>
      </c>
      <c r="I525">
        <v>1</v>
      </c>
    </row>
    <row r="526" spans="1:9" x14ac:dyDescent="0.2">
      <c r="A526" s="16" t="s">
        <v>567</v>
      </c>
      <c r="B526" s="16" t="s">
        <v>10</v>
      </c>
      <c r="C526" s="2">
        <v>46085.428373668983</v>
      </c>
      <c r="D526">
        <v>471</v>
      </c>
      <c r="E526" s="7" t="s">
        <v>566</v>
      </c>
      <c r="F526" s="2">
        <v>46085.095040335647</v>
      </c>
      <c r="G526" s="3">
        <v>46085</v>
      </c>
      <c r="H526" t="s">
        <v>63</v>
      </c>
      <c r="I526">
        <v>2</v>
      </c>
    </row>
    <row r="527" spans="1:9" x14ac:dyDescent="0.2">
      <c r="A527" s="16" t="s">
        <v>833</v>
      </c>
      <c r="B527" s="16" t="s">
        <v>10</v>
      </c>
      <c r="C527" s="2">
        <v>46085.457657407409</v>
      </c>
      <c r="D527">
        <v>471</v>
      </c>
      <c r="E527" s="7" t="s">
        <v>566</v>
      </c>
      <c r="F527" s="2">
        <v>46085.124324074073</v>
      </c>
      <c r="G527" s="3">
        <v>46085</v>
      </c>
      <c r="H527" t="s">
        <v>63</v>
      </c>
      <c r="I527">
        <v>2</v>
      </c>
    </row>
    <row r="528" spans="1:9" x14ac:dyDescent="0.2">
      <c r="A528" s="16" t="s">
        <v>568</v>
      </c>
      <c r="B528" s="16" t="s">
        <v>10</v>
      </c>
      <c r="C528" s="2">
        <v>46085.459347881944</v>
      </c>
      <c r="D528">
        <v>432</v>
      </c>
      <c r="E528" s="7" t="s">
        <v>34</v>
      </c>
      <c r="F528" s="2">
        <v>46085.126014548609</v>
      </c>
      <c r="G528" s="3">
        <v>46085</v>
      </c>
      <c r="H528" t="s">
        <v>63</v>
      </c>
      <c r="I528">
        <v>3</v>
      </c>
    </row>
    <row r="529" spans="1:9" x14ac:dyDescent="0.2">
      <c r="A529" s="16" t="s">
        <v>569</v>
      </c>
      <c r="B529" s="16" t="s">
        <v>10</v>
      </c>
      <c r="C529" s="2">
        <v>46085.529224456019</v>
      </c>
      <c r="D529">
        <v>3</v>
      </c>
      <c r="F529" s="2">
        <v>46085.195891122683</v>
      </c>
      <c r="G529" s="3">
        <v>46085</v>
      </c>
      <c r="H529" t="s">
        <v>63</v>
      </c>
      <c r="I529">
        <v>4</v>
      </c>
    </row>
    <row r="530" spans="1:9" x14ac:dyDescent="0.2">
      <c r="A530" s="16" t="s">
        <v>570</v>
      </c>
      <c r="B530" s="16" t="s">
        <v>10</v>
      </c>
      <c r="C530" s="2">
        <v>46085.530602685183</v>
      </c>
      <c r="D530">
        <v>432</v>
      </c>
      <c r="E530" s="7" t="s">
        <v>34</v>
      </c>
      <c r="F530" s="2">
        <v>46085.197269351855</v>
      </c>
      <c r="G530" s="3">
        <v>46085</v>
      </c>
      <c r="H530" t="s">
        <v>63</v>
      </c>
      <c r="I530">
        <v>4</v>
      </c>
    </row>
    <row r="531" spans="1:9" x14ac:dyDescent="0.2">
      <c r="A531" s="16" t="s">
        <v>1371</v>
      </c>
      <c r="B531" s="16" t="s">
        <v>10</v>
      </c>
      <c r="C531" s="2">
        <v>46085.531226099534</v>
      </c>
      <c r="D531">
        <v>3</v>
      </c>
      <c r="F531" s="2">
        <v>46085.197892766206</v>
      </c>
      <c r="G531" s="3">
        <v>46085</v>
      </c>
      <c r="H531" t="s">
        <v>63</v>
      </c>
      <c r="I531">
        <v>4</v>
      </c>
    </row>
    <row r="532" spans="1:9" x14ac:dyDescent="0.2">
      <c r="A532" s="16" t="s">
        <v>571</v>
      </c>
      <c r="B532" s="16" t="s">
        <v>10</v>
      </c>
      <c r="C532" s="2">
        <v>46085.542783159719</v>
      </c>
      <c r="D532">
        <v>429</v>
      </c>
      <c r="F532" s="2">
        <v>46085.20944982639</v>
      </c>
      <c r="G532" s="3">
        <v>46085</v>
      </c>
      <c r="H532" t="s">
        <v>63</v>
      </c>
      <c r="I532">
        <v>5</v>
      </c>
    </row>
    <row r="533" spans="1:9" x14ac:dyDescent="0.2">
      <c r="A533" s="16" t="s">
        <v>572</v>
      </c>
      <c r="B533" s="16" t="s">
        <v>10</v>
      </c>
      <c r="C533" s="2">
        <v>46085.579761064815</v>
      </c>
      <c r="D533">
        <v>3</v>
      </c>
      <c r="E533" s="7" t="s">
        <v>34</v>
      </c>
      <c r="F533" s="2">
        <v>46085.246427731479</v>
      </c>
      <c r="G533" s="3">
        <v>46085</v>
      </c>
      <c r="H533" t="s">
        <v>63</v>
      </c>
      <c r="I533">
        <v>5</v>
      </c>
    </row>
    <row r="534" spans="1:9" x14ac:dyDescent="0.2">
      <c r="A534" s="16" t="s">
        <v>573</v>
      </c>
      <c r="B534" s="16" t="s">
        <v>10</v>
      </c>
      <c r="C534" s="2">
        <v>46085.621477060187</v>
      </c>
      <c r="D534">
        <v>432</v>
      </c>
      <c r="F534" s="2">
        <v>46085.288143726852</v>
      </c>
      <c r="G534" s="3">
        <v>46085</v>
      </c>
      <c r="H534" t="s">
        <v>63</v>
      </c>
      <c r="I534">
        <v>6</v>
      </c>
    </row>
    <row r="535" spans="1:9" x14ac:dyDescent="0.2">
      <c r="A535" s="16" t="s">
        <v>574</v>
      </c>
      <c r="B535" s="16" t="s">
        <v>10</v>
      </c>
      <c r="C535" s="2">
        <v>46085.6963918287</v>
      </c>
      <c r="D535">
        <v>3</v>
      </c>
      <c r="F535" s="2">
        <v>46085.363058495372</v>
      </c>
      <c r="G535" s="3">
        <v>46085</v>
      </c>
      <c r="H535" t="s">
        <v>63</v>
      </c>
      <c r="I535">
        <v>8</v>
      </c>
    </row>
    <row r="536" spans="1:9" x14ac:dyDescent="0.2">
      <c r="A536" s="16" t="s">
        <v>575</v>
      </c>
      <c r="B536" s="16" t="s">
        <v>10</v>
      </c>
      <c r="C536" s="2">
        <v>46085.8101469213</v>
      </c>
      <c r="D536">
        <v>432</v>
      </c>
      <c r="F536" s="2">
        <v>46085.476813587964</v>
      </c>
      <c r="G536" s="3">
        <v>46085</v>
      </c>
      <c r="H536" t="s">
        <v>63</v>
      </c>
      <c r="I536">
        <v>11</v>
      </c>
    </row>
    <row r="537" spans="1:9" x14ac:dyDescent="0.2">
      <c r="A537" s="16" t="s">
        <v>576</v>
      </c>
      <c r="B537" s="16" t="s">
        <v>10</v>
      </c>
      <c r="C537" s="2">
        <v>46086.205474131944</v>
      </c>
      <c r="D537">
        <v>2</v>
      </c>
      <c r="F537" s="2">
        <v>46085.872140798609</v>
      </c>
      <c r="G537" s="3">
        <v>46085</v>
      </c>
      <c r="H537" t="s">
        <v>63</v>
      </c>
      <c r="I537">
        <v>20</v>
      </c>
    </row>
    <row r="538" spans="1:9" x14ac:dyDescent="0.2">
      <c r="A538" s="16" t="s">
        <v>577</v>
      </c>
      <c r="B538" s="16" t="s">
        <v>10</v>
      </c>
      <c r="C538" s="2">
        <v>46086.213184583336</v>
      </c>
      <c r="D538">
        <v>1</v>
      </c>
      <c r="E538" s="7" t="s">
        <v>578</v>
      </c>
      <c r="F538" s="2">
        <v>46085.87985125</v>
      </c>
      <c r="G538" s="3">
        <v>46085</v>
      </c>
      <c r="H538" t="s">
        <v>63</v>
      </c>
      <c r="I538">
        <v>21</v>
      </c>
    </row>
    <row r="539" spans="1:9" x14ac:dyDescent="0.2">
      <c r="A539" s="16" t="s">
        <v>579</v>
      </c>
      <c r="B539" s="16" t="s">
        <v>10</v>
      </c>
      <c r="C539" s="2">
        <v>46086.351046759257</v>
      </c>
      <c r="D539">
        <v>432</v>
      </c>
      <c r="E539" s="7" t="s">
        <v>34</v>
      </c>
      <c r="F539" s="2">
        <v>46086.017713425928</v>
      </c>
      <c r="G539" s="3">
        <v>46086</v>
      </c>
      <c r="H539" t="s">
        <v>95</v>
      </c>
      <c r="I539">
        <v>0</v>
      </c>
    </row>
    <row r="540" spans="1:9" x14ac:dyDescent="0.2">
      <c r="A540" s="16" t="s">
        <v>580</v>
      </c>
      <c r="B540" s="16" t="s">
        <v>10</v>
      </c>
      <c r="C540" s="2">
        <v>46086.354359872683</v>
      </c>
      <c r="D540">
        <v>3</v>
      </c>
      <c r="F540" s="2">
        <v>46086.021026539354</v>
      </c>
      <c r="G540" s="3">
        <v>46086</v>
      </c>
      <c r="H540" t="s">
        <v>95</v>
      </c>
      <c r="I540">
        <v>0</v>
      </c>
    </row>
    <row r="541" spans="1:9" x14ac:dyDescent="0.2">
      <c r="A541" s="16" t="s">
        <v>581</v>
      </c>
      <c r="B541" s="16" t="s">
        <v>10</v>
      </c>
      <c r="C541" s="2">
        <v>46086.358967708336</v>
      </c>
      <c r="D541">
        <v>471</v>
      </c>
      <c r="E541" s="7" t="s">
        <v>582</v>
      </c>
      <c r="F541" s="2">
        <v>46086.025634375001</v>
      </c>
      <c r="G541" s="3">
        <v>46086</v>
      </c>
      <c r="H541" t="s">
        <v>95</v>
      </c>
      <c r="I541">
        <v>0</v>
      </c>
    </row>
    <row r="542" spans="1:9" x14ac:dyDescent="0.2">
      <c r="A542" s="16" t="s">
        <v>583</v>
      </c>
      <c r="B542" s="16" t="s">
        <v>10</v>
      </c>
      <c r="C542" s="2">
        <v>46086.408274074071</v>
      </c>
      <c r="D542">
        <v>2</v>
      </c>
      <c r="E542" s="7" t="s">
        <v>584</v>
      </c>
      <c r="F542" s="2">
        <v>46086.074940740742</v>
      </c>
      <c r="G542" s="3">
        <v>46086</v>
      </c>
      <c r="H542" t="s">
        <v>95</v>
      </c>
      <c r="I542">
        <v>1</v>
      </c>
    </row>
    <row r="543" spans="1:9" x14ac:dyDescent="0.2">
      <c r="A543" s="16" t="s">
        <v>585</v>
      </c>
      <c r="B543" s="16" t="s">
        <v>10</v>
      </c>
      <c r="C543" s="2">
        <v>46086.444829525462</v>
      </c>
      <c r="D543">
        <v>532</v>
      </c>
      <c r="F543" s="2">
        <v>46086.111496192127</v>
      </c>
      <c r="G543" s="3">
        <v>46086</v>
      </c>
      <c r="H543" t="s">
        <v>95</v>
      </c>
      <c r="I543">
        <v>2</v>
      </c>
    </row>
    <row r="544" spans="1:9" x14ac:dyDescent="0.2">
      <c r="A544" s="16" t="s">
        <v>586</v>
      </c>
      <c r="B544" s="16" t="s">
        <v>10</v>
      </c>
      <c r="C544" s="2">
        <v>46086.466305509261</v>
      </c>
      <c r="D544">
        <v>532</v>
      </c>
      <c r="F544" s="2">
        <v>46086.132972175925</v>
      </c>
      <c r="G544" s="3">
        <v>46086</v>
      </c>
      <c r="H544" t="s">
        <v>95</v>
      </c>
      <c r="I544">
        <v>3</v>
      </c>
    </row>
    <row r="545" spans="1:9" x14ac:dyDescent="0.2">
      <c r="A545" s="16" t="s">
        <v>587</v>
      </c>
      <c r="B545" s="16" t="s">
        <v>10</v>
      </c>
      <c r="C545" s="2">
        <v>46086.471331261571</v>
      </c>
      <c r="D545">
        <v>576</v>
      </c>
      <c r="E545" s="7" t="s">
        <v>582</v>
      </c>
      <c r="F545" s="2">
        <v>46086.137997928243</v>
      </c>
      <c r="G545" s="3">
        <v>46086</v>
      </c>
      <c r="H545" t="s">
        <v>95</v>
      </c>
      <c r="I545">
        <v>3</v>
      </c>
    </row>
    <row r="546" spans="1:9" x14ac:dyDescent="0.2">
      <c r="A546" s="16" t="s">
        <v>588</v>
      </c>
      <c r="B546" s="16" t="s">
        <v>10</v>
      </c>
      <c r="C546" s="2">
        <v>46086.479474513886</v>
      </c>
      <c r="D546">
        <v>432</v>
      </c>
      <c r="E546" s="7" t="s">
        <v>34</v>
      </c>
      <c r="F546" s="2">
        <v>46086.146141180558</v>
      </c>
      <c r="G546" s="3">
        <v>46086</v>
      </c>
      <c r="H546" t="s">
        <v>95</v>
      </c>
      <c r="I546">
        <v>3</v>
      </c>
    </row>
    <row r="547" spans="1:9" x14ac:dyDescent="0.2">
      <c r="A547" s="16" t="s">
        <v>793</v>
      </c>
      <c r="B547" s="16" t="s">
        <v>10</v>
      </c>
      <c r="C547" s="2">
        <v>46086.494396747687</v>
      </c>
      <c r="D547">
        <v>576</v>
      </c>
      <c r="E547" s="7" t="s">
        <v>582</v>
      </c>
      <c r="F547" s="2">
        <v>46086.161063414351</v>
      </c>
      <c r="G547" s="3">
        <v>46086</v>
      </c>
      <c r="H547" t="s">
        <v>95</v>
      </c>
      <c r="I547">
        <v>3</v>
      </c>
    </row>
    <row r="548" spans="1:9" x14ac:dyDescent="0.2">
      <c r="A548" s="16" t="s">
        <v>589</v>
      </c>
      <c r="B548" s="16" t="s">
        <v>10</v>
      </c>
      <c r="C548" s="2">
        <v>46086.497148807874</v>
      </c>
      <c r="D548">
        <v>3</v>
      </c>
      <c r="E548" s="7" t="s">
        <v>590</v>
      </c>
      <c r="F548" s="2">
        <v>46086.163815474538</v>
      </c>
      <c r="G548" s="3">
        <v>46086</v>
      </c>
      <c r="H548" t="s">
        <v>95</v>
      </c>
      <c r="I548">
        <v>3</v>
      </c>
    </row>
    <row r="549" spans="1:9" x14ac:dyDescent="0.2">
      <c r="A549" s="16" t="s">
        <v>591</v>
      </c>
      <c r="B549" s="16" t="s">
        <v>10</v>
      </c>
      <c r="C549" s="2">
        <v>46086.520829363428</v>
      </c>
      <c r="D549">
        <v>432</v>
      </c>
      <c r="E549" s="7" t="s">
        <v>34</v>
      </c>
      <c r="F549" s="2">
        <v>46086.187496030092</v>
      </c>
      <c r="G549" s="3">
        <v>46086</v>
      </c>
      <c r="H549" t="s">
        <v>95</v>
      </c>
      <c r="I549">
        <v>4</v>
      </c>
    </row>
    <row r="550" spans="1:9" x14ac:dyDescent="0.2">
      <c r="A550" s="16" t="s">
        <v>592</v>
      </c>
      <c r="B550" s="16" t="s">
        <v>10</v>
      </c>
      <c r="C550" s="2">
        <v>46086.540283078706</v>
      </c>
      <c r="D550">
        <v>532</v>
      </c>
      <c r="E550" s="7" t="s">
        <v>590</v>
      </c>
      <c r="F550" s="2">
        <v>46086.20694974537</v>
      </c>
      <c r="G550" s="3">
        <v>46086</v>
      </c>
      <c r="H550" t="s">
        <v>95</v>
      </c>
      <c r="I550">
        <v>4</v>
      </c>
    </row>
    <row r="551" spans="1:9" x14ac:dyDescent="0.2">
      <c r="A551" s="16" t="s">
        <v>593</v>
      </c>
      <c r="B551" s="16" t="s">
        <v>10</v>
      </c>
      <c r="C551" s="2">
        <v>46086.554579988428</v>
      </c>
      <c r="D551">
        <v>532</v>
      </c>
      <c r="F551" s="2">
        <v>46086.221246655092</v>
      </c>
      <c r="G551" s="3">
        <v>46086</v>
      </c>
      <c r="H551" t="s">
        <v>95</v>
      </c>
      <c r="I551">
        <v>5</v>
      </c>
    </row>
    <row r="552" spans="1:9" x14ac:dyDescent="0.2">
      <c r="A552" s="16" t="s">
        <v>594</v>
      </c>
      <c r="B552" s="16" t="s">
        <v>10</v>
      </c>
      <c r="C552" s="2">
        <v>46086.572327939815</v>
      </c>
      <c r="D552">
        <v>3</v>
      </c>
      <c r="E552" s="7" t="s">
        <v>60</v>
      </c>
      <c r="F552" s="2">
        <v>46086.23899460648</v>
      </c>
      <c r="G552" s="3">
        <v>46086</v>
      </c>
      <c r="H552" t="s">
        <v>95</v>
      </c>
      <c r="I552">
        <v>5</v>
      </c>
    </row>
    <row r="553" spans="1:9" x14ac:dyDescent="0.2">
      <c r="A553" s="16" t="s">
        <v>595</v>
      </c>
      <c r="B553" s="16" t="s">
        <v>10</v>
      </c>
      <c r="C553" s="2">
        <v>46086.584600451388</v>
      </c>
      <c r="D553">
        <v>576</v>
      </c>
      <c r="E553" s="7" t="s">
        <v>34</v>
      </c>
      <c r="F553" s="2">
        <v>46086.251267118052</v>
      </c>
      <c r="G553" s="3">
        <v>46086</v>
      </c>
      <c r="H553" t="s">
        <v>95</v>
      </c>
      <c r="I553">
        <v>6</v>
      </c>
    </row>
    <row r="554" spans="1:9" x14ac:dyDescent="0.2">
      <c r="A554" s="16" t="s">
        <v>899</v>
      </c>
      <c r="B554" s="16" t="s">
        <v>10</v>
      </c>
      <c r="C554" s="2">
        <v>46086.586039016205</v>
      </c>
      <c r="D554">
        <v>576</v>
      </c>
      <c r="E554" s="7" t="s">
        <v>34</v>
      </c>
      <c r="F554" s="2">
        <v>46086.252705682869</v>
      </c>
      <c r="G554" s="3">
        <v>46086</v>
      </c>
      <c r="H554" t="s">
        <v>95</v>
      </c>
      <c r="I554">
        <v>6</v>
      </c>
    </row>
    <row r="555" spans="1:9" x14ac:dyDescent="0.2">
      <c r="A555" s="16" t="s">
        <v>596</v>
      </c>
      <c r="B555" s="16" t="s">
        <v>10</v>
      </c>
      <c r="C555" s="2">
        <v>46086.59762064815</v>
      </c>
      <c r="D555">
        <v>576</v>
      </c>
      <c r="F555" s="2">
        <v>46086.264287314814</v>
      </c>
      <c r="G555" s="3">
        <v>46086</v>
      </c>
      <c r="H555" t="s">
        <v>95</v>
      </c>
      <c r="I555">
        <v>6</v>
      </c>
    </row>
    <row r="556" spans="1:9" x14ac:dyDescent="0.2">
      <c r="A556" s="16" t="s">
        <v>597</v>
      </c>
      <c r="B556" s="16" t="s">
        <v>10</v>
      </c>
      <c r="C556" s="2">
        <v>46086.622786446758</v>
      </c>
      <c r="D556">
        <v>532</v>
      </c>
      <c r="F556" s="2">
        <v>46086.289453113422</v>
      </c>
      <c r="G556" s="3">
        <v>46086</v>
      </c>
      <c r="H556" t="s">
        <v>95</v>
      </c>
      <c r="I556">
        <v>6</v>
      </c>
    </row>
    <row r="557" spans="1:9" x14ac:dyDescent="0.2">
      <c r="A557" s="16" t="s">
        <v>598</v>
      </c>
      <c r="B557" s="16" t="s">
        <v>10</v>
      </c>
      <c r="C557" s="2">
        <v>46086.626078958332</v>
      </c>
      <c r="D557">
        <v>576</v>
      </c>
      <c r="E557" s="7" t="s">
        <v>34</v>
      </c>
      <c r="F557" s="2">
        <v>46086.292745625004</v>
      </c>
      <c r="G557" s="3">
        <v>46086</v>
      </c>
      <c r="H557" t="s">
        <v>95</v>
      </c>
      <c r="I557">
        <v>7</v>
      </c>
    </row>
    <row r="558" spans="1:9" x14ac:dyDescent="0.2">
      <c r="A558" s="16" t="s">
        <v>834</v>
      </c>
      <c r="B558" s="16" t="s">
        <v>10</v>
      </c>
      <c r="C558" s="2">
        <v>46086.655843553242</v>
      </c>
      <c r="D558">
        <v>432</v>
      </c>
      <c r="E558" s="7" t="s">
        <v>34</v>
      </c>
      <c r="F558" s="2">
        <v>46086.322510219907</v>
      </c>
      <c r="G558" s="3">
        <v>46086</v>
      </c>
      <c r="H558" t="s">
        <v>95</v>
      </c>
      <c r="I558">
        <v>7</v>
      </c>
    </row>
    <row r="559" spans="1:9" x14ac:dyDescent="0.2">
      <c r="A559" s="16" t="s">
        <v>599</v>
      </c>
      <c r="B559" s="16" t="s">
        <v>10</v>
      </c>
      <c r="C559" s="2">
        <v>46086.682960127313</v>
      </c>
      <c r="D559">
        <v>532</v>
      </c>
      <c r="F559" s="2">
        <v>46086.349626793984</v>
      </c>
      <c r="G559" s="3">
        <v>46086</v>
      </c>
      <c r="H559" t="s">
        <v>95</v>
      </c>
      <c r="I559">
        <v>8</v>
      </c>
    </row>
    <row r="560" spans="1:9" x14ac:dyDescent="0.2">
      <c r="A560" s="16" t="s">
        <v>600</v>
      </c>
      <c r="B560" s="16" t="s">
        <v>10</v>
      </c>
      <c r="C560" s="2">
        <v>46086.71753587963</v>
      </c>
      <c r="D560">
        <v>35</v>
      </c>
      <c r="F560" s="2">
        <v>46086.384202546295</v>
      </c>
      <c r="G560" s="3">
        <v>46086</v>
      </c>
      <c r="H560" t="s">
        <v>95</v>
      </c>
      <c r="I560">
        <v>9</v>
      </c>
    </row>
    <row r="561" spans="1:9" x14ac:dyDescent="0.2">
      <c r="A561" s="16" t="s">
        <v>601</v>
      </c>
      <c r="B561" s="16" t="s">
        <v>10</v>
      </c>
      <c r="C561" s="2">
        <v>46086.733169050924</v>
      </c>
      <c r="D561">
        <v>3</v>
      </c>
      <c r="F561" s="2">
        <v>46086.399835717595</v>
      </c>
      <c r="G561" s="3">
        <v>46086</v>
      </c>
      <c r="H561" t="s">
        <v>95</v>
      </c>
      <c r="I561">
        <v>9</v>
      </c>
    </row>
    <row r="562" spans="1:9" x14ac:dyDescent="0.2">
      <c r="A562" s="16" t="s">
        <v>602</v>
      </c>
      <c r="B562" s="16" t="s">
        <v>10</v>
      </c>
      <c r="C562" s="2">
        <v>46086.764711678239</v>
      </c>
      <c r="D562">
        <v>2</v>
      </c>
      <c r="E562" s="7" t="s">
        <v>603</v>
      </c>
      <c r="F562" s="2">
        <v>46086.431378344911</v>
      </c>
      <c r="G562" s="3">
        <v>46086</v>
      </c>
      <c r="H562" t="s">
        <v>95</v>
      </c>
      <c r="I562">
        <v>10</v>
      </c>
    </row>
    <row r="563" spans="1:9" x14ac:dyDescent="0.2">
      <c r="A563" s="16" t="s">
        <v>604</v>
      </c>
      <c r="B563" s="16" t="s">
        <v>10</v>
      </c>
      <c r="C563" s="2">
        <v>46086.770379201385</v>
      </c>
      <c r="D563">
        <v>1</v>
      </c>
      <c r="E563" s="7" t="s">
        <v>605</v>
      </c>
      <c r="F563" s="2">
        <v>46086.437045868057</v>
      </c>
      <c r="G563" s="3">
        <v>46086</v>
      </c>
      <c r="H563" t="s">
        <v>95</v>
      </c>
      <c r="I563">
        <v>10</v>
      </c>
    </row>
    <row r="564" spans="1:9" x14ac:dyDescent="0.2">
      <c r="A564" s="16" t="s">
        <v>606</v>
      </c>
      <c r="B564" s="16" t="s">
        <v>10</v>
      </c>
      <c r="C564" s="2">
        <v>46086.786126192128</v>
      </c>
      <c r="D564">
        <v>3</v>
      </c>
      <c r="F564" s="2">
        <v>46086.4527928588</v>
      </c>
      <c r="G564" s="3">
        <v>46086</v>
      </c>
      <c r="H564" t="s">
        <v>95</v>
      </c>
      <c r="I564">
        <v>10</v>
      </c>
    </row>
    <row r="565" spans="1:9" x14ac:dyDescent="0.2">
      <c r="A565" s="16" t="s">
        <v>607</v>
      </c>
      <c r="B565" s="16" t="s">
        <v>10</v>
      </c>
      <c r="C565" s="2">
        <v>46086.80045422454</v>
      </c>
      <c r="D565">
        <v>1</v>
      </c>
      <c r="E565" s="7" t="s">
        <v>605</v>
      </c>
      <c r="F565" s="2">
        <v>46086.467120891204</v>
      </c>
      <c r="G565" s="3">
        <v>46086</v>
      </c>
      <c r="H565" t="s">
        <v>95</v>
      </c>
      <c r="I565">
        <v>11</v>
      </c>
    </row>
    <row r="566" spans="1:9" x14ac:dyDescent="0.2">
      <c r="A566" s="16" t="s">
        <v>608</v>
      </c>
      <c r="B566" s="16" t="s">
        <v>10</v>
      </c>
      <c r="C566" s="2">
        <v>46086.838780347221</v>
      </c>
      <c r="D566">
        <v>2</v>
      </c>
      <c r="F566" s="2">
        <v>46086.505447013886</v>
      </c>
      <c r="G566" s="3">
        <v>46086</v>
      </c>
      <c r="H566" t="s">
        <v>95</v>
      </c>
      <c r="I566">
        <v>12</v>
      </c>
    </row>
    <row r="567" spans="1:9" x14ac:dyDescent="0.2">
      <c r="A567" s="16" t="s">
        <v>609</v>
      </c>
      <c r="B567" s="16" t="s">
        <v>10</v>
      </c>
      <c r="C567" s="2">
        <v>46086.902724560183</v>
      </c>
      <c r="D567">
        <v>3</v>
      </c>
      <c r="F567" s="2">
        <v>46086.569391226854</v>
      </c>
      <c r="G567" s="3">
        <v>46086</v>
      </c>
      <c r="H567" t="s">
        <v>95</v>
      </c>
      <c r="I567">
        <v>13</v>
      </c>
    </row>
    <row r="568" spans="1:9" x14ac:dyDescent="0.2">
      <c r="A568" s="16" t="s">
        <v>610</v>
      </c>
      <c r="B568" s="16" t="s">
        <v>10</v>
      </c>
      <c r="C568" s="2">
        <v>46086.964681701385</v>
      </c>
      <c r="D568">
        <v>532</v>
      </c>
      <c r="E568" s="7" t="s">
        <v>31</v>
      </c>
      <c r="F568" s="2">
        <v>46086.631348368057</v>
      </c>
      <c r="G568" s="3">
        <v>46086</v>
      </c>
      <c r="H568" t="s">
        <v>95</v>
      </c>
      <c r="I568">
        <v>15</v>
      </c>
    </row>
    <row r="569" spans="1:9" x14ac:dyDescent="0.2">
      <c r="A569" s="16" t="s">
        <v>611</v>
      </c>
      <c r="B569" s="16" t="s">
        <v>10</v>
      </c>
      <c r="C569" s="2">
        <v>46087.265411886576</v>
      </c>
      <c r="D569">
        <v>432</v>
      </c>
      <c r="E569" s="7" t="s">
        <v>34</v>
      </c>
      <c r="F569" s="2">
        <v>46086.93207855324</v>
      </c>
      <c r="G569" s="3">
        <v>46086</v>
      </c>
      <c r="H569" t="s">
        <v>95</v>
      </c>
      <c r="I569">
        <v>22</v>
      </c>
    </row>
    <row r="570" spans="1:9" x14ac:dyDescent="0.2">
      <c r="A570" s="16" t="s">
        <v>612</v>
      </c>
      <c r="B570" s="16" t="s">
        <v>10</v>
      </c>
      <c r="C570" s="2">
        <v>46087.272741493056</v>
      </c>
      <c r="D570">
        <v>576</v>
      </c>
      <c r="E570" s="7" t="s">
        <v>613</v>
      </c>
      <c r="F570" s="2">
        <v>46086.93940815972</v>
      </c>
      <c r="G570" s="3">
        <v>46086</v>
      </c>
      <c r="H570" t="s">
        <v>95</v>
      </c>
      <c r="I570">
        <v>22</v>
      </c>
    </row>
    <row r="571" spans="1:9" x14ac:dyDescent="0.2">
      <c r="A571" s="16" t="s">
        <v>614</v>
      </c>
      <c r="B571" s="16" t="s">
        <v>10</v>
      </c>
      <c r="C571" s="2">
        <v>46087.273157002317</v>
      </c>
      <c r="D571">
        <v>532</v>
      </c>
      <c r="F571" s="2">
        <v>46086.939823668981</v>
      </c>
      <c r="G571" s="3">
        <v>46086</v>
      </c>
      <c r="H571" t="s">
        <v>95</v>
      </c>
      <c r="I571">
        <v>22</v>
      </c>
    </row>
    <row r="572" spans="1:9" x14ac:dyDescent="0.2">
      <c r="A572" s="16" t="s">
        <v>615</v>
      </c>
      <c r="B572" s="16" t="s">
        <v>10</v>
      </c>
      <c r="C572" s="2">
        <v>46087.310952245367</v>
      </c>
      <c r="D572">
        <v>3</v>
      </c>
      <c r="F572" s="2">
        <v>46086.977618912038</v>
      </c>
      <c r="G572" s="3">
        <v>46086</v>
      </c>
      <c r="H572" t="s">
        <v>95</v>
      </c>
      <c r="I572">
        <v>23</v>
      </c>
    </row>
    <row r="573" spans="1:9" x14ac:dyDescent="0.2">
      <c r="A573" s="16" t="s">
        <v>616</v>
      </c>
      <c r="B573" s="16" t="s">
        <v>10</v>
      </c>
      <c r="C573" s="2">
        <v>46087.314840486113</v>
      </c>
      <c r="D573">
        <v>576</v>
      </c>
      <c r="E573" s="7" t="s">
        <v>34</v>
      </c>
      <c r="F573" s="2">
        <v>46086.981507152777</v>
      </c>
      <c r="G573" s="3">
        <v>46086</v>
      </c>
      <c r="H573" t="s">
        <v>95</v>
      </c>
      <c r="I573">
        <v>23</v>
      </c>
    </row>
    <row r="574" spans="1:9" x14ac:dyDescent="0.2">
      <c r="A574" s="16" t="s">
        <v>617</v>
      </c>
      <c r="B574" s="16" t="s">
        <v>10</v>
      </c>
      <c r="C574" s="2">
        <v>46087.335874212964</v>
      </c>
      <c r="D574">
        <v>576</v>
      </c>
      <c r="E574" s="7" t="s">
        <v>34</v>
      </c>
      <c r="F574" s="2">
        <v>46087.002540879628</v>
      </c>
      <c r="G574" s="3">
        <v>46087</v>
      </c>
      <c r="H574" t="s">
        <v>115</v>
      </c>
      <c r="I574">
        <v>0</v>
      </c>
    </row>
    <row r="575" spans="1:9" x14ac:dyDescent="0.2">
      <c r="A575" s="16" t="s">
        <v>618</v>
      </c>
      <c r="B575" s="16" t="s">
        <v>10</v>
      </c>
      <c r="C575" s="2">
        <v>46087.338867094906</v>
      </c>
      <c r="D575">
        <v>576</v>
      </c>
      <c r="E575" s="7" t="s">
        <v>582</v>
      </c>
      <c r="F575" s="2">
        <v>46087.005533761578</v>
      </c>
      <c r="G575" s="3">
        <v>46087</v>
      </c>
      <c r="H575" t="s">
        <v>115</v>
      </c>
      <c r="I575">
        <v>0</v>
      </c>
    </row>
    <row r="576" spans="1:9" x14ac:dyDescent="0.2">
      <c r="A576" s="16" t="s">
        <v>619</v>
      </c>
      <c r="B576" s="16" t="s">
        <v>10</v>
      </c>
      <c r="C576" s="2">
        <v>46087.339159189818</v>
      </c>
      <c r="D576">
        <v>3</v>
      </c>
      <c r="E576" s="7" t="s">
        <v>620</v>
      </c>
      <c r="F576" s="2">
        <v>46087.005825856482</v>
      </c>
      <c r="G576" s="3">
        <v>46087</v>
      </c>
      <c r="H576" t="s">
        <v>115</v>
      </c>
      <c r="I576">
        <v>0</v>
      </c>
    </row>
    <row r="577" spans="1:9" x14ac:dyDescent="0.2">
      <c r="A577" s="16" t="s">
        <v>621</v>
      </c>
      <c r="B577" s="16" t="s">
        <v>10</v>
      </c>
      <c r="C577" s="2">
        <v>46087.348270937502</v>
      </c>
      <c r="D577">
        <v>532</v>
      </c>
      <c r="F577" s="2">
        <v>46087.014937604166</v>
      </c>
      <c r="G577" s="3">
        <v>46087</v>
      </c>
      <c r="H577" t="s">
        <v>115</v>
      </c>
      <c r="I577">
        <v>0</v>
      </c>
    </row>
    <row r="578" spans="1:9" x14ac:dyDescent="0.2">
      <c r="A578" s="16" t="s">
        <v>622</v>
      </c>
      <c r="B578" s="16" t="s">
        <v>10</v>
      </c>
      <c r="C578" s="2">
        <v>46087.353890069448</v>
      </c>
      <c r="D578">
        <v>532</v>
      </c>
      <c r="F578" s="2">
        <v>46087.020556736112</v>
      </c>
      <c r="G578" s="3">
        <v>46087</v>
      </c>
      <c r="H578" t="s">
        <v>115</v>
      </c>
      <c r="I578">
        <v>0</v>
      </c>
    </row>
    <row r="579" spans="1:9" x14ac:dyDescent="0.2">
      <c r="A579" s="16" t="s">
        <v>623</v>
      </c>
      <c r="B579" s="16" t="s">
        <v>10</v>
      </c>
      <c r="C579" s="2">
        <v>46087.355946979165</v>
      </c>
      <c r="D579">
        <v>576</v>
      </c>
      <c r="F579" s="2">
        <v>46087.022613645837</v>
      </c>
      <c r="G579" s="3">
        <v>46087</v>
      </c>
      <c r="H579" t="s">
        <v>115</v>
      </c>
      <c r="I579">
        <v>0</v>
      </c>
    </row>
    <row r="580" spans="1:9" x14ac:dyDescent="0.2">
      <c r="A580" s="16" t="s">
        <v>624</v>
      </c>
      <c r="B580" s="16" t="s">
        <v>10</v>
      </c>
      <c r="C580" s="2">
        <v>46087.369131041669</v>
      </c>
      <c r="D580">
        <v>3</v>
      </c>
      <c r="E580" s="7" t="s">
        <v>625</v>
      </c>
      <c r="F580" s="2">
        <v>46087.035797708333</v>
      </c>
      <c r="G580" s="3">
        <v>46087</v>
      </c>
      <c r="H580" t="s">
        <v>115</v>
      </c>
      <c r="I580">
        <v>0</v>
      </c>
    </row>
    <row r="581" spans="1:9" x14ac:dyDescent="0.2">
      <c r="A581" s="16" t="s">
        <v>626</v>
      </c>
      <c r="B581" s="16" t="s">
        <v>10</v>
      </c>
      <c r="C581" s="2">
        <v>46087.376078067129</v>
      </c>
      <c r="D581">
        <v>576</v>
      </c>
      <c r="E581" s="7" t="s">
        <v>34</v>
      </c>
      <c r="F581" s="2">
        <v>46087.042744733793</v>
      </c>
      <c r="G581" s="3">
        <v>46087</v>
      </c>
      <c r="H581" t="s">
        <v>115</v>
      </c>
      <c r="I581">
        <v>1</v>
      </c>
    </row>
    <row r="582" spans="1:9" x14ac:dyDescent="0.2">
      <c r="A582" s="16" t="s">
        <v>1156</v>
      </c>
      <c r="B582" s="16" t="s">
        <v>10</v>
      </c>
      <c r="C582" s="2">
        <v>46087.384186909723</v>
      </c>
      <c r="D582">
        <v>576</v>
      </c>
      <c r="E582" s="7" t="s">
        <v>34</v>
      </c>
      <c r="F582" s="2">
        <v>46087.050853576387</v>
      </c>
      <c r="G582" s="3">
        <v>46087</v>
      </c>
      <c r="H582" t="s">
        <v>115</v>
      </c>
      <c r="I582">
        <v>1</v>
      </c>
    </row>
    <row r="583" spans="1:9" x14ac:dyDescent="0.2">
      <c r="A583" s="16" t="s">
        <v>1341</v>
      </c>
      <c r="B583" s="16" t="s">
        <v>10</v>
      </c>
      <c r="C583" s="2">
        <v>46087.39718197917</v>
      </c>
      <c r="D583">
        <v>576</v>
      </c>
      <c r="E583" s="7" t="s">
        <v>34</v>
      </c>
      <c r="F583" s="2">
        <v>46087.063848645834</v>
      </c>
      <c r="G583" s="3">
        <v>46087</v>
      </c>
      <c r="H583" t="s">
        <v>115</v>
      </c>
      <c r="I583">
        <v>1</v>
      </c>
    </row>
    <row r="584" spans="1:9" x14ac:dyDescent="0.2">
      <c r="A584" s="16" t="s">
        <v>1063</v>
      </c>
      <c r="B584" s="16" t="s">
        <v>10</v>
      </c>
      <c r="C584" s="2">
        <v>46087.397960289352</v>
      </c>
      <c r="D584">
        <v>576</v>
      </c>
      <c r="E584" s="7" t="s">
        <v>34</v>
      </c>
      <c r="F584" s="2">
        <v>46087.064626956017</v>
      </c>
      <c r="G584" s="3">
        <v>46087</v>
      </c>
      <c r="H584" t="s">
        <v>115</v>
      </c>
      <c r="I584">
        <v>1</v>
      </c>
    </row>
    <row r="585" spans="1:9" x14ac:dyDescent="0.2">
      <c r="A585" s="16" t="s">
        <v>627</v>
      </c>
      <c r="B585" s="16" t="s">
        <v>10</v>
      </c>
      <c r="C585" s="2">
        <v>46087.399203958332</v>
      </c>
      <c r="D585">
        <v>532</v>
      </c>
      <c r="F585" s="2">
        <v>46087.065870625003</v>
      </c>
      <c r="G585" s="3">
        <v>46087</v>
      </c>
      <c r="H585" t="s">
        <v>115</v>
      </c>
      <c r="I585">
        <v>1</v>
      </c>
    </row>
    <row r="586" spans="1:9" x14ac:dyDescent="0.2">
      <c r="A586" s="16" t="s">
        <v>628</v>
      </c>
      <c r="B586" s="16" t="s">
        <v>10</v>
      </c>
      <c r="C586" s="2">
        <v>46087.41888114583</v>
      </c>
      <c r="D586">
        <v>576</v>
      </c>
      <c r="E586" s="7" t="s">
        <v>34</v>
      </c>
      <c r="F586" s="2">
        <v>46087.085547812501</v>
      </c>
      <c r="G586" s="3">
        <v>46087</v>
      </c>
      <c r="H586" t="s">
        <v>115</v>
      </c>
      <c r="I586">
        <v>2</v>
      </c>
    </row>
    <row r="587" spans="1:9" x14ac:dyDescent="0.2">
      <c r="A587" s="16" t="s">
        <v>629</v>
      </c>
      <c r="B587" s="16" t="s">
        <v>10</v>
      </c>
      <c r="C587" s="2">
        <v>46087.421748263892</v>
      </c>
      <c r="D587">
        <v>532</v>
      </c>
      <c r="F587" s="2">
        <v>46087.088414930557</v>
      </c>
      <c r="G587" s="3">
        <v>46087</v>
      </c>
      <c r="H587" t="s">
        <v>115</v>
      </c>
      <c r="I587">
        <v>2</v>
      </c>
    </row>
    <row r="588" spans="1:9" x14ac:dyDescent="0.2">
      <c r="A588" s="16" t="s">
        <v>630</v>
      </c>
      <c r="B588" s="16" t="s">
        <v>10</v>
      </c>
      <c r="C588" s="2">
        <v>46087.423077951389</v>
      </c>
      <c r="D588">
        <v>532</v>
      </c>
      <c r="F588" s="2">
        <v>46087.089744618053</v>
      </c>
      <c r="G588" s="3">
        <v>46087</v>
      </c>
      <c r="H588" t="s">
        <v>115</v>
      </c>
      <c r="I588">
        <v>2</v>
      </c>
    </row>
    <row r="589" spans="1:9" x14ac:dyDescent="0.2">
      <c r="A589" s="16" t="s">
        <v>631</v>
      </c>
      <c r="B589" s="16" t="s">
        <v>10</v>
      </c>
      <c r="C589" s="2">
        <v>46087.428754247689</v>
      </c>
      <c r="D589">
        <v>3</v>
      </c>
      <c r="F589" s="2">
        <v>46087.095420914353</v>
      </c>
      <c r="G589" s="3">
        <v>46087</v>
      </c>
      <c r="H589" t="s">
        <v>115</v>
      </c>
      <c r="I589">
        <v>2</v>
      </c>
    </row>
    <row r="590" spans="1:9" x14ac:dyDescent="0.2">
      <c r="A590" s="16" t="s">
        <v>794</v>
      </c>
      <c r="B590" s="16" t="s">
        <v>10</v>
      </c>
      <c r="C590" s="2">
        <v>46087.436209270832</v>
      </c>
      <c r="D590">
        <v>576</v>
      </c>
      <c r="F590" s="2">
        <v>46087.102875937497</v>
      </c>
      <c r="G590" s="3">
        <v>46087</v>
      </c>
      <c r="H590" t="s">
        <v>115</v>
      </c>
      <c r="I590">
        <v>2</v>
      </c>
    </row>
    <row r="591" spans="1:9" x14ac:dyDescent="0.2">
      <c r="A591" s="16" t="s">
        <v>795</v>
      </c>
      <c r="B591" s="16" t="s">
        <v>10</v>
      </c>
      <c r="C591" s="2">
        <v>46087.437105763885</v>
      </c>
      <c r="D591">
        <v>576</v>
      </c>
      <c r="E591" s="7" t="s">
        <v>34</v>
      </c>
      <c r="F591" s="2">
        <v>46087.103772430557</v>
      </c>
      <c r="G591" s="3">
        <v>46087</v>
      </c>
      <c r="H591" t="s">
        <v>115</v>
      </c>
      <c r="I591">
        <v>2</v>
      </c>
    </row>
    <row r="592" spans="1:9" x14ac:dyDescent="0.2">
      <c r="A592" s="16" t="s">
        <v>796</v>
      </c>
      <c r="B592" s="16" t="s">
        <v>10</v>
      </c>
      <c r="C592" s="2">
        <v>46087.443752129628</v>
      </c>
      <c r="D592">
        <v>532</v>
      </c>
      <c r="F592" s="2">
        <v>46087.110418796299</v>
      </c>
      <c r="G592" s="3">
        <v>46087</v>
      </c>
      <c r="H592" t="s">
        <v>115</v>
      </c>
      <c r="I592">
        <v>2</v>
      </c>
    </row>
    <row r="593" spans="1:9" x14ac:dyDescent="0.2">
      <c r="A593" s="16" t="s">
        <v>797</v>
      </c>
      <c r="B593" s="16" t="s">
        <v>10</v>
      </c>
      <c r="C593" s="2">
        <v>46087.455228078703</v>
      </c>
      <c r="D593">
        <v>532</v>
      </c>
      <c r="F593" s="2">
        <v>46087.121894745367</v>
      </c>
      <c r="G593" s="3">
        <v>46087</v>
      </c>
      <c r="H593" t="s">
        <v>115</v>
      </c>
      <c r="I593">
        <v>2</v>
      </c>
    </row>
    <row r="594" spans="1:9" x14ac:dyDescent="0.2">
      <c r="A594" s="16" t="s">
        <v>632</v>
      </c>
      <c r="B594" s="16" t="s">
        <v>10</v>
      </c>
      <c r="C594" s="2">
        <v>46087.458570497685</v>
      </c>
      <c r="D594">
        <v>2</v>
      </c>
      <c r="F594" s="2">
        <v>46087.12523716435</v>
      </c>
      <c r="G594" s="3">
        <v>46087</v>
      </c>
      <c r="H594" t="s">
        <v>115</v>
      </c>
      <c r="I594">
        <v>3</v>
      </c>
    </row>
    <row r="595" spans="1:9" x14ac:dyDescent="0.2">
      <c r="A595" s="16" t="s">
        <v>633</v>
      </c>
      <c r="B595" s="16" t="s">
        <v>10</v>
      </c>
      <c r="C595" s="2">
        <v>46087.459922361108</v>
      </c>
      <c r="D595">
        <v>576</v>
      </c>
      <c r="E595" s="7" t="s">
        <v>34</v>
      </c>
      <c r="F595" s="2">
        <v>46087.126589027779</v>
      </c>
      <c r="G595" s="3">
        <v>46087</v>
      </c>
      <c r="H595" t="s">
        <v>115</v>
      </c>
      <c r="I595">
        <v>3</v>
      </c>
    </row>
    <row r="596" spans="1:9" x14ac:dyDescent="0.2">
      <c r="A596" s="16" t="s">
        <v>857</v>
      </c>
      <c r="B596" s="16" t="s">
        <v>10</v>
      </c>
      <c r="C596" s="2">
        <v>46087.473946053244</v>
      </c>
      <c r="D596">
        <v>432</v>
      </c>
      <c r="E596" s="7" t="s">
        <v>34</v>
      </c>
      <c r="F596" s="2">
        <v>46087.140612719908</v>
      </c>
      <c r="G596" s="3">
        <v>46087</v>
      </c>
      <c r="H596" t="s">
        <v>115</v>
      </c>
      <c r="I596">
        <v>3</v>
      </c>
    </row>
    <row r="597" spans="1:9" x14ac:dyDescent="0.2">
      <c r="A597" s="16" t="s">
        <v>798</v>
      </c>
      <c r="B597" s="16" t="s">
        <v>10</v>
      </c>
      <c r="C597" s="2">
        <v>46087.512018182868</v>
      </c>
      <c r="D597">
        <v>432</v>
      </c>
      <c r="E597" s="7" t="s">
        <v>34</v>
      </c>
      <c r="F597" s="2">
        <v>46087.178684849539</v>
      </c>
      <c r="G597" s="3">
        <v>46087</v>
      </c>
      <c r="H597" t="s">
        <v>115</v>
      </c>
      <c r="I597">
        <v>4</v>
      </c>
    </row>
    <row r="598" spans="1:9" x14ac:dyDescent="0.2">
      <c r="A598" s="16" t="s">
        <v>806</v>
      </c>
      <c r="B598" s="16" t="s">
        <v>10</v>
      </c>
      <c r="C598" s="2">
        <v>46087.516137511571</v>
      </c>
      <c r="D598">
        <v>432</v>
      </c>
      <c r="E598" s="7" t="s">
        <v>34</v>
      </c>
      <c r="F598" s="2">
        <v>46087.182804178243</v>
      </c>
      <c r="G598" s="3">
        <v>46087</v>
      </c>
      <c r="H598" t="s">
        <v>115</v>
      </c>
      <c r="I598">
        <v>4</v>
      </c>
    </row>
    <row r="599" spans="1:9" x14ac:dyDescent="0.2">
      <c r="A599" s="16" t="s">
        <v>1387</v>
      </c>
      <c r="B599" s="16" t="s">
        <v>10</v>
      </c>
      <c r="C599" s="2">
        <v>46087.519250266203</v>
      </c>
      <c r="D599">
        <v>432</v>
      </c>
      <c r="E599" s="7" t="s">
        <v>34</v>
      </c>
      <c r="F599" s="2">
        <v>46087.185916932867</v>
      </c>
      <c r="G599" s="3">
        <v>46087</v>
      </c>
      <c r="H599" t="s">
        <v>115</v>
      </c>
      <c r="I599">
        <v>4</v>
      </c>
    </row>
    <row r="600" spans="1:9" x14ac:dyDescent="0.2">
      <c r="A600" s="16" t="s">
        <v>634</v>
      </c>
      <c r="B600" s="16" t="s">
        <v>10</v>
      </c>
      <c r="C600" s="2">
        <v>46087.520795613425</v>
      </c>
      <c r="D600">
        <v>432</v>
      </c>
      <c r="E600" s="7" t="s">
        <v>34</v>
      </c>
      <c r="F600" s="2">
        <v>46087.18746228009</v>
      </c>
      <c r="G600" s="3">
        <v>46087</v>
      </c>
      <c r="H600" t="s">
        <v>115</v>
      </c>
      <c r="I600">
        <v>4</v>
      </c>
    </row>
    <row r="601" spans="1:9" x14ac:dyDescent="0.2">
      <c r="A601" s="16" t="s">
        <v>1157</v>
      </c>
      <c r="B601" s="16" t="s">
        <v>10</v>
      </c>
      <c r="C601" s="2">
        <v>46087.538359953702</v>
      </c>
      <c r="D601">
        <v>432</v>
      </c>
      <c r="E601" s="7" t="s">
        <v>34</v>
      </c>
      <c r="F601" s="2">
        <v>46087.205026620373</v>
      </c>
      <c r="G601" s="3">
        <v>46087</v>
      </c>
      <c r="H601" t="s">
        <v>115</v>
      </c>
      <c r="I601">
        <v>4</v>
      </c>
    </row>
    <row r="602" spans="1:9" x14ac:dyDescent="0.2">
      <c r="A602" s="16" t="s">
        <v>635</v>
      </c>
      <c r="B602" s="16" t="s">
        <v>10</v>
      </c>
      <c r="C602" s="2">
        <v>46087.548566493053</v>
      </c>
      <c r="D602">
        <v>432</v>
      </c>
      <c r="E602" s="7" t="s">
        <v>34</v>
      </c>
      <c r="F602" s="2">
        <v>46087.215233159724</v>
      </c>
      <c r="G602" s="3">
        <v>46087</v>
      </c>
      <c r="H602" t="s">
        <v>115</v>
      </c>
      <c r="I602">
        <v>5</v>
      </c>
    </row>
    <row r="603" spans="1:9" x14ac:dyDescent="0.2">
      <c r="A603" s="16" t="s">
        <v>1064</v>
      </c>
      <c r="B603" s="16" t="s">
        <v>10</v>
      </c>
      <c r="C603" s="2">
        <v>46087.553537106483</v>
      </c>
      <c r="D603">
        <v>432</v>
      </c>
      <c r="E603" s="7" t="s">
        <v>34</v>
      </c>
      <c r="F603" s="2">
        <v>46087.220203773148</v>
      </c>
      <c r="G603" s="3">
        <v>46087</v>
      </c>
      <c r="H603" t="s">
        <v>115</v>
      </c>
      <c r="I603">
        <v>5</v>
      </c>
    </row>
    <row r="604" spans="1:9" x14ac:dyDescent="0.2">
      <c r="A604" s="16" t="s">
        <v>636</v>
      </c>
      <c r="B604" s="16" t="s">
        <v>10</v>
      </c>
      <c r="C604" s="2">
        <v>46087.567314803244</v>
      </c>
      <c r="D604">
        <v>576</v>
      </c>
      <c r="F604" s="2">
        <v>46087.233981469908</v>
      </c>
      <c r="G604" s="3">
        <v>46087</v>
      </c>
      <c r="H604" t="s">
        <v>115</v>
      </c>
      <c r="I604">
        <v>5</v>
      </c>
    </row>
    <row r="605" spans="1:9" x14ac:dyDescent="0.2">
      <c r="A605" s="16" t="s">
        <v>835</v>
      </c>
      <c r="B605" s="16" t="s">
        <v>10</v>
      </c>
      <c r="C605" s="2">
        <v>46087.567664756942</v>
      </c>
      <c r="D605">
        <v>432</v>
      </c>
      <c r="E605" s="7" t="s">
        <v>34</v>
      </c>
      <c r="F605" s="2">
        <v>46087.234331423613</v>
      </c>
      <c r="G605" s="3">
        <v>46087</v>
      </c>
      <c r="H605" t="s">
        <v>115</v>
      </c>
      <c r="I605">
        <v>5</v>
      </c>
    </row>
    <row r="606" spans="1:9" x14ac:dyDescent="0.2">
      <c r="A606" s="16" t="s">
        <v>637</v>
      </c>
      <c r="B606" s="16" t="s">
        <v>10</v>
      </c>
      <c r="C606" s="2">
        <v>46087.568801851849</v>
      </c>
      <c r="D606">
        <v>3</v>
      </c>
      <c r="F606" s="2">
        <v>46087.23546851852</v>
      </c>
      <c r="G606" s="3">
        <v>46087</v>
      </c>
      <c r="H606" t="s">
        <v>115</v>
      </c>
      <c r="I606">
        <v>5</v>
      </c>
    </row>
    <row r="607" spans="1:9" x14ac:dyDescent="0.2">
      <c r="A607" s="16" t="s">
        <v>638</v>
      </c>
      <c r="B607" s="16" t="s">
        <v>10</v>
      </c>
      <c r="C607" s="2">
        <v>46087.5688547338</v>
      </c>
      <c r="D607">
        <v>617</v>
      </c>
      <c r="F607" s="2">
        <v>46087.235521400464</v>
      </c>
      <c r="G607" s="3">
        <v>46087</v>
      </c>
      <c r="H607" t="s">
        <v>115</v>
      </c>
      <c r="I607">
        <v>5</v>
      </c>
    </row>
    <row r="608" spans="1:9" x14ac:dyDescent="0.2">
      <c r="A608" s="16" t="s">
        <v>639</v>
      </c>
      <c r="B608" s="16" t="s">
        <v>10</v>
      </c>
      <c r="C608" s="2">
        <v>46087.583339050929</v>
      </c>
      <c r="D608">
        <v>432</v>
      </c>
      <c r="E608" s="7" t="s">
        <v>34</v>
      </c>
      <c r="F608" s="2">
        <v>46087.250005717593</v>
      </c>
      <c r="G608" s="3">
        <v>46087</v>
      </c>
      <c r="H608" t="s">
        <v>115</v>
      </c>
      <c r="I608">
        <v>6</v>
      </c>
    </row>
    <row r="609" spans="1:9" x14ac:dyDescent="0.2">
      <c r="A609" s="16" t="s">
        <v>640</v>
      </c>
      <c r="B609" s="16" t="s">
        <v>10</v>
      </c>
      <c r="C609" s="2">
        <v>46087.607017499999</v>
      </c>
      <c r="D609">
        <v>532</v>
      </c>
      <c r="F609" s="2">
        <v>46087.27368416667</v>
      </c>
      <c r="G609" s="3">
        <v>46087</v>
      </c>
      <c r="H609" t="s">
        <v>115</v>
      </c>
      <c r="I609">
        <v>6</v>
      </c>
    </row>
    <row r="610" spans="1:9" x14ac:dyDescent="0.2">
      <c r="A610" s="16" t="s">
        <v>641</v>
      </c>
      <c r="B610" s="16" t="s">
        <v>10</v>
      </c>
      <c r="C610" s="2">
        <v>46087.610557048611</v>
      </c>
      <c r="D610">
        <v>532</v>
      </c>
      <c r="F610" s="2">
        <v>46087.277223715275</v>
      </c>
      <c r="G610" s="3">
        <v>46087</v>
      </c>
      <c r="H610" t="s">
        <v>115</v>
      </c>
      <c r="I610">
        <v>6</v>
      </c>
    </row>
    <row r="611" spans="1:9" x14ac:dyDescent="0.2">
      <c r="A611" s="16" t="s">
        <v>642</v>
      </c>
      <c r="B611" s="16" t="s">
        <v>10</v>
      </c>
      <c r="C611" s="2">
        <v>46087.625934212963</v>
      </c>
      <c r="D611">
        <v>432</v>
      </c>
      <c r="E611" s="7" t="s">
        <v>34</v>
      </c>
      <c r="F611" s="2">
        <v>46087.292600879628</v>
      </c>
      <c r="G611" s="3">
        <v>46087</v>
      </c>
      <c r="H611" t="s">
        <v>115</v>
      </c>
      <c r="I611">
        <v>7</v>
      </c>
    </row>
    <row r="612" spans="1:9" x14ac:dyDescent="0.2">
      <c r="A612" s="16" t="s">
        <v>643</v>
      </c>
      <c r="B612" s="16" t="s">
        <v>10</v>
      </c>
      <c r="C612" s="2">
        <v>46087.656326180557</v>
      </c>
      <c r="D612">
        <v>576</v>
      </c>
      <c r="E612" s="7" t="s">
        <v>582</v>
      </c>
      <c r="F612" s="2">
        <v>46087.322992847221</v>
      </c>
      <c r="G612" s="3">
        <v>46087</v>
      </c>
      <c r="H612" t="s">
        <v>115</v>
      </c>
      <c r="I612">
        <v>7</v>
      </c>
    </row>
    <row r="613" spans="1:9" x14ac:dyDescent="0.2">
      <c r="A613" s="16" t="s">
        <v>644</v>
      </c>
      <c r="B613" s="16" t="s">
        <v>10</v>
      </c>
      <c r="C613" s="2">
        <v>46087.657838449071</v>
      </c>
      <c r="D613">
        <v>3</v>
      </c>
      <c r="F613" s="2">
        <v>46087.324505115743</v>
      </c>
      <c r="G613" s="3">
        <v>46087</v>
      </c>
      <c r="H613" t="s">
        <v>115</v>
      </c>
      <c r="I613">
        <v>7</v>
      </c>
    </row>
    <row r="614" spans="1:9" x14ac:dyDescent="0.2">
      <c r="A614" s="16" t="s">
        <v>645</v>
      </c>
      <c r="B614" s="16" t="s">
        <v>10</v>
      </c>
      <c r="C614" s="2">
        <v>46087.667352326389</v>
      </c>
      <c r="D614">
        <v>576</v>
      </c>
      <c r="E614" s="7" t="s">
        <v>34</v>
      </c>
      <c r="F614" s="2">
        <v>46087.334018993053</v>
      </c>
      <c r="G614" s="3">
        <v>46087</v>
      </c>
      <c r="H614" t="s">
        <v>115</v>
      </c>
      <c r="I614">
        <v>8</v>
      </c>
    </row>
    <row r="615" spans="1:9" x14ac:dyDescent="0.2">
      <c r="A615" s="16" t="s">
        <v>646</v>
      </c>
      <c r="B615" s="16" t="s">
        <v>10</v>
      </c>
      <c r="C615" s="2">
        <v>46087.677949780089</v>
      </c>
      <c r="D615">
        <v>1</v>
      </c>
      <c r="F615" s="2">
        <v>46087.34461644676</v>
      </c>
      <c r="G615" s="3">
        <v>46087</v>
      </c>
      <c r="H615" t="s">
        <v>115</v>
      </c>
      <c r="I615">
        <v>8</v>
      </c>
    </row>
    <row r="616" spans="1:9" x14ac:dyDescent="0.2">
      <c r="A616" s="16" t="s">
        <v>647</v>
      </c>
      <c r="B616" s="16" t="s">
        <v>10</v>
      </c>
      <c r="C616" s="2">
        <v>46087.694585798614</v>
      </c>
      <c r="D616">
        <v>618</v>
      </c>
      <c r="F616" s="2">
        <v>46087.361252465278</v>
      </c>
      <c r="G616" s="3">
        <v>46087</v>
      </c>
      <c r="H616" t="s">
        <v>115</v>
      </c>
      <c r="I616">
        <v>8</v>
      </c>
    </row>
    <row r="617" spans="1:9" x14ac:dyDescent="0.2">
      <c r="A617" s="16" t="s">
        <v>648</v>
      </c>
      <c r="B617" s="16" t="s">
        <v>10</v>
      </c>
      <c r="C617" s="2">
        <v>46087.698396793981</v>
      </c>
      <c r="D617">
        <v>3</v>
      </c>
      <c r="F617" s="2">
        <v>46087.365063460646</v>
      </c>
      <c r="G617" s="3">
        <v>46087</v>
      </c>
      <c r="H617" t="s">
        <v>115</v>
      </c>
      <c r="I617">
        <v>8</v>
      </c>
    </row>
    <row r="618" spans="1:9" x14ac:dyDescent="0.2">
      <c r="A618" s="16" t="s">
        <v>649</v>
      </c>
      <c r="B618" s="16" t="s">
        <v>10</v>
      </c>
      <c r="C618" s="2">
        <v>46087.700693148145</v>
      </c>
      <c r="D618">
        <v>3</v>
      </c>
      <c r="F618" s="2">
        <v>46087.367359814816</v>
      </c>
      <c r="G618" s="3">
        <v>46087</v>
      </c>
      <c r="H618" t="s">
        <v>115</v>
      </c>
      <c r="I618">
        <v>8</v>
      </c>
    </row>
    <row r="619" spans="1:9" x14ac:dyDescent="0.2">
      <c r="A619" s="16" t="s">
        <v>650</v>
      </c>
      <c r="B619" s="16" t="s">
        <v>10</v>
      </c>
      <c r="C619" s="2">
        <v>46087.703804537035</v>
      </c>
      <c r="D619">
        <v>2</v>
      </c>
      <c r="E619" s="7" t="s">
        <v>651</v>
      </c>
      <c r="F619" s="2">
        <v>46087.370471203707</v>
      </c>
      <c r="G619" s="3">
        <v>46087</v>
      </c>
      <c r="H619" t="s">
        <v>115</v>
      </c>
      <c r="I619">
        <v>8</v>
      </c>
    </row>
    <row r="620" spans="1:9" x14ac:dyDescent="0.2">
      <c r="A620" s="16" t="s">
        <v>652</v>
      </c>
      <c r="B620" s="16" t="s">
        <v>10</v>
      </c>
      <c r="C620" s="2">
        <v>46087.721062326389</v>
      </c>
      <c r="D620">
        <v>532</v>
      </c>
      <c r="F620" s="2">
        <v>46087.387728993053</v>
      </c>
      <c r="G620" s="3">
        <v>46087</v>
      </c>
      <c r="H620" t="s">
        <v>115</v>
      </c>
      <c r="I620">
        <v>9</v>
      </c>
    </row>
    <row r="621" spans="1:9" x14ac:dyDescent="0.2">
      <c r="A621" s="16" t="s">
        <v>653</v>
      </c>
      <c r="B621" s="16" t="s">
        <v>10</v>
      </c>
      <c r="C621" s="2">
        <v>46087.724496076386</v>
      </c>
      <c r="D621">
        <v>432</v>
      </c>
      <c r="E621" s="7" t="s">
        <v>34</v>
      </c>
      <c r="F621" s="2">
        <v>46087.391162743057</v>
      </c>
      <c r="G621" s="3">
        <v>46087</v>
      </c>
      <c r="H621" t="s">
        <v>115</v>
      </c>
      <c r="I621">
        <v>9</v>
      </c>
    </row>
    <row r="622" spans="1:9" x14ac:dyDescent="0.2">
      <c r="A622" s="16" t="s">
        <v>654</v>
      </c>
      <c r="B622" s="16" t="s">
        <v>10</v>
      </c>
      <c r="C622" s="2">
        <v>46087.756717118056</v>
      </c>
      <c r="D622">
        <v>432</v>
      </c>
      <c r="E622" s="7" t="s">
        <v>34</v>
      </c>
      <c r="F622" s="2">
        <v>46087.42338378472</v>
      </c>
      <c r="G622" s="3">
        <v>46087</v>
      </c>
      <c r="H622" t="s">
        <v>115</v>
      </c>
      <c r="I622">
        <v>10</v>
      </c>
    </row>
    <row r="623" spans="1:9" x14ac:dyDescent="0.2">
      <c r="A623" s="16" t="s">
        <v>655</v>
      </c>
      <c r="B623" s="16" t="s">
        <v>10</v>
      </c>
      <c r="C623" s="2">
        <v>46087.81064802083</v>
      </c>
      <c r="D623">
        <v>432</v>
      </c>
      <c r="E623" s="7" t="s">
        <v>34</v>
      </c>
      <c r="F623" s="2">
        <v>46087.477314687501</v>
      </c>
      <c r="G623" s="3">
        <v>46087</v>
      </c>
      <c r="H623" t="s">
        <v>115</v>
      </c>
      <c r="I623">
        <v>11</v>
      </c>
    </row>
    <row r="624" spans="1:9" x14ac:dyDescent="0.2">
      <c r="A624" s="16" t="s">
        <v>656</v>
      </c>
      <c r="B624" s="16" t="s">
        <v>10</v>
      </c>
      <c r="C624" s="2">
        <v>46087.84135609954</v>
      </c>
      <c r="D624">
        <v>432</v>
      </c>
      <c r="E624" s="7" t="s">
        <v>34</v>
      </c>
      <c r="F624" s="2">
        <v>46087.508022766204</v>
      </c>
      <c r="G624" s="3">
        <v>46087</v>
      </c>
      <c r="H624" t="s">
        <v>115</v>
      </c>
      <c r="I624">
        <v>12</v>
      </c>
    </row>
    <row r="625" spans="1:9" x14ac:dyDescent="0.2">
      <c r="A625" s="16" t="s">
        <v>657</v>
      </c>
      <c r="B625" s="16" t="s">
        <v>10</v>
      </c>
      <c r="C625" s="2">
        <v>46088.037522071761</v>
      </c>
      <c r="D625">
        <v>3</v>
      </c>
      <c r="F625" s="2">
        <v>46087.704188738426</v>
      </c>
      <c r="G625" s="3">
        <v>46087</v>
      </c>
      <c r="H625" t="s">
        <v>115</v>
      </c>
      <c r="I625">
        <v>16</v>
      </c>
    </row>
    <row r="626" spans="1:9" x14ac:dyDescent="0.2">
      <c r="A626" s="16" t="s">
        <v>658</v>
      </c>
      <c r="B626" s="16" t="s">
        <v>10</v>
      </c>
      <c r="C626" s="2">
        <v>46088.037701724534</v>
      </c>
      <c r="D626">
        <v>3</v>
      </c>
      <c r="E626" s="7" t="s">
        <v>86</v>
      </c>
      <c r="F626" s="2">
        <v>46087.704368391205</v>
      </c>
      <c r="G626" s="3">
        <v>46087</v>
      </c>
      <c r="H626" t="s">
        <v>115</v>
      </c>
      <c r="I626">
        <v>16</v>
      </c>
    </row>
    <row r="627" spans="1:9" x14ac:dyDescent="0.2">
      <c r="A627" s="16" t="s">
        <v>659</v>
      </c>
      <c r="B627" s="16" t="s">
        <v>10</v>
      </c>
      <c r="C627" s="2">
        <v>46088.039638946757</v>
      </c>
      <c r="D627">
        <v>3</v>
      </c>
      <c r="E627" s="7" t="s">
        <v>70</v>
      </c>
      <c r="F627" s="2">
        <v>46087.706305613428</v>
      </c>
      <c r="G627" s="3">
        <v>46087</v>
      </c>
      <c r="H627" t="s">
        <v>115</v>
      </c>
      <c r="I627">
        <v>16</v>
      </c>
    </row>
    <row r="628" spans="1:9" x14ac:dyDescent="0.2">
      <c r="A628" s="16" t="s">
        <v>660</v>
      </c>
      <c r="B628" s="16" t="s">
        <v>10</v>
      </c>
      <c r="C628" s="2">
        <v>46088.042063935187</v>
      </c>
      <c r="D628">
        <v>3</v>
      </c>
      <c r="E628" s="7" t="s">
        <v>86</v>
      </c>
      <c r="F628" s="2">
        <v>46087.708730601851</v>
      </c>
      <c r="G628" s="3">
        <v>46087</v>
      </c>
      <c r="H628" t="s">
        <v>115</v>
      </c>
      <c r="I628">
        <v>17</v>
      </c>
    </row>
    <row r="629" spans="1:9" x14ac:dyDescent="0.2">
      <c r="A629" s="16" t="s">
        <v>661</v>
      </c>
      <c r="B629" s="16" t="s">
        <v>10</v>
      </c>
      <c r="C629" s="2">
        <v>46088.044221655095</v>
      </c>
      <c r="D629">
        <v>3</v>
      </c>
      <c r="E629" s="7" t="s">
        <v>70</v>
      </c>
      <c r="F629" s="2">
        <v>46087.710888321759</v>
      </c>
      <c r="G629" s="3">
        <v>46087</v>
      </c>
      <c r="H629" t="s">
        <v>115</v>
      </c>
      <c r="I629">
        <v>17</v>
      </c>
    </row>
    <row r="630" spans="1:9" x14ac:dyDescent="0.2">
      <c r="A630" s="16" t="s">
        <v>662</v>
      </c>
      <c r="B630" s="16" t="s">
        <v>10</v>
      </c>
      <c r="C630" s="2">
        <v>46088.106888993054</v>
      </c>
      <c r="D630">
        <v>3</v>
      </c>
      <c r="E630" s="7" t="s">
        <v>70</v>
      </c>
      <c r="F630" s="2">
        <v>46087.773555659725</v>
      </c>
      <c r="G630" s="3">
        <v>46087</v>
      </c>
      <c r="H630" t="s">
        <v>115</v>
      </c>
      <c r="I630">
        <v>18</v>
      </c>
    </row>
    <row r="631" spans="1:9" x14ac:dyDescent="0.2">
      <c r="A631" s="16" t="s">
        <v>663</v>
      </c>
      <c r="B631" s="16" t="s">
        <v>10</v>
      </c>
      <c r="C631" s="2">
        <v>46088.359522569444</v>
      </c>
      <c r="D631">
        <v>532</v>
      </c>
      <c r="E631" s="7" t="s">
        <v>31</v>
      </c>
      <c r="F631" s="2">
        <v>46088.026189236109</v>
      </c>
      <c r="G631" s="3">
        <v>46088</v>
      </c>
      <c r="H631" t="s">
        <v>120</v>
      </c>
      <c r="I631">
        <v>0</v>
      </c>
    </row>
    <row r="632" spans="1:9" x14ac:dyDescent="0.2">
      <c r="A632" s="16" t="s">
        <v>664</v>
      </c>
      <c r="B632" s="16" t="s">
        <v>10</v>
      </c>
      <c r="C632" s="2">
        <v>46088.36578709491</v>
      </c>
      <c r="D632">
        <v>532</v>
      </c>
      <c r="F632" s="2">
        <v>46088.032453761574</v>
      </c>
      <c r="G632" s="3">
        <v>46088</v>
      </c>
      <c r="H632" t="s">
        <v>120</v>
      </c>
      <c r="I632">
        <v>0</v>
      </c>
    </row>
    <row r="633" spans="1:9" x14ac:dyDescent="0.2">
      <c r="A633" s="16" t="s">
        <v>665</v>
      </c>
      <c r="B633" s="16" t="s">
        <v>10</v>
      </c>
      <c r="C633" s="2">
        <v>46088.378264120372</v>
      </c>
      <c r="D633">
        <v>532</v>
      </c>
      <c r="E633" s="7" t="s">
        <v>31</v>
      </c>
      <c r="F633" s="2">
        <v>46088.044930787037</v>
      </c>
      <c r="G633" s="3">
        <v>46088</v>
      </c>
      <c r="H633" t="s">
        <v>120</v>
      </c>
      <c r="I633">
        <v>1</v>
      </c>
    </row>
    <row r="634" spans="1:9" x14ac:dyDescent="0.2">
      <c r="A634" s="16" t="s">
        <v>666</v>
      </c>
      <c r="B634" s="16" t="s">
        <v>10</v>
      </c>
      <c r="C634" s="2">
        <v>46088.420121064817</v>
      </c>
      <c r="D634">
        <v>532</v>
      </c>
      <c r="E634" s="7" t="s">
        <v>31</v>
      </c>
      <c r="F634" s="2">
        <v>46088.086787731481</v>
      </c>
      <c r="G634" s="3">
        <v>46088</v>
      </c>
      <c r="H634" t="s">
        <v>120</v>
      </c>
      <c r="I634">
        <v>2</v>
      </c>
    </row>
    <row r="635" spans="1:9" x14ac:dyDescent="0.2">
      <c r="A635" s="16" t="s">
        <v>667</v>
      </c>
      <c r="B635" s="16" t="s">
        <v>10</v>
      </c>
      <c r="C635" s="2">
        <v>46088.429570173612</v>
      </c>
      <c r="D635">
        <v>3</v>
      </c>
      <c r="E635" s="7">
        <v>10851</v>
      </c>
      <c r="F635" s="2">
        <v>46088.096236840276</v>
      </c>
      <c r="G635" s="3">
        <v>46088</v>
      </c>
      <c r="H635" t="s">
        <v>120</v>
      </c>
      <c r="I635">
        <v>2</v>
      </c>
    </row>
    <row r="636" spans="1:9" x14ac:dyDescent="0.2">
      <c r="A636" s="16" t="s">
        <v>668</v>
      </c>
      <c r="B636" s="16" t="s">
        <v>10</v>
      </c>
      <c r="C636" s="2">
        <v>46088.472655011574</v>
      </c>
      <c r="D636">
        <v>576</v>
      </c>
      <c r="F636" s="2">
        <v>46088.139321678238</v>
      </c>
      <c r="G636" s="3">
        <v>46088</v>
      </c>
      <c r="H636" t="s">
        <v>120</v>
      </c>
      <c r="I636">
        <v>3</v>
      </c>
    </row>
    <row r="637" spans="1:9" x14ac:dyDescent="0.2">
      <c r="A637" s="16" t="s">
        <v>669</v>
      </c>
      <c r="B637" s="16" t="s">
        <v>10</v>
      </c>
      <c r="C637" s="2">
        <v>46088.501540254627</v>
      </c>
      <c r="D637">
        <v>532</v>
      </c>
      <c r="F637" s="2">
        <v>46088.168206921298</v>
      </c>
      <c r="G637" s="3">
        <v>46088</v>
      </c>
      <c r="H637" t="s">
        <v>120</v>
      </c>
      <c r="I637">
        <v>4</v>
      </c>
    </row>
    <row r="638" spans="1:9" x14ac:dyDescent="0.2">
      <c r="A638" s="16" t="s">
        <v>670</v>
      </c>
      <c r="B638" s="16" t="s">
        <v>10</v>
      </c>
      <c r="C638" s="2">
        <v>46088.529906944445</v>
      </c>
      <c r="D638">
        <v>532</v>
      </c>
      <c r="E638" s="7" t="s">
        <v>31</v>
      </c>
      <c r="F638" s="2">
        <v>46088.196573611109</v>
      </c>
      <c r="G638" s="3">
        <v>46088</v>
      </c>
      <c r="H638" t="s">
        <v>120</v>
      </c>
      <c r="I638">
        <v>4</v>
      </c>
    </row>
    <row r="639" spans="1:9" x14ac:dyDescent="0.2">
      <c r="A639" s="16" t="s">
        <v>671</v>
      </c>
      <c r="B639" s="16" t="s">
        <v>10</v>
      </c>
      <c r="C639" s="2">
        <v>46088.620702974535</v>
      </c>
      <c r="D639">
        <v>3</v>
      </c>
      <c r="E639" s="7" t="s">
        <v>275</v>
      </c>
      <c r="F639" s="2">
        <v>46088.287369641206</v>
      </c>
      <c r="G639" s="3">
        <v>46088</v>
      </c>
      <c r="H639" t="s">
        <v>120</v>
      </c>
      <c r="I639">
        <v>6</v>
      </c>
    </row>
    <row r="640" spans="1:9" x14ac:dyDescent="0.2">
      <c r="A640" s="16" t="s">
        <v>672</v>
      </c>
      <c r="B640" s="16" t="s">
        <v>10</v>
      </c>
      <c r="C640" s="2">
        <v>46088.625560451386</v>
      </c>
      <c r="D640">
        <v>532</v>
      </c>
      <c r="E640" s="7" t="s">
        <v>275</v>
      </c>
      <c r="F640" s="2">
        <v>46088.292227118058</v>
      </c>
      <c r="G640" s="3">
        <v>46088</v>
      </c>
      <c r="H640" t="s">
        <v>120</v>
      </c>
      <c r="I640">
        <v>7</v>
      </c>
    </row>
    <row r="641" spans="1:9" x14ac:dyDescent="0.2">
      <c r="A641" s="16" t="s">
        <v>673</v>
      </c>
      <c r="B641" s="16" t="s">
        <v>10</v>
      </c>
      <c r="C641" s="2">
        <v>46088.843174583337</v>
      </c>
      <c r="D641">
        <v>3</v>
      </c>
      <c r="F641" s="2">
        <v>46088.509841250001</v>
      </c>
      <c r="G641" s="3">
        <v>46088</v>
      </c>
      <c r="H641" t="s">
        <v>120</v>
      </c>
      <c r="I641">
        <v>12</v>
      </c>
    </row>
    <row r="642" spans="1:9" x14ac:dyDescent="0.2">
      <c r="A642" s="16" t="s">
        <v>674</v>
      </c>
      <c r="B642" s="16" t="s">
        <v>10</v>
      </c>
      <c r="C642" s="2">
        <v>46089.443287650465</v>
      </c>
      <c r="D642">
        <v>532</v>
      </c>
      <c r="E642" s="7" t="s">
        <v>31</v>
      </c>
      <c r="F642" s="2">
        <v>46089.151620983794</v>
      </c>
      <c r="G642" s="3">
        <v>46089</v>
      </c>
      <c r="H642" t="s">
        <v>125</v>
      </c>
      <c r="I642">
        <v>3</v>
      </c>
    </row>
    <row r="643" spans="1:9" x14ac:dyDescent="0.2">
      <c r="A643" s="16" t="s">
        <v>675</v>
      </c>
      <c r="B643" s="16" t="s">
        <v>10</v>
      </c>
      <c r="C643" s="2">
        <v>46089.448862129633</v>
      </c>
      <c r="D643">
        <v>532</v>
      </c>
      <c r="F643" s="2">
        <v>46089.157195462962</v>
      </c>
      <c r="G643" s="3">
        <v>46089</v>
      </c>
      <c r="H643" t="s">
        <v>125</v>
      </c>
      <c r="I643">
        <v>3</v>
      </c>
    </row>
    <row r="644" spans="1:9" x14ac:dyDescent="0.2">
      <c r="A644" s="16" t="s">
        <v>676</v>
      </c>
      <c r="B644" s="16" t="s">
        <v>10</v>
      </c>
      <c r="C644" s="2">
        <v>46089.465589375002</v>
      </c>
      <c r="D644">
        <v>5</v>
      </c>
      <c r="F644" s="2">
        <v>46089.173922708331</v>
      </c>
      <c r="G644" s="3">
        <v>46089</v>
      </c>
      <c r="H644" t="s">
        <v>125</v>
      </c>
      <c r="I644">
        <v>4</v>
      </c>
    </row>
    <row r="645" spans="1:9" x14ac:dyDescent="0.2">
      <c r="A645" s="16" t="s">
        <v>677</v>
      </c>
      <c r="B645" s="16" t="s">
        <v>10</v>
      </c>
      <c r="C645" s="2">
        <v>46089.527281446761</v>
      </c>
      <c r="D645">
        <v>1</v>
      </c>
      <c r="F645" s="2">
        <v>46089.235614780089</v>
      </c>
      <c r="G645" s="3">
        <v>46089</v>
      </c>
      <c r="H645" t="s">
        <v>125</v>
      </c>
      <c r="I645">
        <v>5</v>
      </c>
    </row>
    <row r="646" spans="1:9" x14ac:dyDescent="0.2">
      <c r="A646" s="16" t="s">
        <v>678</v>
      </c>
      <c r="B646" s="16" t="s">
        <v>10</v>
      </c>
      <c r="C646" s="2">
        <v>46089.544210405089</v>
      </c>
      <c r="D646">
        <v>3</v>
      </c>
      <c r="E646" s="7" t="s">
        <v>60</v>
      </c>
      <c r="F646" s="2">
        <v>46089.252543738425</v>
      </c>
      <c r="G646" s="3">
        <v>46089</v>
      </c>
      <c r="H646" t="s">
        <v>125</v>
      </c>
      <c r="I646">
        <v>6</v>
      </c>
    </row>
    <row r="647" spans="1:9" x14ac:dyDescent="0.2">
      <c r="A647" s="16" t="s">
        <v>679</v>
      </c>
      <c r="B647" s="16" t="s">
        <v>10</v>
      </c>
      <c r="C647" s="2">
        <v>46089.546031921294</v>
      </c>
      <c r="D647">
        <v>2</v>
      </c>
      <c r="F647" s="2">
        <v>46089.25436525463</v>
      </c>
      <c r="G647" s="3">
        <v>46089</v>
      </c>
      <c r="H647" t="s">
        <v>125</v>
      </c>
      <c r="I647">
        <v>6</v>
      </c>
    </row>
    <row r="648" spans="1:9" x14ac:dyDescent="0.2">
      <c r="A648" s="16" t="s">
        <v>680</v>
      </c>
      <c r="B648" s="16" t="s">
        <v>10</v>
      </c>
      <c r="C648" s="2">
        <v>46089.588338564812</v>
      </c>
      <c r="D648">
        <v>532</v>
      </c>
      <c r="E648" s="7" t="s">
        <v>681</v>
      </c>
      <c r="F648" s="2">
        <v>46089.296671898148</v>
      </c>
      <c r="G648" s="3">
        <v>46089</v>
      </c>
      <c r="H648" t="s">
        <v>125</v>
      </c>
      <c r="I648">
        <v>7</v>
      </c>
    </row>
    <row r="649" spans="1:9" x14ac:dyDescent="0.2">
      <c r="A649" s="16" t="s">
        <v>682</v>
      </c>
      <c r="B649" s="16" t="s">
        <v>10</v>
      </c>
      <c r="C649" s="2">
        <v>46089.647438749998</v>
      </c>
      <c r="D649">
        <v>1</v>
      </c>
      <c r="E649" s="7" t="s">
        <v>683</v>
      </c>
      <c r="F649" s="2">
        <v>46089.355772083334</v>
      </c>
      <c r="G649" s="3">
        <v>46089</v>
      </c>
      <c r="H649" t="s">
        <v>125</v>
      </c>
      <c r="I649">
        <v>8</v>
      </c>
    </row>
    <row r="650" spans="1:9" x14ac:dyDescent="0.2">
      <c r="A650" s="16" t="s">
        <v>684</v>
      </c>
      <c r="B650" s="16" t="s">
        <v>10</v>
      </c>
      <c r="C650" s="2">
        <v>46089.649385810182</v>
      </c>
      <c r="D650">
        <v>36</v>
      </c>
      <c r="F650" s="2">
        <v>46089.357719143518</v>
      </c>
      <c r="G650" s="3">
        <v>46089</v>
      </c>
      <c r="H650" t="s">
        <v>125</v>
      </c>
      <c r="I650">
        <v>8</v>
      </c>
    </row>
    <row r="651" spans="1:9" x14ac:dyDescent="0.2">
      <c r="A651" s="16" t="s">
        <v>685</v>
      </c>
      <c r="B651" s="16" t="s">
        <v>10</v>
      </c>
      <c r="C651" s="2">
        <v>46089.651767048614</v>
      </c>
      <c r="D651">
        <v>3</v>
      </c>
      <c r="F651" s="2">
        <v>46089.360100381942</v>
      </c>
      <c r="G651" s="3">
        <v>46089</v>
      </c>
      <c r="H651" t="s">
        <v>125</v>
      </c>
      <c r="I651">
        <v>8</v>
      </c>
    </row>
    <row r="652" spans="1:9" x14ac:dyDescent="0.2">
      <c r="A652" s="16" t="s">
        <v>686</v>
      </c>
      <c r="B652" s="16" t="s">
        <v>10</v>
      </c>
      <c r="C652" s="2">
        <v>46089.653180474539</v>
      </c>
      <c r="D652">
        <v>576</v>
      </c>
      <c r="E652" s="7">
        <v>242</v>
      </c>
      <c r="F652" s="2">
        <v>46089.361513807868</v>
      </c>
      <c r="G652" s="3">
        <v>46089</v>
      </c>
      <c r="H652" t="s">
        <v>125</v>
      </c>
      <c r="I652">
        <v>8</v>
      </c>
    </row>
    <row r="653" spans="1:9" x14ac:dyDescent="0.2">
      <c r="A653" s="16" t="s">
        <v>687</v>
      </c>
      <c r="B653" s="16" t="s">
        <v>10</v>
      </c>
      <c r="C653" s="2">
        <v>46089.655311608796</v>
      </c>
      <c r="D653">
        <v>2</v>
      </c>
      <c r="E653" s="7" t="s">
        <v>323</v>
      </c>
      <c r="F653" s="2">
        <v>46089.363644942132</v>
      </c>
      <c r="G653" s="3">
        <v>46089</v>
      </c>
      <c r="H653" t="s">
        <v>125</v>
      </c>
      <c r="I653">
        <v>8</v>
      </c>
    </row>
    <row r="654" spans="1:9" x14ac:dyDescent="0.2">
      <c r="A654" s="16" t="s">
        <v>689</v>
      </c>
      <c r="B654" s="16" t="s">
        <v>10</v>
      </c>
      <c r="C654" s="2">
        <v>46089.795878506942</v>
      </c>
      <c r="D654">
        <v>532</v>
      </c>
      <c r="E654" s="7" t="s">
        <v>34</v>
      </c>
      <c r="F654" s="2">
        <v>46089.504211840278</v>
      </c>
      <c r="G654" s="3">
        <v>46089</v>
      </c>
      <c r="H654" t="s">
        <v>125</v>
      </c>
      <c r="I654">
        <v>12</v>
      </c>
    </row>
    <row r="655" spans="1:9" x14ac:dyDescent="0.2">
      <c r="A655" s="16" t="s">
        <v>690</v>
      </c>
      <c r="B655" s="16" t="s">
        <v>10</v>
      </c>
      <c r="C655" s="2">
        <v>46089.854450092593</v>
      </c>
      <c r="D655">
        <v>532</v>
      </c>
      <c r="E655" s="7" t="s">
        <v>31</v>
      </c>
      <c r="F655" s="2">
        <v>46089.562783425929</v>
      </c>
      <c r="G655" s="3">
        <v>46089</v>
      </c>
      <c r="H655" t="s">
        <v>125</v>
      </c>
      <c r="I655">
        <v>13</v>
      </c>
    </row>
    <row r="656" spans="1:9" x14ac:dyDescent="0.2">
      <c r="A656" s="16" t="s">
        <v>1315</v>
      </c>
      <c r="B656" s="16" t="s">
        <v>10</v>
      </c>
      <c r="C656" s="2">
        <v>46089.856834085651</v>
      </c>
      <c r="D656">
        <v>532</v>
      </c>
      <c r="E656" s="7" t="s">
        <v>31</v>
      </c>
      <c r="F656" s="2">
        <v>46089.565167418979</v>
      </c>
      <c r="G656" s="3">
        <v>46089</v>
      </c>
      <c r="H656" t="s">
        <v>125</v>
      </c>
      <c r="I656">
        <v>13</v>
      </c>
    </row>
    <row r="657" spans="1:9" x14ac:dyDescent="0.2">
      <c r="A657" s="16" t="s">
        <v>691</v>
      </c>
      <c r="B657" s="16" t="s">
        <v>10</v>
      </c>
      <c r="C657" s="2">
        <v>46089.936797523151</v>
      </c>
      <c r="D657">
        <v>3</v>
      </c>
      <c r="F657" s="2">
        <v>46089.645130856479</v>
      </c>
      <c r="G657" s="3">
        <v>46089</v>
      </c>
      <c r="H657" t="s">
        <v>125</v>
      </c>
      <c r="I657">
        <v>15</v>
      </c>
    </row>
    <row r="658" spans="1:9" x14ac:dyDescent="0.2">
      <c r="A658" s="16" t="s">
        <v>692</v>
      </c>
      <c r="B658" s="16" t="s">
        <v>10</v>
      </c>
      <c r="C658" s="2">
        <v>46090.337255300925</v>
      </c>
      <c r="D658">
        <v>532</v>
      </c>
      <c r="E658" s="7" t="s">
        <v>34</v>
      </c>
      <c r="F658" s="2">
        <v>46090.045588634261</v>
      </c>
      <c r="G658" s="3">
        <v>46090</v>
      </c>
      <c r="H658" t="s">
        <v>11</v>
      </c>
      <c r="I658">
        <v>1</v>
      </c>
    </row>
    <row r="659" spans="1:9" x14ac:dyDescent="0.2">
      <c r="A659" s="16" t="s">
        <v>693</v>
      </c>
      <c r="B659" s="16" t="s">
        <v>10</v>
      </c>
      <c r="C659" s="2">
        <v>46090.375781226852</v>
      </c>
      <c r="D659">
        <v>3</v>
      </c>
      <c r="E659" s="7">
        <v>20</v>
      </c>
      <c r="F659" s="2">
        <v>46090.084114560188</v>
      </c>
      <c r="G659" s="3">
        <v>46090</v>
      </c>
      <c r="H659" t="s">
        <v>11</v>
      </c>
      <c r="I659">
        <v>2</v>
      </c>
    </row>
    <row r="660" spans="1:9" x14ac:dyDescent="0.2">
      <c r="A660" s="16" t="s">
        <v>694</v>
      </c>
      <c r="B660" s="16" t="s">
        <v>10</v>
      </c>
      <c r="C660" s="2">
        <v>46090.376451840275</v>
      </c>
      <c r="D660">
        <v>3</v>
      </c>
      <c r="F660" s="2">
        <v>46090.084785173611</v>
      </c>
      <c r="G660" s="3">
        <v>46090</v>
      </c>
      <c r="H660" t="s">
        <v>11</v>
      </c>
      <c r="I660">
        <v>2</v>
      </c>
    </row>
    <row r="661" spans="1:9" x14ac:dyDescent="0.2">
      <c r="A661" s="16" t="s">
        <v>695</v>
      </c>
      <c r="B661" s="16" t="s">
        <v>10</v>
      </c>
      <c r="C661" s="2">
        <v>46090.377945729168</v>
      </c>
      <c r="D661">
        <v>532</v>
      </c>
      <c r="E661" s="7">
        <v>207</v>
      </c>
      <c r="F661" s="2">
        <v>46090.086279062503</v>
      </c>
      <c r="G661" s="3">
        <v>46090</v>
      </c>
      <c r="H661" t="s">
        <v>11</v>
      </c>
      <c r="I661">
        <v>2</v>
      </c>
    </row>
    <row r="662" spans="1:9" x14ac:dyDescent="0.2">
      <c r="A662" s="16" t="s">
        <v>696</v>
      </c>
      <c r="B662" s="16" t="s">
        <v>10</v>
      </c>
      <c r="C662" s="2">
        <v>46090.387015405089</v>
      </c>
      <c r="D662">
        <v>3</v>
      </c>
      <c r="E662" s="7" t="s">
        <v>697</v>
      </c>
      <c r="F662" s="2">
        <v>46090.095348738425</v>
      </c>
      <c r="G662" s="3">
        <v>46090</v>
      </c>
      <c r="H662" t="s">
        <v>11</v>
      </c>
      <c r="I662">
        <v>2</v>
      </c>
    </row>
    <row r="663" spans="1:9" x14ac:dyDescent="0.2">
      <c r="A663" s="16" t="s">
        <v>1158</v>
      </c>
      <c r="B663" s="16" t="s">
        <v>10</v>
      </c>
      <c r="C663" s="2">
        <v>46090.392068159723</v>
      </c>
      <c r="D663">
        <v>3</v>
      </c>
      <c r="E663" s="7" t="s">
        <v>697</v>
      </c>
      <c r="F663" s="2">
        <v>46090.100401493059</v>
      </c>
      <c r="G663" s="3">
        <v>46090</v>
      </c>
      <c r="H663" t="s">
        <v>11</v>
      </c>
      <c r="I663">
        <v>2</v>
      </c>
    </row>
    <row r="664" spans="1:9" x14ac:dyDescent="0.2">
      <c r="A664" s="16" t="s">
        <v>1159</v>
      </c>
      <c r="B664" s="16" t="s">
        <v>10</v>
      </c>
      <c r="C664" s="2">
        <v>46090.392462488424</v>
      </c>
      <c r="D664">
        <v>532</v>
      </c>
      <c r="E664" s="7" t="s">
        <v>859</v>
      </c>
      <c r="F664" s="2">
        <v>46090.10079582176</v>
      </c>
      <c r="G664" s="3">
        <v>46090</v>
      </c>
      <c r="H664" t="s">
        <v>11</v>
      </c>
      <c r="I664">
        <v>2</v>
      </c>
    </row>
    <row r="665" spans="1:9" x14ac:dyDescent="0.2">
      <c r="A665" s="16" t="s">
        <v>698</v>
      </c>
      <c r="B665" s="16" t="s">
        <v>10</v>
      </c>
      <c r="C665" s="2">
        <v>46090.409615729164</v>
      </c>
      <c r="D665">
        <v>576</v>
      </c>
      <c r="E665" s="7">
        <v>207</v>
      </c>
      <c r="F665" s="2">
        <v>46090.1179490625</v>
      </c>
      <c r="G665" s="3">
        <v>46090</v>
      </c>
      <c r="H665" t="s">
        <v>11</v>
      </c>
      <c r="I665">
        <v>2</v>
      </c>
    </row>
    <row r="666" spans="1:9" x14ac:dyDescent="0.2">
      <c r="A666" s="16" t="s">
        <v>699</v>
      </c>
      <c r="B666" s="16" t="s">
        <v>10</v>
      </c>
      <c r="C666" s="2">
        <v>46090.410248784719</v>
      </c>
      <c r="D666">
        <v>3</v>
      </c>
      <c r="F666" s="2">
        <v>46090.118582118055</v>
      </c>
      <c r="G666" s="3">
        <v>46090</v>
      </c>
      <c r="H666" t="s">
        <v>11</v>
      </c>
      <c r="I666">
        <v>2</v>
      </c>
    </row>
    <row r="667" spans="1:9" x14ac:dyDescent="0.2">
      <c r="A667" s="16" t="s">
        <v>858</v>
      </c>
      <c r="B667" s="16" t="s">
        <v>10</v>
      </c>
      <c r="C667" s="2">
        <v>46090.412470185183</v>
      </c>
      <c r="D667">
        <v>532</v>
      </c>
      <c r="E667" s="7" t="s">
        <v>859</v>
      </c>
      <c r="F667" s="2">
        <v>46090.120803518519</v>
      </c>
      <c r="G667" s="3">
        <v>46090</v>
      </c>
      <c r="H667" t="s">
        <v>11</v>
      </c>
      <c r="I667">
        <v>2</v>
      </c>
    </row>
    <row r="668" spans="1:9" x14ac:dyDescent="0.2">
      <c r="A668" s="16" t="s">
        <v>700</v>
      </c>
      <c r="B668" s="16" t="s">
        <v>10</v>
      </c>
      <c r="C668" s="2">
        <v>46090.42478883102</v>
      </c>
      <c r="D668">
        <v>3</v>
      </c>
      <c r="F668" s="2">
        <v>46090.133122164349</v>
      </c>
      <c r="G668" s="3">
        <v>46090</v>
      </c>
      <c r="H668" t="s">
        <v>11</v>
      </c>
      <c r="I668">
        <v>3</v>
      </c>
    </row>
    <row r="669" spans="1:9" x14ac:dyDescent="0.2">
      <c r="A669" s="16" t="s">
        <v>701</v>
      </c>
      <c r="B669" s="16" t="s">
        <v>10</v>
      </c>
      <c r="C669" s="2">
        <v>46090.494609444446</v>
      </c>
      <c r="D669">
        <v>2</v>
      </c>
      <c r="F669" s="2">
        <v>46090.202942777774</v>
      </c>
      <c r="G669" s="3">
        <v>46090</v>
      </c>
      <c r="H669" t="s">
        <v>11</v>
      </c>
      <c r="I669">
        <v>4</v>
      </c>
    </row>
    <row r="670" spans="1:9" x14ac:dyDescent="0.2">
      <c r="A670" s="16" t="s">
        <v>702</v>
      </c>
      <c r="B670" s="16" t="s">
        <v>10</v>
      </c>
      <c r="C670" s="2">
        <v>46090.494619189813</v>
      </c>
      <c r="D670">
        <v>532</v>
      </c>
      <c r="F670" s="2">
        <v>46090.202952523148</v>
      </c>
      <c r="G670" s="3">
        <v>46090</v>
      </c>
      <c r="H670" t="s">
        <v>11</v>
      </c>
      <c r="I670">
        <v>4</v>
      </c>
    </row>
    <row r="671" spans="1:9" x14ac:dyDescent="0.2">
      <c r="A671" s="16" t="s">
        <v>703</v>
      </c>
      <c r="B671" s="16" t="s">
        <v>10</v>
      </c>
      <c r="C671" s="2">
        <v>46090.505582129626</v>
      </c>
      <c r="D671">
        <v>532</v>
      </c>
      <c r="E671" s="7">
        <v>207</v>
      </c>
      <c r="F671" s="2">
        <v>46090.213915462962</v>
      </c>
      <c r="G671" s="3">
        <v>46090</v>
      </c>
      <c r="H671" t="s">
        <v>11</v>
      </c>
      <c r="I671">
        <v>5</v>
      </c>
    </row>
    <row r="672" spans="1:9" x14ac:dyDescent="0.2">
      <c r="A672" s="16" t="s">
        <v>704</v>
      </c>
      <c r="B672" s="16" t="s">
        <v>10</v>
      </c>
      <c r="C672" s="2">
        <v>46090.511060833334</v>
      </c>
      <c r="D672">
        <v>3</v>
      </c>
      <c r="E672" s="7" t="s">
        <v>705</v>
      </c>
      <c r="F672" s="2">
        <v>46090.21939416667</v>
      </c>
      <c r="G672" s="3">
        <v>46090</v>
      </c>
      <c r="H672" t="s">
        <v>11</v>
      </c>
      <c r="I672">
        <v>5</v>
      </c>
    </row>
    <row r="673" spans="1:9" x14ac:dyDescent="0.2">
      <c r="A673" s="16" t="s">
        <v>706</v>
      </c>
      <c r="B673" s="16" t="s">
        <v>10</v>
      </c>
      <c r="C673" s="2">
        <v>46090.518265231483</v>
      </c>
      <c r="D673">
        <v>576</v>
      </c>
      <c r="E673" s="7" t="s">
        <v>707</v>
      </c>
      <c r="F673" s="2">
        <v>46090.226598564812</v>
      </c>
      <c r="G673" s="3">
        <v>46090</v>
      </c>
      <c r="H673" t="s">
        <v>11</v>
      </c>
      <c r="I673">
        <v>5</v>
      </c>
    </row>
    <row r="674" spans="1:9" x14ac:dyDescent="0.2">
      <c r="A674" s="16" t="s">
        <v>708</v>
      </c>
      <c r="B674" s="16" t="s">
        <v>10</v>
      </c>
      <c r="C674" s="2">
        <v>46090.532416041664</v>
      </c>
      <c r="D674">
        <v>3</v>
      </c>
      <c r="E674" s="7" t="s">
        <v>709</v>
      </c>
      <c r="F674" s="2">
        <v>46090.240749375</v>
      </c>
      <c r="G674" s="3">
        <v>46090</v>
      </c>
      <c r="H674" t="s">
        <v>11</v>
      </c>
      <c r="I674">
        <v>5</v>
      </c>
    </row>
    <row r="675" spans="1:9" x14ac:dyDescent="0.2">
      <c r="A675" s="16" t="s">
        <v>710</v>
      </c>
      <c r="B675" s="16" t="s">
        <v>10</v>
      </c>
      <c r="C675" s="2">
        <v>46090.532979618052</v>
      </c>
      <c r="D675">
        <v>3</v>
      </c>
      <c r="E675" s="7" t="s">
        <v>60</v>
      </c>
      <c r="F675" s="2">
        <v>46090.241312951388</v>
      </c>
      <c r="G675" s="3">
        <v>46090</v>
      </c>
      <c r="H675" t="s">
        <v>11</v>
      </c>
      <c r="I675">
        <v>5</v>
      </c>
    </row>
    <row r="676" spans="1:9" x14ac:dyDescent="0.2">
      <c r="A676" s="16" t="s">
        <v>711</v>
      </c>
      <c r="B676" s="16" t="s">
        <v>10</v>
      </c>
      <c r="C676" s="2">
        <v>46090.584843020835</v>
      </c>
      <c r="D676">
        <v>532</v>
      </c>
      <c r="E676" s="7">
        <v>207</v>
      </c>
      <c r="F676" s="2">
        <v>46090.293176354164</v>
      </c>
      <c r="G676" s="3">
        <v>46090</v>
      </c>
      <c r="H676" t="s">
        <v>11</v>
      </c>
      <c r="I676">
        <v>7</v>
      </c>
    </row>
    <row r="677" spans="1:9" x14ac:dyDescent="0.2">
      <c r="A677" s="16" t="s">
        <v>712</v>
      </c>
      <c r="B677" s="16" t="s">
        <v>10</v>
      </c>
      <c r="C677" s="2">
        <v>46090.647673784719</v>
      </c>
      <c r="D677">
        <v>532</v>
      </c>
      <c r="E677" s="7">
        <v>207</v>
      </c>
      <c r="F677" s="2">
        <v>46090.356007118055</v>
      </c>
      <c r="G677" s="3">
        <v>46090</v>
      </c>
      <c r="H677" t="s">
        <v>11</v>
      </c>
      <c r="I677">
        <v>8</v>
      </c>
    </row>
    <row r="678" spans="1:9" x14ac:dyDescent="0.2">
      <c r="A678" s="16" t="s">
        <v>713</v>
      </c>
      <c r="B678" s="16" t="s">
        <v>10</v>
      </c>
      <c r="C678" s="2">
        <v>46090.653773680555</v>
      </c>
      <c r="D678">
        <v>3</v>
      </c>
      <c r="E678" s="7" t="s">
        <v>697</v>
      </c>
      <c r="F678" s="2">
        <v>46090.362107013891</v>
      </c>
      <c r="G678" s="3">
        <v>46090</v>
      </c>
      <c r="H678" t="s">
        <v>11</v>
      </c>
      <c r="I678">
        <v>8</v>
      </c>
    </row>
    <row r="679" spans="1:9" x14ac:dyDescent="0.2">
      <c r="A679" s="16" t="s">
        <v>714</v>
      </c>
      <c r="B679" s="16" t="s">
        <v>10</v>
      </c>
      <c r="C679" s="2">
        <v>46090.681944780095</v>
      </c>
      <c r="D679">
        <v>3</v>
      </c>
      <c r="F679" s="2">
        <v>46090.390278113424</v>
      </c>
      <c r="G679" s="3">
        <v>46090</v>
      </c>
      <c r="H679" t="s">
        <v>11</v>
      </c>
      <c r="I679">
        <v>9</v>
      </c>
    </row>
    <row r="680" spans="1:9" x14ac:dyDescent="0.2">
      <c r="A680" s="16" t="s">
        <v>715</v>
      </c>
      <c r="B680" s="16" t="s">
        <v>10</v>
      </c>
      <c r="C680" s="2">
        <v>46090.692090138888</v>
      </c>
      <c r="D680">
        <v>575</v>
      </c>
      <c r="E680" s="7" t="s">
        <v>716</v>
      </c>
      <c r="F680" s="2">
        <v>46090.400423472223</v>
      </c>
      <c r="G680" s="3">
        <v>46090</v>
      </c>
      <c r="H680" t="s">
        <v>11</v>
      </c>
      <c r="I680">
        <v>9</v>
      </c>
    </row>
    <row r="681" spans="1:9" x14ac:dyDescent="0.2">
      <c r="A681" s="16" t="s">
        <v>717</v>
      </c>
      <c r="B681" s="16" t="s">
        <v>10</v>
      </c>
      <c r="C681" s="2">
        <v>46090.692251898145</v>
      </c>
      <c r="D681">
        <v>575</v>
      </c>
      <c r="F681" s="2">
        <v>46090.40058523148</v>
      </c>
      <c r="G681" s="3">
        <v>46090</v>
      </c>
      <c r="H681" t="s">
        <v>11</v>
      </c>
      <c r="I681">
        <v>9</v>
      </c>
    </row>
    <row r="682" spans="1:9" x14ac:dyDescent="0.2">
      <c r="A682" s="16" t="s">
        <v>718</v>
      </c>
      <c r="B682" s="16" t="s">
        <v>10</v>
      </c>
      <c r="C682" s="2">
        <v>46090.722894189814</v>
      </c>
      <c r="D682">
        <v>575</v>
      </c>
      <c r="F682" s="2">
        <v>46090.43122752315</v>
      </c>
      <c r="G682" s="3">
        <v>46090</v>
      </c>
      <c r="H682" t="s">
        <v>11</v>
      </c>
      <c r="I682">
        <v>10</v>
      </c>
    </row>
    <row r="683" spans="1:9" x14ac:dyDescent="0.2">
      <c r="A683" s="16" t="s">
        <v>719</v>
      </c>
      <c r="B683" s="16" t="s">
        <v>10</v>
      </c>
      <c r="C683" s="2">
        <v>46090.735540706017</v>
      </c>
      <c r="D683">
        <v>35</v>
      </c>
      <c r="F683" s="2">
        <v>46090.443874039353</v>
      </c>
      <c r="G683" s="3">
        <v>46090</v>
      </c>
      <c r="H683" t="s">
        <v>11</v>
      </c>
      <c r="I683">
        <v>10</v>
      </c>
    </row>
    <row r="684" spans="1:9" x14ac:dyDescent="0.2">
      <c r="A684" s="16" t="s">
        <v>860</v>
      </c>
      <c r="B684" s="16" t="s">
        <v>10</v>
      </c>
      <c r="C684" s="2">
        <v>46090.743543576391</v>
      </c>
      <c r="D684">
        <v>575</v>
      </c>
      <c r="F684" s="2">
        <v>46090.451876909719</v>
      </c>
      <c r="G684" s="3">
        <v>46090</v>
      </c>
      <c r="H684" t="s">
        <v>11</v>
      </c>
      <c r="I684">
        <v>10</v>
      </c>
    </row>
    <row r="685" spans="1:9" x14ac:dyDescent="0.2">
      <c r="A685" s="16" t="s">
        <v>720</v>
      </c>
      <c r="B685" s="16" t="s">
        <v>10</v>
      </c>
      <c r="C685" s="2">
        <v>46090.781441261577</v>
      </c>
      <c r="D685">
        <v>531</v>
      </c>
      <c r="F685" s="2">
        <v>46090.489774594906</v>
      </c>
      <c r="G685" s="3">
        <v>46090</v>
      </c>
      <c r="H685" t="s">
        <v>11</v>
      </c>
      <c r="I685">
        <v>11</v>
      </c>
    </row>
    <row r="686" spans="1:9" x14ac:dyDescent="0.2">
      <c r="A686" s="16" t="s">
        <v>721</v>
      </c>
      <c r="B686" s="16" t="s">
        <v>10</v>
      </c>
      <c r="C686" s="2">
        <v>46090.784094849536</v>
      </c>
      <c r="D686">
        <v>3</v>
      </c>
      <c r="F686" s="2">
        <v>46090.492428182872</v>
      </c>
      <c r="G686" s="3">
        <v>46090</v>
      </c>
      <c r="H686" t="s">
        <v>11</v>
      </c>
      <c r="I686">
        <v>11</v>
      </c>
    </row>
    <row r="687" spans="1:9" x14ac:dyDescent="0.2">
      <c r="A687" s="16" t="s">
        <v>722</v>
      </c>
      <c r="B687" s="16" t="s">
        <v>10</v>
      </c>
      <c r="C687" s="2">
        <v>46090.792745752318</v>
      </c>
      <c r="D687">
        <v>531</v>
      </c>
      <c r="F687" s="2">
        <v>46090.501079085647</v>
      </c>
      <c r="G687" s="3">
        <v>46090</v>
      </c>
      <c r="H687" t="s">
        <v>11</v>
      </c>
      <c r="I687">
        <v>12</v>
      </c>
    </row>
    <row r="688" spans="1:9" x14ac:dyDescent="0.2">
      <c r="A688" s="16" t="s">
        <v>723</v>
      </c>
      <c r="B688" s="16" t="s">
        <v>10</v>
      </c>
      <c r="C688" s="2">
        <v>46090.804582581019</v>
      </c>
      <c r="D688">
        <v>35</v>
      </c>
      <c r="F688" s="2">
        <v>46090.512915914354</v>
      </c>
      <c r="G688" s="3">
        <v>46090</v>
      </c>
      <c r="H688" t="s">
        <v>11</v>
      </c>
      <c r="I688">
        <v>12</v>
      </c>
    </row>
    <row r="689" spans="1:9" x14ac:dyDescent="0.2">
      <c r="A689" s="16" t="s">
        <v>724</v>
      </c>
      <c r="B689" s="16" t="s">
        <v>10</v>
      </c>
      <c r="C689" s="2">
        <v>46090.820015972226</v>
      </c>
      <c r="D689">
        <v>531</v>
      </c>
      <c r="F689" s="2">
        <v>46090.528349305554</v>
      </c>
      <c r="G689" s="3">
        <v>46090</v>
      </c>
      <c r="H689" t="s">
        <v>11</v>
      </c>
      <c r="I689">
        <v>12</v>
      </c>
    </row>
    <row r="690" spans="1:9" x14ac:dyDescent="0.2">
      <c r="A690" s="16" t="s">
        <v>725</v>
      </c>
      <c r="B690" s="16" t="s">
        <v>10</v>
      </c>
      <c r="C690" s="2">
        <v>46090.842136354164</v>
      </c>
      <c r="D690">
        <v>531</v>
      </c>
      <c r="F690" s="2">
        <v>46090.5504696875</v>
      </c>
      <c r="G690" s="3">
        <v>46090</v>
      </c>
      <c r="H690" t="s">
        <v>11</v>
      </c>
      <c r="I690">
        <v>13</v>
      </c>
    </row>
    <row r="691" spans="1:9" x14ac:dyDescent="0.2">
      <c r="A691" s="16" t="s">
        <v>726</v>
      </c>
      <c r="B691" s="16" t="s">
        <v>10</v>
      </c>
      <c r="C691" s="2">
        <v>46090.88002892361</v>
      </c>
      <c r="D691">
        <v>531</v>
      </c>
      <c r="F691" s="2">
        <v>46090.588362256945</v>
      </c>
      <c r="G691" s="3">
        <v>46090</v>
      </c>
      <c r="H691" t="s">
        <v>11</v>
      </c>
      <c r="I691">
        <v>14</v>
      </c>
    </row>
    <row r="692" spans="1:9" x14ac:dyDescent="0.2">
      <c r="A692" s="16" t="s">
        <v>727</v>
      </c>
      <c r="B692" s="16" t="s">
        <v>10</v>
      </c>
      <c r="C692" s="2">
        <v>46090.881866851851</v>
      </c>
      <c r="D692">
        <v>3</v>
      </c>
      <c r="E692" s="7" t="s">
        <v>728</v>
      </c>
      <c r="F692" s="2">
        <v>46090.590200185186</v>
      </c>
      <c r="G692" s="3">
        <v>46090</v>
      </c>
      <c r="H692" t="s">
        <v>11</v>
      </c>
      <c r="I692">
        <v>14</v>
      </c>
    </row>
    <row r="693" spans="1:9" x14ac:dyDescent="0.2">
      <c r="A693" s="16" t="s">
        <v>729</v>
      </c>
      <c r="B693" s="16" t="s">
        <v>10</v>
      </c>
      <c r="C693" s="2">
        <v>46091.276977951391</v>
      </c>
      <c r="D693">
        <v>531</v>
      </c>
      <c r="F693" s="2">
        <v>46090.98531128472</v>
      </c>
      <c r="G693" s="3">
        <v>46090</v>
      </c>
      <c r="H693" t="s">
        <v>11</v>
      </c>
      <c r="I693">
        <v>23</v>
      </c>
    </row>
    <row r="694" spans="1:9" x14ac:dyDescent="0.2">
      <c r="A694" s="16" t="s">
        <v>730</v>
      </c>
      <c r="B694" s="16" t="s">
        <v>10</v>
      </c>
      <c r="C694" s="2">
        <v>46091.335050451387</v>
      </c>
      <c r="D694">
        <v>531</v>
      </c>
      <c r="E694" s="7" t="s">
        <v>34</v>
      </c>
      <c r="F694" s="2">
        <v>46091.043383784723</v>
      </c>
      <c r="G694" s="3">
        <v>46091</v>
      </c>
      <c r="H694" t="s">
        <v>28</v>
      </c>
      <c r="I694">
        <v>1</v>
      </c>
    </row>
    <row r="695" spans="1:9" x14ac:dyDescent="0.2">
      <c r="A695" s="16" t="s">
        <v>731</v>
      </c>
      <c r="B695" s="16" t="s">
        <v>10</v>
      </c>
      <c r="C695" s="2">
        <v>46091.34023144676</v>
      </c>
      <c r="D695">
        <v>3</v>
      </c>
      <c r="E695" s="7" t="s">
        <v>60</v>
      </c>
      <c r="F695" s="2">
        <v>46091.048564780096</v>
      </c>
      <c r="G695" s="3">
        <v>46091</v>
      </c>
      <c r="H695" t="s">
        <v>28</v>
      </c>
      <c r="I695">
        <v>1</v>
      </c>
    </row>
    <row r="696" spans="1:9" x14ac:dyDescent="0.2">
      <c r="A696" s="16" t="s">
        <v>732</v>
      </c>
      <c r="B696" s="16" t="s">
        <v>10</v>
      </c>
      <c r="C696" s="2">
        <v>46091.348845821762</v>
      </c>
      <c r="D696">
        <v>3</v>
      </c>
      <c r="E696" s="7" t="s">
        <v>625</v>
      </c>
      <c r="F696" s="2">
        <v>46091.05717915509</v>
      </c>
      <c r="G696" s="3">
        <v>46091</v>
      </c>
      <c r="H696" t="s">
        <v>28</v>
      </c>
      <c r="I696">
        <v>1</v>
      </c>
    </row>
    <row r="697" spans="1:9" x14ac:dyDescent="0.2">
      <c r="A697" s="16" t="s">
        <v>861</v>
      </c>
      <c r="B697" s="16" t="s">
        <v>10</v>
      </c>
      <c r="C697" s="2">
        <v>46091.370120185187</v>
      </c>
      <c r="D697">
        <v>3</v>
      </c>
      <c r="E697" s="7" t="s">
        <v>60</v>
      </c>
      <c r="F697" s="2">
        <v>46091.078453518516</v>
      </c>
      <c r="G697" s="3">
        <v>46091</v>
      </c>
      <c r="H697" t="s">
        <v>28</v>
      </c>
      <c r="I697">
        <v>1</v>
      </c>
    </row>
    <row r="698" spans="1:9" x14ac:dyDescent="0.2">
      <c r="A698" s="16" t="s">
        <v>862</v>
      </c>
      <c r="B698" s="16" t="s">
        <v>10</v>
      </c>
      <c r="C698" s="2">
        <v>46091.370450856484</v>
      </c>
      <c r="D698">
        <v>3</v>
      </c>
      <c r="E698" s="7" t="s">
        <v>625</v>
      </c>
      <c r="F698" s="2">
        <v>46091.078784189813</v>
      </c>
      <c r="G698" s="3">
        <v>46091</v>
      </c>
      <c r="H698" t="s">
        <v>28</v>
      </c>
      <c r="I698">
        <v>1</v>
      </c>
    </row>
    <row r="699" spans="1:9" x14ac:dyDescent="0.2">
      <c r="A699" s="16" t="s">
        <v>733</v>
      </c>
      <c r="B699" s="16" t="s">
        <v>10</v>
      </c>
      <c r="C699" s="2">
        <v>46091.376135127313</v>
      </c>
      <c r="D699">
        <v>3</v>
      </c>
      <c r="E699" s="7" t="s">
        <v>60</v>
      </c>
      <c r="F699" s="2">
        <v>46091.084468460649</v>
      </c>
      <c r="G699" s="3">
        <v>46091</v>
      </c>
      <c r="H699" t="s">
        <v>28</v>
      </c>
      <c r="I699">
        <v>2</v>
      </c>
    </row>
    <row r="700" spans="1:9" x14ac:dyDescent="0.2">
      <c r="A700" s="16" t="s">
        <v>1263</v>
      </c>
      <c r="B700" s="16" t="s">
        <v>10</v>
      </c>
      <c r="C700" s="2">
        <v>46091.382489953707</v>
      </c>
      <c r="D700">
        <v>3</v>
      </c>
      <c r="E700" s="7" t="s">
        <v>60</v>
      </c>
      <c r="F700" s="2">
        <v>46091.090823287035</v>
      </c>
      <c r="G700" s="3">
        <v>46091</v>
      </c>
      <c r="H700" t="s">
        <v>28</v>
      </c>
      <c r="I700">
        <v>2</v>
      </c>
    </row>
    <row r="701" spans="1:9" x14ac:dyDescent="0.2">
      <c r="A701" s="16" t="s">
        <v>836</v>
      </c>
      <c r="B701" s="16" t="s">
        <v>10</v>
      </c>
      <c r="C701" s="2">
        <v>46091.390529965276</v>
      </c>
      <c r="D701">
        <v>3</v>
      </c>
      <c r="E701" s="7" t="s">
        <v>60</v>
      </c>
      <c r="F701" s="2">
        <v>46091.098863298612</v>
      </c>
      <c r="G701" s="3">
        <v>46091</v>
      </c>
      <c r="H701" t="s">
        <v>28</v>
      </c>
      <c r="I701">
        <v>2</v>
      </c>
    </row>
    <row r="702" spans="1:9" x14ac:dyDescent="0.2">
      <c r="A702" s="16" t="s">
        <v>734</v>
      </c>
      <c r="B702" s="16" t="s">
        <v>10</v>
      </c>
      <c r="C702" s="2">
        <v>46091.406181782404</v>
      </c>
      <c r="D702">
        <v>531</v>
      </c>
      <c r="F702" s="2">
        <v>46091.11451511574</v>
      </c>
      <c r="G702" s="3">
        <v>46091</v>
      </c>
      <c r="H702" t="s">
        <v>28</v>
      </c>
      <c r="I702">
        <v>2</v>
      </c>
    </row>
    <row r="703" spans="1:9" x14ac:dyDescent="0.2">
      <c r="A703" s="16" t="s">
        <v>735</v>
      </c>
      <c r="B703" s="16" t="s">
        <v>10</v>
      </c>
      <c r="C703" s="2">
        <v>46091.424370821762</v>
      </c>
      <c r="D703">
        <v>3</v>
      </c>
      <c r="E703" s="7" t="s">
        <v>60</v>
      </c>
      <c r="F703" s="2">
        <v>46091.13270415509</v>
      </c>
      <c r="G703" s="3">
        <v>46091</v>
      </c>
      <c r="H703" t="s">
        <v>28</v>
      </c>
      <c r="I703">
        <v>3</v>
      </c>
    </row>
    <row r="704" spans="1:9" x14ac:dyDescent="0.2">
      <c r="A704" s="16" t="s">
        <v>900</v>
      </c>
      <c r="B704" s="16" t="s">
        <v>10</v>
      </c>
      <c r="C704" s="2">
        <v>46091.45267392361</v>
      </c>
      <c r="D704">
        <v>3</v>
      </c>
      <c r="E704" s="7" t="s">
        <v>60</v>
      </c>
      <c r="F704" s="2">
        <v>46091.161007256946</v>
      </c>
      <c r="G704" s="3">
        <v>46091</v>
      </c>
      <c r="H704" t="s">
        <v>28</v>
      </c>
      <c r="I704">
        <v>3</v>
      </c>
    </row>
    <row r="705" spans="1:9" x14ac:dyDescent="0.2">
      <c r="A705" s="16" t="s">
        <v>736</v>
      </c>
      <c r="B705" s="16" t="s">
        <v>10</v>
      </c>
      <c r="C705" s="2">
        <v>46091.47644835648</v>
      </c>
      <c r="D705">
        <v>3</v>
      </c>
      <c r="E705" s="7" t="s">
        <v>60</v>
      </c>
      <c r="F705" s="2">
        <v>46091.184781689815</v>
      </c>
      <c r="G705" s="3">
        <v>46091</v>
      </c>
      <c r="H705" t="s">
        <v>28</v>
      </c>
      <c r="I705">
        <v>4</v>
      </c>
    </row>
    <row r="706" spans="1:9" x14ac:dyDescent="0.2">
      <c r="A706" s="16" t="s">
        <v>737</v>
      </c>
      <c r="B706" s="16" t="s">
        <v>10</v>
      </c>
      <c r="C706" s="2">
        <v>46091.484528125002</v>
      </c>
      <c r="D706">
        <v>35</v>
      </c>
      <c r="F706" s="2">
        <v>46091.19286145833</v>
      </c>
      <c r="G706" s="3">
        <v>46091</v>
      </c>
      <c r="H706" t="s">
        <v>28</v>
      </c>
      <c r="I706">
        <v>4</v>
      </c>
    </row>
    <row r="707" spans="1:9" x14ac:dyDescent="0.2">
      <c r="A707" s="16" t="s">
        <v>738</v>
      </c>
      <c r="B707" s="16" t="s">
        <v>10</v>
      </c>
      <c r="C707" s="2">
        <v>46091.53866298611</v>
      </c>
      <c r="D707">
        <v>36</v>
      </c>
      <c r="F707" s="2">
        <v>46091.246996319445</v>
      </c>
      <c r="G707" s="3">
        <v>46091</v>
      </c>
      <c r="H707" t="s">
        <v>28</v>
      </c>
      <c r="I707">
        <v>5</v>
      </c>
    </row>
    <row r="708" spans="1:9" x14ac:dyDescent="0.2">
      <c r="A708" s="16" t="s">
        <v>739</v>
      </c>
      <c r="B708" s="16" t="s">
        <v>10</v>
      </c>
      <c r="C708" s="2">
        <v>46091.539110740741</v>
      </c>
      <c r="D708">
        <v>531</v>
      </c>
      <c r="F708" s="2">
        <v>46091.247444074077</v>
      </c>
      <c r="G708" s="3">
        <v>46091</v>
      </c>
      <c r="H708" t="s">
        <v>28</v>
      </c>
      <c r="I708">
        <v>5</v>
      </c>
    </row>
    <row r="709" spans="1:9" x14ac:dyDescent="0.2">
      <c r="A709" s="16" t="s">
        <v>740</v>
      </c>
      <c r="B709" s="16" t="s">
        <v>10</v>
      </c>
      <c r="C709" s="2">
        <v>46091.542419756945</v>
      </c>
      <c r="D709">
        <v>36</v>
      </c>
      <c r="F709" s="2">
        <v>46091.25075309028</v>
      </c>
      <c r="G709" s="3">
        <v>46091</v>
      </c>
      <c r="H709" t="s">
        <v>28</v>
      </c>
      <c r="I709">
        <v>6</v>
      </c>
    </row>
    <row r="710" spans="1:9" x14ac:dyDescent="0.2">
      <c r="A710" s="16" t="s">
        <v>741</v>
      </c>
      <c r="B710" s="16" t="s">
        <v>10</v>
      </c>
      <c r="C710" s="2">
        <v>46091.555607349539</v>
      </c>
      <c r="D710">
        <v>3</v>
      </c>
      <c r="F710" s="2">
        <v>46091.263940682868</v>
      </c>
      <c r="G710" s="3">
        <v>46091</v>
      </c>
      <c r="H710" t="s">
        <v>28</v>
      </c>
      <c r="I710">
        <v>6</v>
      </c>
    </row>
    <row r="711" spans="1:9" x14ac:dyDescent="0.2">
      <c r="A711" s="16" t="s">
        <v>742</v>
      </c>
      <c r="B711" s="16" t="s">
        <v>10</v>
      </c>
      <c r="C711" s="2">
        <v>46091.564082604164</v>
      </c>
      <c r="D711">
        <v>575</v>
      </c>
      <c r="F711" s="2">
        <v>46091.272415937499</v>
      </c>
      <c r="G711" s="3">
        <v>46091</v>
      </c>
      <c r="H711" t="s">
        <v>28</v>
      </c>
      <c r="I711">
        <v>6</v>
      </c>
    </row>
    <row r="712" spans="1:9" x14ac:dyDescent="0.2">
      <c r="A712" s="16" t="s">
        <v>743</v>
      </c>
      <c r="B712" s="16" t="s">
        <v>10</v>
      </c>
      <c r="C712" s="2">
        <v>46091.568135810187</v>
      </c>
      <c r="D712">
        <v>3</v>
      </c>
      <c r="E712" s="7" t="s">
        <v>744</v>
      </c>
      <c r="F712" s="2">
        <v>46091.276469143515</v>
      </c>
      <c r="G712" s="3">
        <v>46091</v>
      </c>
      <c r="H712" t="s">
        <v>28</v>
      </c>
      <c r="I712">
        <v>6</v>
      </c>
    </row>
    <row r="713" spans="1:9" x14ac:dyDescent="0.2">
      <c r="A713" s="16" t="s">
        <v>870</v>
      </c>
      <c r="B713" s="16" t="s">
        <v>10</v>
      </c>
      <c r="C713" s="2">
        <v>46091.581012962961</v>
      </c>
      <c r="D713">
        <v>36</v>
      </c>
      <c r="F713" s="2">
        <v>46091.289346296297</v>
      </c>
      <c r="G713" s="3">
        <v>46091</v>
      </c>
      <c r="H713" t="s">
        <v>28</v>
      </c>
      <c r="I713">
        <v>6</v>
      </c>
    </row>
    <row r="714" spans="1:9" x14ac:dyDescent="0.2">
      <c r="A714" s="16" t="s">
        <v>745</v>
      </c>
      <c r="B714" s="16" t="s">
        <v>10</v>
      </c>
      <c r="C714" s="2">
        <v>46091.587484965276</v>
      </c>
      <c r="D714">
        <v>2</v>
      </c>
      <c r="F714" s="2">
        <v>46091.295818298611</v>
      </c>
      <c r="G714" s="3">
        <v>46091</v>
      </c>
      <c r="H714" t="s">
        <v>28</v>
      </c>
      <c r="I714">
        <v>7</v>
      </c>
    </row>
    <row r="715" spans="1:9" x14ac:dyDescent="0.2">
      <c r="A715" s="16" t="s">
        <v>746</v>
      </c>
      <c r="B715" s="16" t="s">
        <v>10</v>
      </c>
      <c r="C715" s="2">
        <v>46091.588889212966</v>
      </c>
      <c r="D715">
        <v>36</v>
      </c>
      <c r="E715" s="7" t="s">
        <v>70</v>
      </c>
      <c r="F715" s="2">
        <v>46091.297222546295</v>
      </c>
      <c r="G715" s="3">
        <v>46091</v>
      </c>
      <c r="H715" t="s">
        <v>28</v>
      </c>
      <c r="I715">
        <v>7</v>
      </c>
    </row>
    <row r="716" spans="1:9" x14ac:dyDescent="0.2">
      <c r="A716" s="16" t="s">
        <v>747</v>
      </c>
      <c r="B716" s="16" t="s">
        <v>10</v>
      </c>
      <c r="C716" s="2">
        <v>46091.605429953706</v>
      </c>
      <c r="D716">
        <v>3</v>
      </c>
      <c r="F716" s="2">
        <v>46091.313763287035</v>
      </c>
      <c r="G716" s="3">
        <v>46091</v>
      </c>
      <c r="H716" t="s">
        <v>28</v>
      </c>
      <c r="I716">
        <v>7</v>
      </c>
    </row>
    <row r="717" spans="1:9" x14ac:dyDescent="0.2">
      <c r="A717" s="16" t="s">
        <v>748</v>
      </c>
      <c r="B717" s="16" t="s">
        <v>10</v>
      </c>
      <c r="C717" s="2">
        <v>46091.621595081022</v>
      </c>
      <c r="D717">
        <v>3</v>
      </c>
      <c r="F717" s="2">
        <v>46091.32992841435</v>
      </c>
      <c r="G717" s="3">
        <v>46091</v>
      </c>
      <c r="H717" t="s">
        <v>28</v>
      </c>
      <c r="I717">
        <v>7</v>
      </c>
    </row>
    <row r="718" spans="1:9" x14ac:dyDescent="0.2">
      <c r="A718" s="16" t="s">
        <v>749</v>
      </c>
      <c r="B718" s="16" t="s">
        <v>10</v>
      </c>
      <c r="C718" s="2">
        <v>46091.627186608799</v>
      </c>
      <c r="D718">
        <v>3</v>
      </c>
      <c r="F718" s="2">
        <v>46091.335519942128</v>
      </c>
      <c r="G718" s="3">
        <v>46091</v>
      </c>
      <c r="H718" t="s">
        <v>28</v>
      </c>
      <c r="I718">
        <v>8</v>
      </c>
    </row>
    <row r="719" spans="1:9" x14ac:dyDescent="0.2">
      <c r="A719" s="16" t="s">
        <v>1082</v>
      </c>
      <c r="B719" s="16" t="s">
        <v>10</v>
      </c>
      <c r="C719" s="2">
        <v>46091.665520636576</v>
      </c>
      <c r="D719">
        <v>3</v>
      </c>
      <c r="F719" s="2">
        <v>46091.373853969904</v>
      </c>
      <c r="G719" s="3">
        <v>46091</v>
      </c>
      <c r="H719" t="s">
        <v>28</v>
      </c>
      <c r="I719">
        <v>8</v>
      </c>
    </row>
    <row r="720" spans="1:9" x14ac:dyDescent="0.2">
      <c r="A720" s="16" t="s">
        <v>750</v>
      </c>
      <c r="B720" s="16" t="s">
        <v>10</v>
      </c>
      <c r="C720" s="2">
        <v>46091.693609166665</v>
      </c>
      <c r="D720">
        <v>826</v>
      </c>
      <c r="E720" s="7" t="s">
        <v>620</v>
      </c>
      <c r="F720" s="2">
        <v>46091.401942500001</v>
      </c>
      <c r="G720" s="3">
        <v>46091</v>
      </c>
      <c r="H720" t="s">
        <v>28</v>
      </c>
      <c r="I720">
        <v>9</v>
      </c>
    </row>
    <row r="721" spans="1:9" x14ac:dyDescent="0.2">
      <c r="A721" s="16" t="s">
        <v>1316</v>
      </c>
      <c r="B721" s="16" t="s">
        <v>10</v>
      </c>
      <c r="C721" s="2">
        <v>46091.702791793985</v>
      </c>
      <c r="D721">
        <v>575</v>
      </c>
      <c r="E721" s="7" t="s">
        <v>620</v>
      </c>
      <c r="F721" s="2">
        <v>46091.411125127313</v>
      </c>
      <c r="G721" s="3">
        <v>46091</v>
      </c>
      <c r="H721" t="s">
        <v>28</v>
      </c>
      <c r="I721">
        <v>9</v>
      </c>
    </row>
    <row r="722" spans="1:9" x14ac:dyDescent="0.2">
      <c r="A722" s="16" t="s">
        <v>753</v>
      </c>
      <c r="B722" s="16" t="s">
        <v>10</v>
      </c>
      <c r="C722" s="2">
        <v>46091.721436250002</v>
      </c>
      <c r="D722">
        <v>36</v>
      </c>
      <c r="F722" s="2">
        <v>46091.42976958333</v>
      </c>
      <c r="G722" s="3">
        <v>46091</v>
      </c>
      <c r="H722" t="s">
        <v>28</v>
      </c>
      <c r="I722">
        <v>10</v>
      </c>
    </row>
    <row r="723" spans="1:9" x14ac:dyDescent="0.2">
      <c r="A723" s="16" t="s">
        <v>754</v>
      </c>
      <c r="B723" s="16" t="s">
        <v>10</v>
      </c>
      <c r="C723" s="2">
        <v>46091.761021388891</v>
      </c>
      <c r="D723">
        <v>575</v>
      </c>
      <c r="E723" s="7" t="s">
        <v>536</v>
      </c>
      <c r="F723" s="2">
        <v>46091.46935472222</v>
      </c>
      <c r="G723" s="3">
        <v>46091</v>
      </c>
      <c r="H723" t="s">
        <v>28</v>
      </c>
      <c r="I723">
        <v>11</v>
      </c>
    </row>
    <row r="724" spans="1:9" x14ac:dyDescent="0.2">
      <c r="A724" s="16" t="s">
        <v>755</v>
      </c>
      <c r="B724" s="16" t="s">
        <v>10</v>
      </c>
      <c r="C724" s="2">
        <v>46091.778130312501</v>
      </c>
      <c r="D724">
        <v>3</v>
      </c>
      <c r="F724" s="2">
        <v>46091.486463645837</v>
      </c>
      <c r="G724" s="3">
        <v>46091</v>
      </c>
      <c r="H724" t="s">
        <v>28</v>
      </c>
      <c r="I724">
        <v>11</v>
      </c>
    </row>
    <row r="725" spans="1:9" x14ac:dyDescent="0.2">
      <c r="A725" s="16" t="s">
        <v>756</v>
      </c>
      <c r="B725" s="16" t="s">
        <v>10</v>
      </c>
      <c r="C725" s="2">
        <v>46091.799348032408</v>
      </c>
      <c r="D725">
        <v>3</v>
      </c>
      <c r="E725" s="7" t="s">
        <v>34</v>
      </c>
      <c r="F725" s="2">
        <v>46091.507681365743</v>
      </c>
      <c r="G725" s="3">
        <v>46091</v>
      </c>
      <c r="H725" t="s">
        <v>28</v>
      </c>
      <c r="I725">
        <v>12</v>
      </c>
    </row>
    <row r="726" spans="1:9" x14ac:dyDescent="0.2">
      <c r="A726" s="16" t="s">
        <v>757</v>
      </c>
      <c r="B726" s="16" t="s">
        <v>10</v>
      </c>
      <c r="C726" s="2">
        <v>46091.988551516202</v>
      </c>
      <c r="D726">
        <v>3</v>
      </c>
      <c r="F726" s="2">
        <v>46091.696884849538</v>
      </c>
      <c r="G726" s="3">
        <v>46091</v>
      </c>
      <c r="H726" t="s">
        <v>28</v>
      </c>
      <c r="I726">
        <v>16</v>
      </c>
    </row>
    <row r="727" spans="1:9" x14ac:dyDescent="0.2">
      <c r="A727" s="16" t="s">
        <v>758</v>
      </c>
      <c r="B727" s="16" t="s">
        <v>10</v>
      </c>
      <c r="C727" s="2">
        <v>46092.351902326387</v>
      </c>
      <c r="D727">
        <v>531</v>
      </c>
      <c r="F727" s="2">
        <v>46092.060235659723</v>
      </c>
      <c r="G727" s="3">
        <v>46092</v>
      </c>
      <c r="H727" t="s">
        <v>63</v>
      </c>
      <c r="I727">
        <v>1</v>
      </c>
    </row>
    <row r="728" spans="1:9" x14ac:dyDescent="0.2">
      <c r="A728" s="16" t="s">
        <v>759</v>
      </c>
      <c r="B728" s="16" t="s">
        <v>10</v>
      </c>
      <c r="C728" s="2">
        <v>46092.357134745369</v>
      </c>
      <c r="D728">
        <v>3</v>
      </c>
      <c r="E728" s="7" t="s">
        <v>60</v>
      </c>
      <c r="F728" s="2">
        <v>46092.065468078705</v>
      </c>
      <c r="G728" s="3">
        <v>46092</v>
      </c>
      <c r="H728" t="s">
        <v>63</v>
      </c>
      <c r="I728">
        <v>1</v>
      </c>
    </row>
    <row r="729" spans="1:9" x14ac:dyDescent="0.2">
      <c r="A729" s="16" t="s">
        <v>760</v>
      </c>
      <c r="B729" s="16" t="s">
        <v>10</v>
      </c>
      <c r="C729" s="2">
        <v>46092.358672766204</v>
      </c>
      <c r="D729">
        <v>3</v>
      </c>
      <c r="F729" s="2">
        <v>46092.06700609954</v>
      </c>
      <c r="G729" s="3">
        <v>46092</v>
      </c>
      <c r="H729" t="s">
        <v>63</v>
      </c>
      <c r="I729">
        <v>1</v>
      </c>
    </row>
    <row r="730" spans="1:9" x14ac:dyDescent="0.2">
      <c r="A730" s="16" t="s">
        <v>761</v>
      </c>
      <c r="B730" s="16" t="s">
        <v>10</v>
      </c>
      <c r="C730" s="2">
        <v>46092.364941516207</v>
      </c>
      <c r="D730">
        <v>36</v>
      </c>
      <c r="F730" s="2">
        <v>46092.073274849536</v>
      </c>
      <c r="G730" s="3">
        <v>46092</v>
      </c>
      <c r="H730" t="s">
        <v>63</v>
      </c>
      <c r="I730">
        <v>1</v>
      </c>
    </row>
    <row r="731" spans="1:9" x14ac:dyDescent="0.2">
      <c r="A731" s="16" t="s">
        <v>762</v>
      </c>
      <c r="B731" s="16" t="s">
        <v>10</v>
      </c>
      <c r="C731" s="2">
        <v>46092.372305335652</v>
      </c>
      <c r="D731">
        <v>575</v>
      </c>
      <c r="E731" s="7" t="s">
        <v>625</v>
      </c>
      <c r="F731" s="2">
        <v>46092.08063866898</v>
      </c>
      <c r="G731" s="3">
        <v>46092</v>
      </c>
      <c r="H731" t="s">
        <v>63</v>
      </c>
      <c r="I731">
        <v>1</v>
      </c>
    </row>
    <row r="732" spans="1:9" x14ac:dyDescent="0.2">
      <c r="A732" s="16" t="s">
        <v>763</v>
      </c>
      <c r="B732" s="16" t="s">
        <v>10</v>
      </c>
      <c r="C732" s="2">
        <v>46092.38396673611</v>
      </c>
      <c r="D732">
        <v>531</v>
      </c>
      <c r="E732" s="7" t="s">
        <v>34</v>
      </c>
      <c r="F732" s="2">
        <v>46092.092300069446</v>
      </c>
      <c r="G732" s="3">
        <v>46092</v>
      </c>
      <c r="H732" t="s">
        <v>63</v>
      </c>
      <c r="I732">
        <v>2</v>
      </c>
    </row>
    <row r="733" spans="1:9" x14ac:dyDescent="0.2">
      <c r="A733" s="16" t="s">
        <v>764</v>
      </c>
      <c r="B733" s="16" t="s">
        <v>10</v>
      </c>
      <c r="C733" s="2">
        <v>46092.402429270835</v>
      </c>
      <c r="D733">
        <v>531</v>
      </c>
      <c r="F733" s="2">
        <v>46092.11076260417</v>
      </c>
      <c r="G733" s="3">
        <v>46092</v>
      </c>
      <c r="H733" t="s">
        <v>63</v>
      </c>
      <c r="I733">
        <v>2</v>
      </c>
    </row>
    <row r="734" spans="1:9" x14ac:dyDescent="0.2">
      <c r="A734" s="16" t="s">
        <v>765</v>
      </c>
      <c r="B734" s="16" t="s">
        <v>10</v>
      </c>
      <c r="C734" s="2">
        <v>46092.456986053243</v>
      </c>
      <c r="D734">
        <v>3</v>
      </c>
      <c r="F734" s="2">
        <v>46092.165319386571</v>
      </c>
      <c r="G734" s="3">
        <v>46092</v>
      </c>
      <c r="H734" t="s">
        <v>63</v>
      </c>
      <c r="I734">
        <v>3</v>
      </c>
    </row>
    <row r="735" spans="1:9" x14ac:dyDescent="0.2">
      <c r="A735" s="16" t="s">
        <v>766</v>
      </c>
      <c r="B735" s="16" t="s">
        <v>10</v>
      </c>
      <c r="C735" s="2">
        <v>46092.459268402781</v>
      </c>
      <c r="D735">
        <v>1</v>
      </c>
      <c r="F735" s="2">
        <v>46092.16760173611</v>
      </c>
      <c r="G735" s="3">
        <v>46092</v>
      </c>
      <c r="H735" t="s">
        <v>63</v>
      </c>
      <c r="I735">
        <v>4</v>
      </c>
    </row>
    <row r="736" spans="1:9" x14ac:dyDescent="0.2">
      <c r="A736" s="16" t="s">
        <v>767</v>
      </c>
      <c r="B736" s="16" t="s">
        <v>10</v>
      </c>
      <c r="C736" s="2">
        <v>46092.489636655089</v>
      </c>
      <c r="D736">
        <v>531</v>
      </c>
      <c r="E736" s="7" t="s">
        <v>768</v>
      </c>
      <c r="F736" s="2">
        <v>46092.197969988425</v>
      </c>
      <c r="G736" s="3">
        <v>46092</v>
      </c>
      <c r="H736" t="s">
        <v>63</v>
      </c>
      <c r="I736">
        <v>4</v>
      </c>
    </row>
    <row r="737" spans="1:9" x14ac:dyDescent="0.2">
      <c r="A737" s="16" t="s">
        <v>871</v>
      </c>
      <c r="B737" s="16" t="s">
        <v>10</v>
      </c>
      <c r="C737" s="2">
        <v>46092.490464236114</v>
      </c>
      <c r="D737">
        <v>531</v>
      </c>
      <c r="E737" s="7" t="s">
        <v>768</v>
      </c>
      <c r="F737" s="2">
        <v>46092.198797569443</v>
      </c>
      <c r="G737" s="3">
        <v>46092</v>
      </c>
      <c r="H737" t="s">
        <v>63</v>
      </c>
      <c r="I737">
        <v>4</v>
      </c>
    </row>
    <row r="738" spans="1:9" x14ac:dyDescent="0.2">
      <c r="A738" s="16" t="s">
        <v>769</v>
      </c>
      <c r="B738" s="16" t="s">
        <v>10</v>
      </c>
      <c r="C738" s="2">
        <v>46092.49986664352</v>
      </c>
      <c r="D738">
        <v>3</v>
      </c>
      <c r="E738" s="7" t="s">
        <v>60</v>
      </c>
      <c r="F738" s="2">
        <v>46092.208199976849</v>
      </c>
      <c r="G738" s="3">
        <v>46092</v>
      </c>
      <c r="H738" t="s">
        <v>63</v>
      </c>
      <c r="I738">
        <v>4</v>
      </c>
    </row>
    <row r="739" spans="1:9" x14ac:dyDescent="0.2">
      <c r="A739" s="16" t="s">
        <v>770</v>
      </c>
      <c r="B739" s="16" t="s">
        <v>10</v>
      </c>
      <c r="C739" s="2">
        <v>46092.521941157407</v>
      </c>
      <c r="D739">
        <v>36</v>
      </c>
      <c r="F739" s="2">
        <v>46092.230274490743</v>
      </c>
      <c r="G739" s="3">
        <v>46092</v>
      </c>
      <c r="H739" t="s">
        <v>63</v>
      </c>
      <c r="I739">
        <v>5</v>
      </c>
    </row>
    <row r="740" spans="1:9" x14ac:dyDescent="0.2">
      <c r="A740" s="16" t="s">
        <v>771</v>
      </c>
      <c r="B740" s="16" t="s">
        <v>10</v>
      </c>
      <c r="C740" s="2">
        <v>46092.556878344905</v>
      </c>
      <c r="D740">
        <v>531</v>
      </c>
      <c r="F740" s="2">
        <v>46092.265211678241</v>
      </c>
      <c r="G740" s="3">
        <v>46092</v>
      </c>
      <c r="H740" t="s">
        <v>63</v>
      </c>
      <c r="I740">
        <v>6</v>
      </c>
    </row>
    <row r="741" spans="1:9" x14ac:dyDescent="0.2">
      <c r="A741" s="16" t="s">
        <v>772</v>
      </c>
      <c r="B741" s="16" t="s">
        <v>10</v>
      </c>
      <c r="C741" s="2">
        <v>46092.566308067129</v>
      </c>
      <c r="D741">
        <v>3</v>
      </c>
      <c r="F741" s="2">
        <v>46092.274641400465</v>
      </c>
      <c r="G741" s="3">
        <v>46092</v>
      </c>
      <c r="H741" t="s">
        <v>63</v>
      </c>
      <c r="I741">
        <v>6</v>
      </c>
    </row>
    <row r="742" spans="1:9" x14ac:dyDescent="0.2">
      <c r="A742" s="16" t="s">
        <v>773</v>
      </c>
      <c r="B742" s="16" t="s">
        <v>10</v>
      </c>
      <c r="C742" s="2">
        <v>46092.586006342593</v>
      </c>
      <c r="D742">
        <v>36</v>
      </c>
      <c r="F742" s="2">
        <v>46092.294339675929</v>
      </c>
      <c r="G742" s="3">
        <v>46092</v>
      </c>
      <c r="H742" t="s">
        <v>63</v>
      </c>
      <c r="I742">
        <v>7</v>
      </c>
    </row>
    <row r="743" spans="1:9" x14ac:dyDescent="0.2">
      <c r="A743" s="16" t="s">
        <v>774</v>
      </c>
      <c r="B743" s="16" t="s">
        <v>10</v>
      </c>
      <c r="C743" s="2">
        <v>46092.633006516204</v>
      </c>
      <c r="D743">
        <v>3</v>
      </c>
      <c r="E743" s="7" t="s">
        <v>34</v>
      </c>
      <c r="F743" s="2">
        <v>46092.34133984954</v>
      </c>
      <c r="G743" s="3">
        <v>46092</v>
      </c>
      <c r="H743" t="s">
        <v>63</v>
      </c>
      <c r="I743">
        <v>8</v>
      </c>
    </row>
    <row r="744" spans="1:9" x14ac:dyDescent="0.2">
      <c r="A744" s="16" t="s">
        <v>775</v>
      </c>
      <c r="B744" s="16" t="s">
        <v>10</v>
      </c>
      <c r="C744" s="2">
        <v>46092.651498402774</v>
      </c>
      <c r="D744">
        <v>575</v>
      </c>
      <c r="E744" s="7" t="s">
        <v>620</v>
      </c>
      <c r="F744" s="2">
        <v>46092.35983173611</v>
      </c>
      <c r="G744" s="3">
        <v>46092</v>
      </c>
      <c r="H744" t="s">
        <v>63</v>
      </c>
      <c r="I744">
        <v>8</v>
      </c>
    </row>
    <row r="745" spans="1:9" x14ac:dyDescent="0.2">
      <c r="A745" s="16" t="s">
        <v>776</v>
      </c>
      <c r="B745" s="16" t="s">
        <v>10</v>
      </c>
      <c r="C745" s="2">
        <v>46092.657454502318</v>
      </c>
      <c r="D745">
        <v>531</v>
      </c>
      <c r="E745" s="7" t="s">
        <v>768</v>
      </c>
      <c r="F745" s="2">
        <v>46092.365787835646</v>
      </c>
      <c r="G745" s="3">
        <v>46092</v>
      </c>
      <c r="H745" t="s">
        <v>63</v>
      </c>
      <c r="I745">
        <v>8</v>
      </c>
    </row>
    <row r="746" spans="1:9" x14ac:dyDescent="0.2">
      <c r="A746" s="16" t="s">
        <v>777</v>
      </c>
      <c r="B746" s="16" t="s">
        <v>10</v>
      </c>
      <c r="C746" s="2">
        <v>46092.667798078706</v>
      </c>
      <c r="D746">
        <v>531</v>
      </c>
      <c r="E746" s="7" t="s">
        <v>768</v>
      </c>
      <c r="F746" s="2">
        <v>46092.376131412035</v>
      </c>
      <c r="G746" s="3">
        <v>46092</v>
      </c>
      <c r="H746" t="s">
        <v>63</v>
      </c>
      <c r="I746">
        <v>9</v>
      </c>
    </row>
    <row r="747" spans="1:9" x14ac:dyDescent="0.2">
      <c r="A747" s="16" t="s">
        <v>778</v>
      </c>
      <c r="B747" s="16" t="s">
        <v>10</v>
      </c>
      <c r="C747" s="2">
        <v>46092.698176990743</v>
      </c>
      <c r="D747">
        <v>531</v>
      </c>
      <c r="F747" s="2">
        <v>46092.406510324072</v>
      </c>
      <c r="G747" s="3">
        <v>46092</v>
      </c>
      <c r="H747" t="s">
        <v>63</v>
      </c>
      <c r="I747">
        <v>9</v>
      </c>
    </row>
    <row r="748" spans="1:9" x14ac:dyDescent="0.2">
      <c r="A748" s="16" t="s">
        <v>779</v>
      </c>
      <c r="B748" s="16" t="s">
        <v>10</v>
      </c>
      <c r="C748" s="2">
        <v>46092.82465584491</v>
      </c>
      <c r="D748">
        <v>531</v>
      </c>
      <c r="F748" s="2">
        <v>46092.532989178238</v>
      </c>
      <c r="G748" s="3">
        <v>46092</v>
      </c>
      <c r="H748" t="s">
        <v>63</v>
      </c>
      <c r="I748">
        <v>12</v>
      </c>
    </row>
    <row r="749" spans="1:9" x14ac:dyDescent="0.2">
      <c r="A749" s="16" t="s">
        <v>901</v>
      </c>
      <c r="B749" s="16" t="s">
        <v>10</v>
      </c>
      <c r="C749" s="2">
        <v>46092.939976284724</v>
      </c>
      <c r="D749">
        <v>531</v>
      </c>
      <c r="F749" s="2">
        <v>46092.648309618053</v>
      </c>
      <c r="G749" s="3">
        <v>46092</v>
      </c>
      <c r="H749" t="s">
        <v>63</v>
      </c>
      <c r="I749">
        <v>15</v>
      </c>
    </row>
    <row r="750" spans="1:9" x14ac:dyDescent="0.2">
      <c r="A750" s="16" t="s">
        <v>780</v>
      </c>
      <c r="B750" s="16" t="s">
        <v>10</v>
      </c>
      <c r="C750" s="2">
        <v>46093.048997210652</v>
      </c>
      <c r="D750">
        <v>3</v>
      </c>
      <c r="F750" s="2">
        <v>46092.75733054398</v>
      </c>
      <c r="G750" s="3">
        <v>46092</v>
      </c>
      <c r="H750" t="s">
        <v>63</v>
      </c>
      <c r="I750">
        <v>18</v>
      </c>
    </row>
    <row r="751" spans="1:9" x14ac:dyDescent="0.2">
      <c r="A751" s="16" t="s">
        <v>781</v>
      </c>
      <c r="B751" s="16" t="s">
        <v>10</v>
      </c>
      <c r="C751" s="2">
        <v>46093.064328275461</v>
      </c>
      <c r="D751">
        <v>3</v>
      </c>
      <c r="E751" s="7" t="s">
        <v>45</v>
      </c>
      <c r="F751" s="2">
        <v>46092.772661608797</v>
      </c>
      <c r="G751" s="3">
        <v>46092</v>
      </c>
      <c r="H751" t="s">
        <v>63</v>
      </c>
      <c r="I751">
        <v>18</v>
      </c>
    </row>
    <row r="752" spans="1:9" x14ac:dyDescent="0.2">
      <c r="A752" s="16" t="s">
        <v>782</v>
      </c>
      <c r="B752" s="16" t="s">
        <v>10</v>
      </c>
      <c r="C752" s="2">
        <v>46093.39224814815</v>
      </c>
      <c r="D752">
        <v>531</v>
      </c>
      <c r="E752" s="7" t="s">
        <v>275</v>
      </c>
      <c r="F752" s="2">
        <v>46093.100581481478</v>
      </c>
      <c r="G752" s="3">
        <v>46093</v>
      </c>
      <c r="H752" t="s">
        <v>95</v>
      </c>
      <c r="I752">
        <v>2</v>
      </c>
    </row>
    <row r="753" spans="1:9" x14ac:dyDescent="0.2">
      <c r="A753" s="16" t="s">
        <v>783</v>
      </c>
      <c r="B753" s="16" t="s">
        <v>10</v>
      </c>
      <c r="C753" s="2">
        <v>46093.420962025462</v>
      </c>
      <c r="D753">
        <v>531</v>
      </c>
      <c r="F753" s="2">
        <v>46093.129295358798</v>
      </c>
      <c r="G753" s="3">
        <v>46093</v>
      </c>
      <c r="H753" t="s">
        <v>95</v>
      </c>
      <c r="I753">
        <v>3</v>
      </c>
    </row>
    <row r="754" spans="1:9" x14ac:dyDescent="0.2">
      <c r="A754" s="16" t="s">
        <v>784</v>
      </c>
      <c r="B754" s="16" t="s">
        <v>10</v>
      </c>
      <c r="C754" s="2">
        <v>46093.428806018521</v>
      </c>
      <c r="D754">
        <v>575</v>
      </c>
      <c r="E754" s="7" t="s">
        <v>582</v>
      </c>
      <c r="F754" s="2">
        <v>46093.137139351849</v>
      </c>
      <c r="G754" s="3">
        <v>46093</v>
      </c>
      <c r="H754" t="s">
        <v>95</v>
      </c>
      <c r="I754">
        <v>3</v>
      </c>
    </row>
    <row r="755" spans="1:9" x14ac:dyDescent="0.2">
      <c r="A755" s="16" t="s">
        <v>785</v>
      </c>
      <c r="B755" s="16" t="s">
        <v>10</v>
      </c>
      <c r="C755" s="2">
        <v>46093.51065945602</v>
      </c>
      <c r="D755">
        <v>3</v>
      </c>
      <c r="F755" s="2">
        <v>46093.218992789349</v>
      </c>
      <c r="G755" s="3">
        <v>46093</v>
      </c>
      <c r="H755" t="s">
        <v>95</v>
      </c>
      <c r="I755">
        <v>5</v>
      </c>
    </row>
    <row r="756" spans="1:9" x14ac:dyDescent="0.2">
      <c r="A756" s="16" t="s">
        <v>902</v>
      </c>
      <c r="B756" s="16" t="s">
        <v>10</v>
      </c>
      <c r="C756" s="2">
        <v>46093.532467280093</v>
      </c>
      <c r="D756">
        <v>3</v>
      </c>
      <c r="F756" s="2">
        <v>46093.240800613428</v>
      </c>
      <c r="G756" s="3">
        <v>46093</v>
      </c>
      <c r="H756" t="s">
        <v>95</v>
      </c>
      <c r="I756">
        <v>5</v>
      </c>
    </row>
    <row r="757" spans="1:9" x14ac:dyDescent="0.2">
      <c r="A757" s="16" t="s">
        <v>786</v>
      </c>
      <c r="B757" s="16" t="s">
        <v>10</v>
      </c>
      <c r="C757" s="2">
        <v>46093.608414953706</v>
      </c>
      <c r="D757">
        <v>2</v>
      </c>
      <c r="F757" s="2">
        <v>46093.316748287034</v>
      </c>
      <c r="G757" s="3">
        <v>46093</v>
      </c>
      <c r="H757" t="s">
        <v>95</v>
      </c>
      <c r="I757">
        <v>7</v>
      </c>
    </row>
    <row r="758" spans="1:9" x14ac:dyDescent="0.2">
      <c r="A758" s="16" t="s">
        <v>787</v>
      </c>
      <c r="B758" s="16" t="s">
        <v>10</v>
      </c>
      <c r="C758" s="2">
        <v>46093.646413599534</v>
      </c>
      <c r="D758">
        <v>531</v>
      </c>
      <c r="E758" s="7" t="s">
        <v>768</v>
      </c>
      <c r="F758" s="2">
        <v>46093.35474693287</v>
      </c>
      <c r="G758" s="3">
        <v>46093</v>
      </c>
      <c r="H758" t="s">
        <v>95</v>
      </c>
      <c r="I758">
        <v>8</v>
      </c>
    </row>
    <row r="759" spans="1:9" x14ac:dyDescent="0.2">
      <c r="A759" s="16" t="s">
        <v>807</v>
      </c>
      <c r="B759" s="16" t="s">
        <v>10</v>
      </c>
      <c r="C759" s="2">
        <v>46093.717577858799</v>
      </c>
      <c r="D759">
        <v>575</v>
      </c>
      <c r="F759" s="2">
        <v>46093.425911192127</v>
      </c>
      <c r="G759" s="3">
        <v>46093</v>
      </c>
      <c r="H759" t="s">
        <v>95</v>
      </c>
      <c r="I759">
        <v>10</v>
      </c>
    </row>
    <row r="760" spans="1:9" x14ac:dyDescent="0.2">
      <c r="A760" s="16" t="s">
        <v>808</v>
      </c>
      <c r="B760" s="16" t="s">
        <v>10</v>
      </c>
      <c r="C760" s="2">
        <v>46093.767513206018</v>
      </c>
      <c r="D760">
        <v>3</v>
      </c>
      <c r="F760" s="2">
        <v>46093.475846539353</v>
      </c>
      <c r="G760" s="3">
        <v>46093</v>
      </c>
      <c r="H760" t="s">
        <v>95</v>
      </c>
      <c r="I760">
        <v>11</v>
      </c>
    </row>
    <row r="761" spans="1:9" x14ac:dyDescent="0.2">
      <c r="A761" s="16" t="s">
        <v>809</v>
      </c>
      <c r="B761" s="16" t="s">
        <v>10</v>
      </c>
      <c r="C761" s="2">
        <v>46093.793513750003</v>
      </c>
      <c r="D761">
        <v>531</v>
      </c>
      <c r="E761" s="7" t="s">
        <v>31</v>
      </c>
      <c r="F761" s="2">
        <v>46093.501847083331</v>
      </c>
      <c r="G761" s="3">
        <v>46093</v>
      </c>
      <c r="H761" t="s">
        <v>95</v>
      </c>
      <c r="I761">
        <v>12</v>
      </c>
    </row>
    <row r="762" spans="1:9" x14ac:dyDescent="0.2">
      <c r="A762" s="16" t="s">
        <v>810</v>
      </c>
      <c r="B762" s="16" t="s">
        <v>10</v>
      </c>
      <c r="C762" s="2">
        <v>46093.932840601854</v>
      </c>
      <c r="D762">
        <v>531</v>
      </c>
      <c r="F762" s="2">
        <v>46093.641173935182</v>
      </c>
      <c r="G762" s="3">
        <v>46093</v>
      </c>
      <c r="H762" t="s">
        <v>95</v>
      </c>
      <c r="I762">
        <v>15</v>
      </c>
    </row>
    <row r="763" spans="1:9" x14ac:dyDescent="0.2">
      <c r="A763" s="16" t="s">
        <v>811</v>
      </c>
      <c r="B763" s="16" t="s">
        <v>10</v>
      </c>
      <c r="C763" s="2">
        <v>46094.350587696761</v>
      </c>
      <c r="D763">
        <v>531</v>
      </c>
      <c r="E763" s="7" t="s">
        <v>34</v>
      </c>
      <c r="F763" s="2">
        <v>46094.05892103009</v>
      </c>
      <c r="G763" s="3">
        <v>46094</v>
      </c>
      <c r="H763" t="s">
        <v>115</v>
      </c>
      <c r="I763">
        <v>1</v>
      </c>
    </row>
    <row r="764" spans="1:9" x14ac:dyDescent="0.2">
      <c r="A764" s="16" t="s">
        <v>812</v>
      </c>
      <c r="B764" s="16" t="s">
        <v>10</v>
      </c>
      <c r="C764" s="2">
        <v>46094.360299652777</v>
      </c>
      <c r="D764">
        <v>575</v>
      </c>
      <c r="F764" s="2">
        <v>46094.068632986113</v>
      </c>
      <c r="G764" s="3">
        <v>46094</v>
      </c>
      <c r="H764" t="s">
        <v>115</v>
      </c>
      <c r="I764">
        <v>1</v>
      </c>
    </row>
    <row r="765" spans="1:9" x14ac:dyDescent="0.2">
      <c r="A765" s="16" t="s">
        <v>813</v>
      </c>
      <c r="B765" s="16" t="s">
        <v>10</v>
      </c>
      <c r="C765" s="2">
        <v>46094.373780277776</v>
      </c>
      <c r="D765">
        <v>575</v>
      </c>
      <c r="E765" s="7" t="s">
        <v>709</v>
      </c>
      <c r="F765" s="2">
        <v>46094.082113611112</v>
      </c>
      <c r="G765" s="3">
        <v>46094</v>
      </c>
      <c r="H765" t="s">
        <v>115</v>
      </c>
      <c r="I765">
        <v>1</v>
      </c>
    </row>
    <row r="766" spans="1:9" x14ac:dyDescent="0.2">
      <c r="A766" s="16" t="s">
        <v>814</v>
      </c>
      <c r="B766" s="16" t="s">
        <v>10</v>
      </c>
      <c r="C766" s="2">
        <v>46094.402319560184</v>
      </c>
      <c r="D766">
        <v>3</v>
      </c>
      <c r="F766" s="2">
        <v>46094.11065289352</v>
      </c>
      <c r="G766" s="3">
        <v>46094</v>
      </c>
      <c r="H766" t="s">
        <v>115</v>
      </c>
      <c r="I766">
        <v>2</v>
      </c>
    </row>
    <row r="767" spans="1:9" x14ac:dyDescent="0.2">
      <c r="A767" s="16" t="s">
        <v>815</v>
      </c>
      <c r="B767" s="16" t="s">
        <v>10</v>
      </c>
      <c r="C767" s="2">
        <v>46094.416066886573</v>
      </c>
      <c r="D767">
        <v>3</v>
      </c>
      <c r="E767" s="7" t="s">
        <v>305</v>
      </c>
      <c r="F767" s="2">
        <v>46094.124400219909</v>
      </c>
      <c r="G767" s="3">
        <v>46094</v>
      </c>
      <c r="H767" t="s">
        <v>115</v>
      </c>
      <c r="I767">
        <v>2</v>
      </c>
    </row>
    <row r="768" spans="1:9" x14ac:dyDescent="0.2">
      <c r="A768" s="16" t="s">
        <v>816</v>
      </c>
      <c r="B768" s="16" t="s">
        <v>10</v>
      </c>
      <c r="C768" s="2">
        <v>46094.417847881945</v>
      </c>
      <c r="D768">
        <v>531</v>
      </c>
      <c r="F768" s="2">
        <v>46094.126181215281</v>
      </c>
      <c r="G768" s="3">
        <v>46094</v>
      </c>
      <c r="H768" t="s">
        <v>115</v>
      </c>
      <c r="I768">
        <v>3</v>
      </c>
    </row>
    <row r="769" spans="1:9" x14ac:dyDescent="0.2">
      <c r="A769" s="16" t="s">
        <v>817</v>
      </c>
      <c r="B769" s="16" t="s">
        <v>10</v>
      </c>
      <c r="C769" s="2">
        <v>46094.420525937501</v>
      </c>
      <c r="D769">
        <v>575</v>
      </c>
      <c r="F769" s="2">
        <v>46094.12885927083</v>
      </c>
      <c r="G769" s="3">
        <v>46094</v>
      </c>
      <c r="H769" t="s">
        <v>115</v>
      </c>
      <c r="I769">
        <v>3</v>
      </c>
    </row>
    <row r="770" spans="1:9" x14ac:dyDescent="0.2">
      <c r="A770" s="16" t="s">
        <v>818</v>
      </c>
      <c r="B770" s="16" t="s">
        <v>10</v>
      </c>
      <c r="C770" s="2">
        <v>46094.42532534722</v>
      </c>
      <c r="D770">
        <v>3</v>
      </c>
      <c r="E770" s="7" t="s">
        <v>305</v>
      </c>
      <c r="F770" s="2">
        <v>46094.133658680556</v>
      </c>
      <c r="G770" s="3">
        <v>46094</v>
      </c>
      <c r="H770" t="s">
        <v>115</v>
      </c>
      <c r="I770">
        <v>3</v>
      </c>
    </row>
    <row r="771" spans="1:9" x14ac:dyDescent="0.2">
      <c r="A771" s="16" t="s">
        <v>819</v>
      </c>
      <c r="B771" s="16" t="s">
        <v>10</v>
      </c>
      <c r="C771" s="2">
        <v>46094.43352175926</v>
      </c>
      <c r="D771">
        <v>3</v>
      </c>
      <c r="F771" s="2">
        <v>46094.141855092596</v>
      </c>
      <c r="G771" s="3">
        <v>46094</v>
      </c>
      <c r="H771" t="s">
        <v>115</v>
      </c>
      <c r="I771">
        <v>3</v>
      </c>
    </row>
    <row r="772" spans="1:9" x14ac:dyDescent="0.2">
      <c r="A772" s="16" t="s">
        <v>820</v>
      </c>
      <c r="B772" s="16" t="s">
        <v>10</v>
      </c>
      <c r="C772" s="2">
        <v>46094.475198622684</v>
      </c>
      <c r="D772">
        <v>3</v>
      </c>
      <c r="F772" s="2">
        <v>46094.18353195602</v>
      </c>
      <c r="G772" s="3">
        <v>46094</v>
      </c>
      <c r="H772" t="s">
        <v>115</v>
      </c>
      <c r="I772">
        <v>4</v>
      </c>
    </row>
    <row r="773" spans="1:9" x14ac:dyDescent="0.2">
      <c r="A773" s="16" t="s">
        <v>821</v>
      </c>
      <c r="B773" s="16" t="s">
        <v>10</v>
      </c>
      <c r="C773" s="2">
        <v>46094.496813877318</v>
      </c>
      <c r="D773">
        <v>575</v>
      </c>
      <c r="E773" s="7" t="s">
        <v>582</v>
      </c>
      <c r="F773" s="2">
        <v>46094.205147210647</v>
      </c>
      <c r="G773" s="3">
        <v>46094</v>
      </c>
      <c r="H773" t="s">
        <v>115</v>
      </c>
      <c r="I773">
        <v>4</v>
      </c>
    </row>
    <row r="774" spans="1:9" x14ac:dyDescent="0.2">
      <c r="A774" s="16" t="s">
        <v>822</v>
      </c>
      <c r="B774" s="16" t="s">
        <v>10</v>
      </c>
      <c r="C774" s="2">
        <v>46094.514207569446</v>
      </c>
      <c r="D774">
        <v>531</v>
      </c>
      <c r="F774" s="2">
        <v>46094.222540902774</v>
      </c>
      <c r="G774" s="3">
        <v>46094</v>
      </c>
      <c r="H774" t="s">
        <v>115</v>
      </c>
      <c r="I774">
        <v>5</v>
      </c>
    </row>
    <row r="775" spans="1:9" x14ac:dyDescent="0.2">
      <c r="A775" s="16" t="s">
        <v>823</v>
      </c>
      <c r="B775" s="16" t="s">
        <v>10</v>
      </c>
      <c r="C775" s="2">
        <v>46094.521576712963</v>
      </c>
      <c r="D775">
        <v>531</v>
      </c>
      <c r="E775" s="7" t="s">
        <v>768</v>
      </c>
      <c r="F775" s="2">
        <v>46094.229910046299</v>
      </c>
      <c r="G775" s="3">
        <v>46094</v>
      </c>
      <c r="H775" t="s">
        <v>115</v>
      </c>
      <c r="I775">
        <v>5</v>
      </c>
    </row>
    <row r="776" spans="1:9" x14ac:dyDescent="0.2">
      <c r="A776" s="16" t="s">
        <v>824</v>
      </c>
      <c r="B776" s="16" t="s">
        <v>10</v>
      </c>
      <c r="C776" s="2">
        <v>46094.54158153935</v>
      </c>
      <c r="D776">
        <v>619</v>
      </c>
      <c r="F776" s="2">
        <v>46094.249914872686</v>
      </c>
      <c r="G776" s="3">
        <v>46094</v>
      </c>
      <c r="H776" t="s">
        <v>115</v>
      </c>
      <c r="I776">
        <v>5</v>
      </c>
    </row>
    <row r="777" spans="1:9" x14ac:dyDescent="0.2">
      <c r="A777" s="16" t="s">
        <v>825</v>
      </c>
      <c r="B777" s="16" t="s">
        <v>10</v>
      </c>
      <c r="C777" s="2">
        <v>46094.542950034724</v>
      </c>
      <c r="D777">
        <v>3</v>
      </c>
      <c r="F777" s="2">
        <v>46094.251283368052</v>
      </c>
      <c r="G777" s="3">
        <v>46094</v>
      </c>
      <c r="H777" t="s">
        <v>115</v>
      </c>
      <c r="I777">
        <v>6</v>
      </c>
    </row>
    <row r="778" spans="1:9" x14ac:dyDescent="0.2">
      <c r="A778" s="16" t="s">
        <v>826</v>
      </c>
      <c r="B778" s="16" t="s">
        <v>10</v>
      </c>
      <c r="C778" s="2">
        <v>46094.569692812503</v>
      </c>
      <c r="D778">
        <v>35</v>
      </c>
      <c r="F778" s="2">
        <v>46094.278026145832</v>
      </c>
      <c r="G778" s="3">
        <v>46094</v>
      </c>
      <c r="H778" t="s">
        <v>115</v>
      </c>
      <c r="I778">
        <v>6</v>
      </c>
    </row>
    <row r="779" spans="1:9" x14ac:dyDescent="0.2">
      <c r="A779" s="16" t="s">
        <v>827</v>
      </c>
      <c r="B779" s="16" t="s">
        <v>10</v>
      </c>
      <c r="C779" s="2">
        <v>46094.626546851854</v>
      </c>
      <c r="D779">
        <v>3</v>
      </c>
      <c r="F779" s="2">
        <v>46094.334880185183</v>
      </c>
      <c r="G779" s="3">
        <v>46094</v>
      </c>
      <c r="H779" t="s">
        <v>115</v>
      </c>
      <c r="I779">
        <v>8</v>
      </c>
    </row>
    <row r="780" spans="1:9" x14ac:dyDescent="0.2">
      <c r="A780" s="16" t="s">
        <v>828</v>
      </c>
      <c r="B780" s="16" t="s">
        <v>10</v>
      </c>
      <c r="C780" s="2">
        <v>46094.629121944447</v>
      </c>
      <c r="D780">
        <v>35</v>
      </c>
      <c r="F780" s="2">
        <v>46094.337455277775</v>
      </c>
      <c r="G780" s="3">
        <v>46094</v>
      </c>
      <c r="H780" t="s">
        <v>115</v>
      </c>
      <c r="I780">
        <v>8</v>
      </c>
    </row>
    <row r="781" spans="1:9" x14ac:dyDescent="0.2">
      <c r="A781" s="16" t="s">
        <v>837</v>
      </c>
      <c r="B781" s="16" t="s">
        <v>10</v>
      </c>
      <c r="C781" s="2">
        <v>46094.800483009261</v>
      </c>
      <c r="D781">
        <v>2</v>
      </c>
      <c r="E781" s="7" t="s">
        <v>367</v>
      </c>
      <c r="F781" s="2">
        <v>46094.50881634259</v>
      </c>
      <c r="G781" s="3">
        <v>46094</v>
      </c>
      <c r="H781" t="s">
        <v>115</v>
      </c>
      <c r="I781">
        <v>12</v>
      </c>
    </row>
    <row r="782" spans="1:9" x14ac:dyDescent="0.2">
      <c r="A782" s="16" t="s">
        <v>838</v>
      </c>
      <c r="B782" s="16" t="s">
        <v>10</v>
      </c>
      <c r="C782" s="2">
        <v>46094.814934641203</v>
      </c>
      <c r="D782">
        <v>3</v>
      </c>
      <c r="F782" s="2">
        <v>46094.523267974539</v>
      </c>
      <c r="G782" s="3">
        <v>46094</v>
      </c>
      <c r="H782" t="s">
        <v>115</v>
      </c>
      <c r="I782">
        <v>12</v>
      </c>
    </row>
    <row r="783" spans="1:9" x14ac:dyDescent="0.2">
      <c r="A783" s="16" t="s">
        <v>1065</v>
      </c>
      <c r="B783" s="16" t="s">
        <v>10</v>
      </c>
      <c r="C783" s="2">
        <v>46094.824617847225</v>
      </c>
      <c r="D783">
        <v>2</v>
      </c>
      <c r="E783" s="7" t="s">
        <v>367</v>
      </c>
      <c r="F783" s="2">
        <v>46094.532951180554</v>
      </c>
      <c r="G783" s="3">
        <v>46094</v>
      </c>
      <c r="H783" t="s">
        <v>115</v>
      </c>
      <c r="I783">
        <v>12</v>
      </c>
    </row>
    <row r="784" spans="1:9" x14ac:dyDescent="0.2">
      <c r="A784" s="16" t="s">
        <v>1317</v>
      </c>
      <c r="B784" s="16" t="s">
        <v>10</v>
      </c>
      <c r="C784" s="2">
        <v>46094.827768657407</v>
      </c>
      <c r="D784">
        <v>2</v>
      </c>
      <c r="E784" s="7" t="s">
        <v>367</v>
      </c>
      <c r="F784" s="2">
        <v>46094.536101990743</v>
      </c>
      <c r="G784" s="3">
        <v>46094</v>
      </c>
      <c r="H784" t="s">
        <v>115</v>
      </c>
      <c r="I784">
        <v>12</v>
      </c>
    </row>
    <row r="785" spans="1:9" x14ac:dyDescent="0.2">
      <c r="A785" s="16" t="s">
        <v>839</v>
      </c>
      <c r="B785" s="16" t="s">
        <v>10</v>
      </c>
      <c r="C785" s="2">
        <v>46094.829001053244</v>
      </c>
      <c r="D785">
        <v>575</v>
      </c>
      <c r="E785" s="7" t="s">
        <v>301</v>
      </c>
      <c r="F785" s="2">
        <v>46094.537334386572</v>
      </c>
      <c r="G785" s="3">
        <v>46094</v>
      </c>
      <c r="H785" t="s">
        <v>115</v>
      </c>
      <c r="I785">
        <v>12</v>
      </c>
    </row>
    <row r="786" spans="1:9" x14ac:dyDescent="0.2">
      <c r="A786" s="16" t="s">
        <v>1264</v>
      </c>
      <c r="B786" s="16" t="s">
        <v>10</v>
      </c>
      <c r="C786" s="2">
        <v>46094.829043483798</v>
      </c>
      <c r="D786">
        <v>3</v>
      </c>
      <c r="F786" s="2">
        <v>46094.537376817127</v>
      </c>
      <c r="G786" s="3">
        <v>46094</v>
      </c>
      <c r="H786" t="s">
        <v>115</v>
      </c>
      <c r="I786">
        <v>12</v>
      </c>
    </row>
    <row r="787" spans="1:9" x14ac:dyDescent="0.2">
      <c r="A787" s="16" t="s">
        <v>840</v>
      </c>
      <c r="B787" s="16" t="s">
        <v>10</v>
      </c>
      <c r="C787" s="2">
        <v>46094.83371467593</v>
      </c>
      <c r="D787">
        <v>575</v>
      </c>
      <c r="F787" s="2">
        <v>46094.542048009258</v>
      </c>
      <c r="G787" s="3">
        <v>46094</v>
      </c>
      <c r="H787" t="s">
        <v>115</v>
      </c>
      <c r="I787">
        <v>13</v>
      </c>
    </row>
    <row r="788" spans="1:9" x14ac:dyDescent="0.2">
      <c r="A788" s="16" t="s">
        <v>841</v>
      </c>
      <c r="B788" s="16" t="s">
        <v>10</v>
      </c>
      <c r="C788" s="2">
        <v>46094.833930057874</v>
      </c>
      <c r="D788">
        <v>3</v>
      </c>
      <c r="F788" s="2">
        <v>46094.542263391202</v>
      </c>
      <c r="G788" s="3">
        <v>46094</v>
      </c>
      <c r="H788" t="s">
        <v>115</v>
      </c>
      <c r="I788">
        <v>13</v>
      </c>
    </row>
    <row r="789" spans="1:9" x14ac:dyDescent="0.2">
      <c r="A789" s="16" t="s">
        <v>842</v>
      </c>
      <c r="B789" s="16" t="s">
        <v>10</v>
      </c>
      <c r="C789" s="2">
        <v>46094.834834768517</v>
      </c>
      <c r="D789">
        <v>2</v>
      </c>
      <c r="E789" s="7" t="s">
        <v>367</v>
      </c>
      <c r="F789" s="2">
        <v>46094.543168101853</v>
      </c>
      <c r="G789" s="3">
        <v>46094</v>
      </c>
      <c r="H789" t="s">
        <v>115</v>
      </c>
      <c r="I789">
        <v>13</v>
      </c>
    </row>
    <row r="790" spans="1:9" x14ac:dyDescent="0.2">
      <c r="A790" s="16" t="s">
        <v>843</v>
      </c>
      <c r="B790" s="16" t="s">
        <v>10</v>
      </c>
      <c r="C790" s="2">
        <v>46094.835089270833</v>
      </c>
      <c r="D790">
        <v>575</v>
      </c>
      <c r="E790" s="7" t="s">
        <v>301</v>
      </c>
      <c r="F790" s="2">
        <v>46094.543422604169</v>
      </c>
      <c r="G790" s="3">
        <v>46094</v>
      </c>
      <c r="H790" t="s">
        <v>115</v>
      </c>
      <c r="I790">
        <v>13</v>
      </c>
    </row>
    <row r="791" spans="1:9" x14ac:dyDescent="0.2">
      <c r="A791" s="16" t="s">
        <v>903</v>
      </c>
      <c r="B791" s="16" t="s">
        <v>10</v>
      </c>
      <c r="C791" s="2">
        <v>46094.839683645834</v>
      </c>
      <c r="D791">
        <v>575</v>
      </c>
      <c r="E791" s="7" t="s">
        <v>301</v>
      </c>
      <c r="F791" s="2">
        <v>46094.54801697917</v>
      </c>
      <c r="G791" s="3">
        <v>46094</v>
      </c>
      <c r="H791" t="s">
        <v>115</v>
      </c>
      <c r="I791">
        <v>13</v>
      </c>
    </row>
    <row r="792" spans="1:9" x14ac:dyDescent="0.2">
      <c r="A792" s="16" t="s">
        <v>844</v>
      </c>
      <c r="B792" s="16" t="s">
        <v>10</v>
      </c>
      <c r="C792" s="2">
        <v>46094.922768252312</v>
      </c>
      <c r="D792">
        <v>531</v>
      </c>
      <c r="F792" s="2">
        <v>46094.631101585648</v>
      </c>
      <c r="G792" s="3">
        <v>46094</v>
      </c>
      <c r="H792" t="s">
        <v>115</v>
      </c>
      <c r="I792">
        <v>15</v>
      </c>
    </row>
    <row r="793" spans="1:9" x14ac:dyDescent="0.2">
      <c r="A793" s="16" t="s">
        <v>845</v>
      </c>
      <c r="B793" s="16" t="s">
        <v>10</v>
      </c>
      <c r="C793" s="2">
        <v>46095.330450208334</v>
      </c>
      <c r="D793">
        <v>531</v>
      </c>
      <c r="F793" s="2">
        <v>46095.03878354167</v>
      </c>
      <c r="G793" s="3">
        <v>46095</v>
      </c>
      <c r="H793" t="s">
        <v>120</v>
      </c>
      <c r="I793">
        <v>0</v>
      </c>
    </row>
    <row r="794" spans="1:9" x14ac:dyDescent="0.2">
      <c r="A794" s="16" t="s">
        <v>846</v>
      </c>
      <c r="B794" s="16" t="s">
        <v>10</v>
      </c>
      <c r="C794" s="2">
        <v>46095.353037025459</v>
      </c>
      <c r="D794">
        <v>575</v>
      </c>
      <c r="F794" s="2">
        <v>46095.061370358795</v>
      </c>
      <c r="G794" s="3">
        <v>46095</v>
      </c>
      <c r="H794" t="s">
        <v>120</v>
      </c>
      <c r="I794">
        <v>1</v>
      </c>
    </row>
    <row r="795" spans="1:9" x14ac:dyDescent="0.2">
      <c r="A795" s="16" t="s">
        <v>847</v>
      </c>
      <c r="B795" s="16" t="s">
        <v>10</v>
      </c>
      <c r="C795" s="2">
        <v>46095.434625787035</v>
      </c>
      <c r="D795">
        <v>531</v>
      </c>
      <c r="F795" s="2">
        <v>46095.142959120371</v>
      </c>
      <c r="G795" s="3">
        <v>46095</v>
      </c>
      <c r="H795" t="s">
        <v>120</v>
      </c>
      <c r="I795">
        <v>3</v>
      </c>
    </row>
    <row r="796" spans="1:9" x14ac:dyDescent="0.2">
      <c r="A796" s="16" t="s">
        <v>848</v>
      </c>
      <c r="B796" s="16" t="s">
        <v>10</v>
      </c>
      <c r="C796" s="2">
        <v>46095.452279953701</v>
      </c>
      <c r="D796">
        <v>575</v>
      </c>
      <c r="F796" s="2">
        <v>46095.160613287037</v>
      </c>
      <c r="G796" s="3">
        <v>46095</v>
      </c>
      <c r="H796" t="s">
        <v>120</v>
      </c>
      <c r="I796">
        <v>3</v>
      </c>
    </row>
    <row r="797" spans="1:9" x14ac:dyDescent="0.2">
      <c r="A797" s="16" t="s">
        <v>849</v>
      </c>
      <c r="B797" s="16" t="s">
        <v>10</v>
      </c>
      <c r="C797" s="2">
        <v>46095.457385752314</v>
      </c>
      <c r="D797">
        <v>3</v>
      </c>
      <c r="E797" s="7" t="s">
        <v>305</v>
      </c>
      <c r="F797" s="2">
        <v>46095.165719085649</v>
      </c>
      <c r="G797" s="3">
        <v>46095</v>
      </c>
      <c r="H797" t="s">
        <v>120</v>
      </c>
      <c r="I797">
        <v>3</v>
      </c>
    </row>
    <row r="798" spans="1:9" x14ac:dyDescent="0.2">
      <c r="A798" s="16" t="s">
        <v>850</v>
      </c>
      <c r="B798" s="16" t="s">
        <v>10</v>
      </c>
      <c r="C798" s="2">
        <v>46095.594146249998</v>
      </c>
      <c r="D798">
        <v>575</v>
      </c>
      <c r="F798" s="2">
        <v>46095.302479583333</v>
      </c>
      <c r="G798" s="3">
        <v>46095</v>
      </c>
      <c r="H798" t="s">
        <v>120</v>
      </c>
      <c r="I798">
        <v>7</v>
      </c>
    </row>
    <row r="799" spans="1:9" x14ac:dyDescent="0.2">
      <c r="A799" s="16" t="s">
        <v>978</v>
      </c>
      <c r="B799" s="16" t="s">
        <v>10</v>
      </c>
      <c r="C799" s="2">
        <v>46095.598142233794</v>
      </c>
      <c r="D799">
        <v>575</v>
      </c>
      <c r="F799" s="2">
        <v>46095.306475567129</v>
      </c>
      <c r="G799" s="3">
        <v>46095</v>
      </c>
      <c r="H799" t="s">
        <v>120</v>
      </c>
      <c r="I799">
        <v>7</v>
      </c>
    </row>
    <row r="800" spans="1:9" x14ac:dyDescent="0.2">
      <c r="A800" s="16" t="s">
        <v>1265</v>
      </c>
      <c r="B800" s="16" t="s">
        <v>10</v>
      </c>
      <c r="C800" s="2">
        <v>46095.603847708335</v>
      </c>
      <c r="D800">
        <v>575</v>
      </c>
      <c r="F800" s="2">
        <v>46095.312181041663</v>
      </c>
      <c r="G800" s="3">
        <v>46095</v>
      </c>
      <c r="H800" t="s">
        <v>120</v>
      </c>
      <c r="I800">
        <v>7</v>
      </c>
    </row>
    <row r="801" spans="1:9" x14ac:dyDescent="0.2">
      <c r="A801" s="16" t="s">
        <v>1160</v>
      </c>
      <c r="B801" s="16" t="s">
        <v>10</v>
      </c>
      <c r="C801" s="2">
        <v>46095.611007372689</v>
      </c>
      <c r="D801">
        <v>575</v>
      </c>
      <c r="F801" s="2">
        <v>46095.319340706017</v>
      </c>
      <c r="G801" s="3">
        <v>46095</v>
      </c>
      <c r="H801" t="s">
        <v>120</v>
      </c>
      <c r="I801">
        <v>7</v>
      </c>
    </row>
    <row r="802" spans="1:9" x14ac:dyDescent="0.2">
      <c r="A802" s="16" t="s">
        <v>851</v>
      </c>
      <c r="B802" s="16" t="s">
        <v>10</v>
      </c>
      <c r="C802" s="2">
        <v>46095.628876342591</v>
      </c>
      <c r="D802">
        <v>575</v>
      </c>
      <c r="F802" s="2">
        <v>46095.337209675927</v>
      </c>
      <c r="G802" s="3">
        <v>46095</v>
      </c>
      <c r="H802" t="s">
        <v>120</v>
      </c>
      <c r="I802">
        <v>8</v>
      </c>
    </row>
    <row r="803" spans="1:9" x14ac:dyDescent="0.2">
      <c r="A803" s="16" t="s">
        <v>852</v>
      </c>
      <c r="B803" s="16" t="s">
        <v>10</v>
      </c>
      <c r="C803" s="2">
        <v>46095.639069756944</v>
      </c>
      <c r="D803">
        <v>3</v>
      </c>
      <c r="E803" s="7" t="s">
        <v>853</v>
      </c>
      <c r="F803" s="2">
        <v>46095.34740309028</v>
      </c>
      <c r="G803" s="3">
        <v>46095</v>
      </c>
      <c r="H803" t="s">
        <v>120</v>
      </c>
      <c r="I803">
        <v>8</v>
      </c>
    </row>
    <row r="804" spans="1:9" x14ac:dyDescent="0.2">
      <c r="A804" s="16" t="s">
        <v>904</v>
      </c>
      <c r="B804" s="16" t="s">
        <v>10</v>
      </c>
      <c r="C804" s="2">
        <v>46095.642464409721</v>
      </c>
      <c r="D804">
        <v>575</v>
      </c>
      <c r="F804" s="2">
        <v>46095.350797743056</v>
      </c>
      <c r="G804" s="3">
        <v>46095</v>
      </c>
      <c r="H804" t="s">
        <v>120</v>
      </c>
      <c r="I804">
        <v>8</v>
      </c>
    </row>
    <row r="805" spans="1:9" x14ac:dyDescent="0.2">
      <c r="A805" s="16" t="s">
        <v>863</v>
      </c>
      <c r="B805" s="16" t="s">
        <v>10</v>
      </c>
      <c r="C805" s="2">
        <v>46095.840705254632</v>
      </c>
      <c r="D805">
        <v>531</v>
      </c>
      <c r="F805" s="2">
        <v>46095.54903858796</v>
      </c>
      <c r="G805" s="3">
        <v>46095</v>
      </c>
      <c r="H805" t="s">
        <v>120</v>
      </c>
      <c r="I805">
        <v>13</v>
      </c>
    </row>
    <row r="806" spans="1:9" x14ac:dyDescent="0.2">
      <c r="A806" s="16" t="s">
        <v>864</v>
      </c>
      <c r="B806" s="16" t="s">
        <v>10</v>
      </c>
      <c r="C806" s="2">
        <v>46096.218777013892</v>
      </c>
      <c r="D806">
        <v>575</v>
      </c>
      <c r="F806" s="2">
        <v>46095.92711034722</v>
      </c>
      <c r="G806" s="3">
        <v>46095</v>
      </c>
      <c r="H806" t="s">
        <v>120</v>
      </c>
      <c r="I806">
        <v>22</v>
      </c>
    </row>
    <row r="807" spans="1:9" x14ac:dyDescent="0.2">
      <c r="A807" s="16" t="s">
        <v>865</v>
      </c>
      <c r="B807" s="16" t="s">
        <v>10</v>
      </c>
      <c r="C807" s="2">
        <v>46096.348719618058</v>
      </c>
      <c r="D807">
        <v>3</v>
      </c>
      <c r="F807" s="2">
        <v>46096.057052951386</v>
      </c>
      <c r="G807" s="3">
        <v>46096</v>
      </c>
      <c r="H807" t="s">
        <v>125</v>
      </c>
      <c r="I807">
        <v>1</v>
      </c>
    </row>
    <row r="808" spans="1:9" x14ac:dyDescent="0.2">
      <c r="A808" s="16" t="s">
        <v>866</v>
      </c>
      <c r="B808" s="16" t="s">
        <v>10</v>
      </c>
      <c r="C808" s="2">
        <v>46096.403470520832</v>
      </c>
      <c r="D808">
        <v>575</v>
      </c>
      <c r="F808" s="2">
        <v>46096.111803854168</v>
      </c>
      <c r="G808" s="3">
        <v>46096</v>
      </c>
      <c r="H808" t="s">
        <v>125</v>
      </c>
      <c r="I808">
        <v>2</v>
      </c>
    </row>
    <row r="809" spans="1:9" x14ac:dyDescent="0.2">
      <c r="A809" s="16" t="s">
        <v>872</v>
      </c>
      <c r="B809" s="16" t="s">
        <v>10</v>
      </c>
      <c r="C809" s="2">
        <v>46096.713228900466</v>
      </c>
      <c r="D809">
        <v>1</v>
      </c>
      <c r="F809" s="2">
        <v>46096.421562233794</v>
      </c>
      <c r="G809" s="3">
        <v>46096</v>
      </c>
      <c r="H809" t="s">
        <v>125</v>
      </c>
      <c r="I809">
        <v>10</v>
      </c>
    </row>
    <row r="810" spans="1:9" x14ac:dyDescent="0.2">
      <c r="A810" s="16" t="s">
        <v>873</v>
      </c>
      <c r="B810" s="16" t="s">
        <v>10</v>
      </c>
      <c r="C810" s="2">
        <v>46096.879958750003</v>
      </c>
      <c r="D810">
        <v>3</v>
      </c>
      <c r="E810" s="7" t="s">
        <v>874</v>
      </c>
      <c r="F810" s="2">
        <v>46096.588292083332</v>
      </c>
      <c r="G810" s="3">
        <v>46096</v>
      </c>
      <c r="H810" t="s">
        <v>125</v>
      </c>
      <c r="I810">
        <v>14</v>
      </c>
    </row>
    <row r="811" spans="1:9" x14ac:dyDescent="0.2">
      <c r="A811" s="16" t="s">
        <v>875</v>
      </c>
      <c r="B811" s="16" t="s">
        <v>10</v>
      </c>
      <c r="C811" s="2">
        <v>46096.880976863424</v>
      </c>
      <c r="D811">
        <v>3</v>
      </c>
      <c r="F811" s="2">
        <v>46096.589310196759</v>
      </c>
      <c r="G811" s="3">
        <v>46096</v>
      </c>
      <c r="H811" t="s">
        <v>125</v>
      </c>
      <c r="I811">
        <v>14</v>
      </c>
    </row>
    <row r="812" spans="1:9" x14ac:dyDescent="0.2">
      <c r="A812" s="16" t="s">
        <v>876</v>
      </c>
      <c r="B812" s="16" t="s">
        <v>10</v>
      </c>
      <c r="C812" s="2">
        <v>46096.881695775461</v>
      </c>
      <c r="D812">
        <v>3</v>
      </c>
      <c r="F812" s="2">
        <v>46096.590029108796</v>
      </c>
      <c r="G812" s="3">
        <v>46096</v>
      </c>
      <c r="H812" t="s">
        <v>125</v>
      </c>
      <c r="I812">
        <v>14</v>
      </c>
    </row>
    <row r="813" spans="1:9" x14ac:dyDescent="0.2">
      <c r="A813" s="16" t="s">
        <v>877</v>
      </c>
      <c r="B813" s="16" t="s">
        <v>10</v>
      </c>
      <c r="C813" s="2">
        <v>46096.881826168981</v>
      </c>
      <c r="D813">
        <v>3</v>
      </c>
      <c r="E813" s="7" t="s">
        <v>878</v>
      </c>
      <c r="F813" s="2">
        <v>46096.590159502317</v>
      </c>
      <c r="G813" s="3">
        <v>46096</v>
      </c>
      <c r="H813" t="s">
        <v>125</v>
      </c>
      <c r="I813">
        <v>14</v>
      </c>
    </row>
    <row r="814" spans="1:9" x14ac:dyDescent="0.2">
      <c r="A814" s="16" t="s">
        <v>879</v>
      </c>
      <c r="B814" s="16" t="s">
        <v>10</v>
      </c>
      <c r="C814" s="2">
        <v>46096.913787939811</v>
      </c>
      <c r="D814">
        <v>2</v>
      </c>
      <c r="E814" s="7" t="s">
        <v>880</v>
      </c>
      <c r="F814" s="2">
        <v>46096.622121273147</v>
      </c>
      <c r="G814" s="3">
        <v>46096</v>
      </c>
      <c r="H814" t="s">
        <v>125</v>
      </c>
      <c r="I814">
        <v>14</v>
      </c>
    </row>
    <row r="815" spans="1:9" x14ac:dyDescent="0.2">
      <c r="A815" s="16" t="s">
        <v>881</v>
      </c>
      <c r="B815" s="16" t="s">
        <v>10</v>
      </c>
      <c r="C815" s="2">
        <v>46096.925789085646</v>
      </c>
      <c r="D815">
        <v>3</v>
      </c>
      <c r="E815" s="7" t="s">
        <v>878</v>
      </c>
      <c r="F815" s="2">
        <v>46096.634122418982</v>
      </c>
      <c r="G815" s="3">
        <v>46096</v>
      </c>
      <c r="H815" t="s">
        <v>125</v>
      </c>
      <c r="I815">
        <v>15</v>
      </c>
    </row>
    <row r="816" spans="1:9" x14ac:dyDescent="0.2">
      <c r="A816" s="16" t="s">
        <v>882</v>
      </c>
      <c r="B816" s="16" t="s">
        <v>10</v>
      </c>
      <c r="C816" s="2">
        <v>46096.939985914352</v>
      </c>
      <c r="D816">
        <v>531</v>
      </c>
      <c r="E816" s="7" t="s">
        <v>323</v>
      </c>
      <c r="F816" s="2">
        <v>46096.648319247688</v>
      </c>
      <c r="G816" s="3">
        <v>46096</v>
      </c>
      <c r="H816" t="s">
        <v>125</v>
      </c>
      <c r="I816">
        <v>15</v>
      </c>
    </row>
    <row r="817" spans="1:9" x14ac:dyDescent="0.2">
      <c r="A817" s="16" t="s">
        <v>883</v>
      </c>
      <c r="B817" s="16" t="s">
        <v>10</v>
      </c>
      <c r="C817" s="2">
        <v>46097.041815127312</v>
      </c>
      <c r="D817">
        <v>3</v>
      </c>
      <c r="E817" s="7" t="s">
        <v>878</v>
      </c>
      <c r="F817" s="2">
        <v>46096.750148460647</v>
      </c>
      <c r="G817" s="3">
        <v>46096</v>
      </c>
      <c r="H817" t="s">
        <v>125</v>
      </c>
      <c r="I817">
        <v>18</v>
      </c>
    </row>
    <row r="818" spans="1:9" x14ac:dyDescent="0.2">
      <c r="A818" s="16" t="s">
        <v>884</v>
      </c>
      <c r="B818" s="16" t="s">
        <v>10</v>
      </c>
      <c r="C818" s="2">
        <v>46097.253154768521</v>
      </c>
      <c r="D818">
        <v>531</v>
      </c>
      <c r="F818" s="2">
        <v>46096.96148810185</v>
      </c>
      <c r="G818" s="3">
        <v>46096</v>
      </c>
      <c r="H818" t="s">
        <v>125</v>
      </c>
      <c r="I818">
        <v>23</v>
      </c>
    </row>
    <row r="819" spans="1:9" x14ac:dyDescent="0.2">
      <c r="A819" s="16" t="s">
        <v>885</v>
      </c>
      <c r="B819" s="16" t="s">
        <v>10</v>
      </c>
      <c r="C819" s="2">
        <v>46097.374301157404</v>
      </c>
      <c r="D819">
        <v>2</v>
      </c>
      <c r="F819" s="2">
        <v>46097.08263449074</v>
      </c>
      <c r="G819" s="3">
        <v>46097</v>
      </c>
      <c r="H819" t="s">
        <v>11</v>
      </c>
      <c r="I819">
        <v>1</v>
      </c>
    </row>
    <row r="820" spans="1:9" x14ac:dyDescent="0.2">
      <c r="A820" s="16" t="s">
        <v>886</v>
      </c>
      <c r="B820" s="16" t="s">
        <v>10</v>
      </c>
      <c r="C820" s="2">
        <v>46097.375510636572</v>
      </c>
      <c r="D820">
        <v>2</v>
      </c>
      <c r="F820" s="2">
        <v>46097.083843969907</v>
      </c>
      <c r="G820" s="3">
        <v>46097</v>
      </c>
      <c r="H820" t="s">
        <v>11</v>
      </c>
      <c r="I820">
        <v>2</v>
      </c>
    </row>
    <row r="821" spans="1:9" x14ac:dyDescent="0.2">
      <c r="A821" s="16" t="s">
        <v>887</v>
      </c>
      <c r="B821" s="16" t="s">
        <v>10</v>
      </c>
      <c r="C821" s="2">
        <v>46097.53261613426</v>
      </c>
      <c r="D821">
        <v>2</v>
      </c>
      <c r="F821" s="2">
        <v>46097.240949467596</v>
      </c>
      <c r="G821" s="3">
        <v>46097</v>
      </c>
      <c r="H821" t="s">
        <v>11</v>
      </c>
      <c r="I821">
        <v>5</v>
      </c>
    </row>
    <row r="822" spans="1:9" x14ac:dyDescent="0.2">
      <c r="A822" s="16" t="s">
        <v>888</v>
      </c>
      <c r="B822" s="16" t="s">
        <v>10</v>
      </c>
      <c r="C822" s="2">
        <v>46097.53750489583</v>
      </c>
      <c r="D822">
        <v>531</v>
      </c>
      <c r="E822" s="7" t="s">
        <v>31</v>
      </c>
      <c r="F822" s="2">
        <v>46097.245838229166</v>
      </c>
      <c r="G822" s="3">
        <v>46097</v>
      </c>
      <c r="H822" t="s">
        <v>11</v>
      </c>
      <c r="I822">
        <v>5</v>
      </c>
    </row>
    <row r="823" spans="1:9" x14ac:dyDescent="0.2">
      <c r="A823" s="16" t="s">
        <v>889</v>
      </c>
      <c r="B823" s="16" t="s">
        <v>10</v>
      </c>
      <c r="C823" s="2">
        <v>46097.539779803243</v>
      </c>
      <c r="D823">
        <v>2</v>
      </c>
      <c r="F823" s="2">
        <v>46097.248113136571</v>
      </c>
      <c r="G823" s="3">
        <v>46097</v>
      </c>
      <c r="H823" t="s">
        <v>11</v>
      </c>
      <c r="I823">
        <v>5</v>
      </c>
    </row>
    <row r="824" spans="1:9" x14ac:dyDescent="0.2">
      <c r="A824" s="16" t="s">
        <v>890</v>
      </c>
      <c r="B824" s="16" t="s">
        <v>10</v>
      </c>
      <c r="C824" s="2">
        <v>46097.583636770833</v>
      </c>
      <c r="D824">
        <v>575</v>
      </c>
      <c r="E824" s="7" t="s">
        <v>566</v>
      </c>
      <c r="F824" s="2">
        <v>46097.291970104168</v>
      </c>
      <c r="G824" s="3">
        <v>46097</v>
      </c>
      <c r="H824" t="s">
        <v>11</v>
      </c>
      <c r="I824">
        <v>7</v>
      </c>
    </row>
    <row r="825" spans="1:9" x14ac:dyDescent="0.2">
      <c r="A825" s="16" t="s">
        <v>891</v>
      </c>
      <c r="B825" s="16" t="s">
        <v>10</v>
      </c>
      <c r="C825" s="2">
        <v>46097.606625752313</v>
      </c>
      <c r="D825">
        <v>3</v>
      </c>
      <c r="E825" s="7" t="s">
        <v>31</v>
      </c>
      <c r="F825" s="2">
        <v>46097.314959085648</v>
      </c>
      <c r="G825" s="3">
        <v>46097</v>
      </c>
      <c r="H825" t="s">
        <v>11</v>
      </c>
      <c r="I825">
        <v>7</v>
      </c>
    </row>
    <row r="826" spans="1:9" x14ac:dyDescent="0.2">
      <c r="A826" s="16" t="s">
        <v>892</v>
      </c>
      <c r="B826" s="16" t="s">
        <v>10</v>
      </c>
      <c r="C826" s="2">
        <v>46097.632426261574</v>
      </c>
      <c r="D826">
        <v>575</v>
      </c>
      <c r="E826" s="7" t="s">
        <v>31</v>
      </c>
      <c r="F826" s="2">
        <v>46097.34075959491</v>
      </c>
      <c r="G826" s="3">
        <v>46097</v>
      </c>
      <c r="H826" t="s">
        <v>11</v>
      </c>
      <c r="I826">
        <v>8</v>
      </c>
    </row>
    <row r="827" spans="1:9" x14ac:dyDescent="0.2">
      <c r="A827" s="16" t="s">
        <v>893</v>
      </c>
      <c r="B827" s="16" t="s">
        <v>10</v>
      </c>
      <c r="C827" s="2">
        <v>46097.636272615739</v>
      </c>
      <c r="D827">
        <v>36</v>
      </c>
      <c r="F827" s="2">
        <v>46097.344605949074</v>
      </c>
      <c r="G827" s="3">
        <v>46097</v>
      </c>
      <c r="H827" t="s">
        <v>11</v>
      </c>
      <c r="I827">
        <v>8</v>
      </c>
    </row>
    <row r="828" spans="1:9" x14ac:dyDescent="0.2">
      <c r="A828" s="16" t="s">
        <v>905</v>
      </c>
      <c r="B828" s="16" t="s">
        <v>10</v>
      </c>
      <c r="C828" s="2">
        <v>46097.745389270836</v>
      </c>
      <c r="D828">
        <v>531</v>
      </c>
      <c r="E828" s="7" t="s">
        <v>323</v>
      </c>
      <c r="F828" s="2">
        <v>46097.453722604165</v>
      </c>
      <c r="G828" s="3">
        <v>46097</v>
      </c>
      <c r="H828" t="s">
        <v>11</v>
      </c>
      <c r="I828">
        <v>10</v>
      </c>
    </row>
    <row r="829" spans="1:9" x14ac:dyDescent="0.2">
      <c r="A829" s="16" t="s">
        <v>906</v>
      </c>
      <c r="B829" s="16" t="s">
        <v>10</v>
      </c>
      <c r="C829" s="2">
        <v>46097.748358877318</v>
      </c>
      <c r="D829">
        <v>3</v>
      </c>
      <c r="E829" s="7" t="s">
        <v>907</v>
      </c>
      <c r="F829" s="2">
        <v>46097.456692210646</v>
      </c>
      <c r="G829" s="3">
        <v>46097</v>
      </c>
      <c r="H829" t="s">
        <v>11</v>
      </c>
      <c r="I829">
        <v>10</v>
      </c>
    </row>
    <row r="830" spans="1:9" x14ac:dyDescent="0.2">
      <c r="A830" s="16" t="s">
        <v>908</v>
      </c>
      <c r="B830" s="16" t="s">
        <v>10</v>
      </c>
      <c r="C830" s="2">
        <v>46097.750052557873</v>
      </c>
      <c r="D830">
        <v>531</v>
      </c>
      <c r="E830" s="7" t="s">
        <v>323</v>
      </c>
      <c r="F830" s="2">
        <v>46097.458385891201</v>
      </c>
      <c r="G830" s="3">
        <v>46097</v>
      </c>
      <c r="H830" t="s">
        <v>11</v>
      </c>
      <c r="I830">
        <v>11</v>
      </c>
    </row>
    <row r="831" spans="1:9" x14ac:dyDescent="0.2">
      <c r="A831" s="16" t="s">
        <v>909</v>
      </c>
      <c r="B831" s="16" t="s">
        <v>10</v>
      </c>
      <c r="C831" s="2">
        <v>46097.756569930556</v>
      </c>
      <c r="D831">
        <v>3</v>
      </c>
      <c r="E831" s="7" t="s">
        <v>910</v>
      </c>
      <c r="F831" s="2">
        <v>46097.464903263892</v>
      </c>
      <c r="G831" s="3">
        <v>46097</v>
      </c>
      <c r="H831" t="s">
        <v>11</v>
      </c>
      <c r="I831">
        <v>11</v>
      </c>
    </row>
    <row r="832" spans="1:9" x14ac:dyDescent="0.2">
      <c r="A832" s="16" t="s">
        <v>911</v>
      </c>
      <c r="B832" s="16" t="s">
        <v>10</v>
      </c>
      <c r="C832" s="2">
        <v>46097.759957789349</v>
      </c>
      <c r="D832">
        <v>3</v>
      </c>
      <c r="E832" s="7" t="s">
        <v>874</v>
      </c>
      <c r="F832" s="2">
        <v>46097.468291122685</v>
      </c>
      <c r="G832" s="3">
        <v>46097</v>
      </c>
      <c r="H832" t="s">
        <v>11</v>
      </c>
      <c r="I832">
        <v>11</v>
      </c>
    </row>
    <row r="833" spans="1:9" x14ac:dyDescent="0.2">
      <c r="A833" s="16" t="s">
        <v>912</v>
      </c>
      <c r="B833" s="16" t="s">
        <v>10</v>
      </c>
      <c r="C833" s="2">
        <v>46097.761902349535</v>
      </c>
      <c r="D833">
        <v>3</v>
      </c>
      <c r="E833" s="7" t="s">
        <v>60</v>
      </c>
      <c r="F833" s="2">
        <v>46097.470235682871</v>
      </c>
      <c r="G833" s="3">
        <v>46097</v>
      </c>
      <c r="H833" t="s">
        <v>11</v>
      </c>
      <c r="I833">
        <v>11</v>
      </c>
    </row>
    <row r="834" spans="1:9" x14ac:dyDescent="0.2">
      <c r="A834" s="16" t="s">
        <v>913</v>
      </c>
      <c r="B834" s="16" t="s">
        <v>10</v>
      </c>
      <c r="C834" s="2">
        <v>46097.823546516207</v>
      </c>
      <c r="D834">
        <v>3</v>
      </c>
      <c r="F834" s="2">
        <v>46097.531879849535</v>
      </c>
      <c r="G834" s="3">
        <v>46097</v>
      </c>
      <c r="H834" t="s">
        <v>11</v>
      </c>
      <c r="I834">
        <v>12</v>
      </c>
    </row>
    <row r="835" spans="1:9" x14ac:dyDescent="0.2">
      <c r="A835" s="16" t="s">
        <v>914</v>
      </c>
      <c r="B835" s="16" t="s">
        <v>10</v>
      </c>
      <c r="C835" s="2">
        <v>46097.890278460647</v>
      </c>
      <c r="D835">
        <v>531</v>
      </c>
      <c r="F835" s="2">
        <v>46097.598611793983</v>
      </c>
      <c r="G835" s="3">
        <v>46097</v>
      </c>
      <c r="H835" t="s">
        <v>11</v>
      </c>
      <c r="I835">
        <v>14</v>
      </c>
    </row>
    <row r="836" spans="1:9" x14ac:dyDescent="0.2">
      <c r="A836" s="16" t="s">
        <v>915</v>
      </c>
      <c r="B836" s="16" t="s">
        <v>10</v>
      </c>
      <c r="C836" s="2">
        <v>46097.91176855324</v>
      </c>
      <c r="D836">
        <v>3</v>
      </c>
      <c r="F836" s="2">
        <v>46097.620101886576</v>
      </c>
      <c r="G836" s="3">
        <v>46097</v>
      </c>
      <c r="H836" t="s">
        <v>11</v>
      </c>
      <c r="I836">
        <v>14</v>
      </c>
    </row>
    <row r="837" spans="1:9" x14ac:dyDescent="0.2">
      <c r="A837" s="16" t="s">
        <v>916</v>
      </c>
      <c r="B837" s="16" t="s">
        <v>10</v>
      </c>
      <c r="C837" s="2">
        <v>46098.15349866898</v>
      </c>
      <c r="D837">
        <v>3</v>
      </c>
      <c r="F837" s="2">
        <v>46097.861832002316</v>
      </c>
      <c r="G837" s="3">
        <v>46097</v>
      </c>
      <c r="H837" t="s">
        <v>11</v>
      </c>
      <c r="I837">
        <v>20</v>
      </c>
    </row>
    <row r="838" spans="1:9" x14ac:dyDescent="0.2">
      <c r="A838" s="16" t="s">
        <v>917</v>
      </c>
      <c r="B838" s="16" t="s">
        <v>10</v>
      </c>
      <c r="C838" s="2">
        <v>46098.297801273147</v>
      </c>
      <c r="D838">
        <v>36</v>
      </c>
      <c r="F838" s="2">
        <v>46098.006134606483</v>
      </c>
      <c r="G838" s="3">
        <v>46098</v>
      </c>
      <c r="H838" t="s">
        <v>28</v>
      </c>
      <c r="I838">
        <v>0</v>
      </c>
    </row>
    <row r="839" spans="1:9" x14ac:dyDescent="0.2">
      <c r="A839" s="16" t="s">
        <v>918</v>
      </c>
      <c r="B839" s="16" t="s">
        <v>10</v>
      </c>
      <c r="C839" s="2">
        <v>46098.313846631943</v>
      </c>
      <c r="D839">
        <v>3</v>
      </c>
      <c r="F839" s="2">
        <v>46098.022179965279</v>
      </c>
      <c r="G839" s="3">
        <v>46098</v>
      </c>
      <c r="H839" t="s">
        <v>28</v>
      </c>
      <c r="I839">
        <v>0</v>
      </c>
    </row>
    <row r="840" spans="1:9" x14ac:dyDescent="0.2">
      <c r="A840" s="16" t="s">
        <v>919</v>
      </c>
      <c r="B840" s="16" t="s">
        <v>10</v>
      </c>
      <c r="C840" s="2">
        <v>46098.328436608797</v>
      </c>
      <c r="D840">
        <v>3</v>
      </c>
      <c r="E840" s="7" t="s">
        <v>920</v>
      </c>
      <c r="F840" s="2">
        <v>46098.036769942133</v>
      </c>
      <c r="G840" s="3">
        <v>46098</v>
      </c>
      <c r="H840" t="s">
        <v>28</v>
      </c>
      <c r="I840">
        <v>0</v>
      </c>
    </row>
    <row r="841" spans="1:9" x14ac:dyDescent="0.2">
      <c r="A841" s="16" t="s">
        <v>921</v>
      </c>
      <c r="B841" s="16" t="s">
        <v>10</v>
      </c>
      <c r="C841" s="2">
        <v>46098.33402829861</v>
      </c>
      <c r="D841">
        <v>3</v>
      </c>
      <c r="E841" s="7" t="s">
        <v>920</v>
      </c>
      <c r="F841" s="2">
        <v>46098.042361631946</v>
      </c>
      <c r="G841" s="3">
        <v>46098</v>
      </c>
      <c r="H841" t="s">
        <v>28</v>
      </c>
      <c r="I841">
        <v>1</v>
      </c>
    </row>
    <row r="842" spans="1:9" x14ac:dyDescent="0.2">
      <c r="A842" s="16" t="s">
        <v>922</v>
      </c>
      <c r="B842" s="16" t="s">
        <v>10</v>
      </c>
      <c r="C842" s="2">
        <v>46098.340068090278</v>
      </c>
      <c r="D842">
        <v>531</v>
      </c>
      <c r="E842" s="7" t="s">
        <v>34</v>
      </c>
      <c r="F842" s="2">
        <v>46098.048401423614</v>
      </c>
      <c r="G842" s="3">
        <v>46098</v>
      </c>
      <c r="H842" t="s">
        <v>28</v>
      </c>
      <c r="I842">
        <v>1</v>
      </c>
    </row>
    <row r="843" spans="1:9" x14ac:dyDescent="0.2">
      <c r="A843" s="16" t="s">
        <v>948</v>
      </c>
      <c r="B843" s="16" t="s">
        <v>10</v>
      </c>
      <c r="C843" s="2">
        <v>46098.340974328705</v>
      </c>
      <c r="D843">
        <v>36</v>
      </c>
      <c r="F843" s="2">
        <v>46098.049307662041</v>
      </c>
      <c r="G843" s="3">
        <v>46098</v>
      </c>
      <c r="H843" t="s">
        <v>28</v>
      </c>
      <c r="I843">
        <v>1</v>
      </c>
    </row>
    <row r="844" spans="1:9" x14ac:dyDescent="0.2">
      <c r="A844" s="16" t="s">
        <v>1372</v>
      </c>
      <c r="B844" s="16" t="s">
        <v>10</v>
      </c>
      <c r="C844" s="2">
        <v>46098.353410219905</v>
      </c>
      <c r="D844">
        <v>36</v>
      </c>
      <c r="F844" s="2">
        <v>46098.06174355324</v>
      </c>
      <c r="G844" s="3">
        <v>46098</v>
      </c>
      <c r="H844" t="s">
        <v>28</v>
      </c>
      <c r="I844">
        <v>1</v>
      </c>
    </row>
    <row r="845" spans="1:9" x14ac:dyDescent="0.2">
      <c r="A845" s="16" t="s">
        <v>923</v>
      </c>
      <c r="B845" s="16" t="s">
        <v>10</v>
      </c>
      <c r="C845" s="2">
        <v>46098.353699733794</v>
      </c>
      <c r="D845">
        <v>531</v>
      </c>
      <c r="F845" s="2">
        <v>46098.06203306713</v>
      </c>
      <c r="G845" s="3">
        <v>46098</v>
      </c>
      <c r="H845" t="s">
        <v>28</v>
      </c>
      <c r="I845">
        <v>1</v>
      </c>
    </row>
    <row r="846" spans="1:9" x14ac:dyDescent="0.2">
      <c r="A846" s="16" t="s">
        <v>1363</v>
      </c>
      <c r="B846" s="16" t="s">
        <v>10</v>
      </c>
      <c r="C846" s="2">
        <v>46098.355838425923</v>
      </c>
      <c r="D846">
        <v>531</v>
      </c>
      <c r="F846" s="2">
        <v>46098.064171759259</v>
      </c>
      <c r="G846" s="3">
        <v>46098</v>
      </c>
      <c r="H846" t="s">
        <v>28</v>
      </c>
      <c r="I846">
        <v>1</v>
      </c>
    </row>
    <row r="847" spans="1:9" x14ac:dyDescent="0.2">
      <c r="A847" s="16" t="s">
        <v>924</v>
      </c>
      <c r="B847" s="16" t="s">
        <v>10</v>
      </c>
      <c r="C847" s="2">
        <v>46098.361629236111</v>
      </c>
      <c r="D847">
        <v>36</v>
      </c>
      <c r="F847" s="2">
        <v>46098.069962569447</v>
      </c>
      <c r="G847" s="3">
        <v>46098</v>
      </c>
      <c r="H847" t="s">
        <v>28</v>
      </c>
      <c r="I847">
        <v>1</v>
      </c>
    </row>
    <row r="848" spans="1:9" x14ac:dyDescent="0.2">
      <c r="A848" s="16" t="s">
        <v>925</v>
      </c>
      <c r="B848" s="16" t="s">
        <v>10</v>
      </c>
      <c r="C848" s="2">
        <v>46098.36257020833</v>
      </c>
      <c r="D848">
        <v>36</v>
      </c>
      <c r="F848" s="2">
        <v>46098.070903541666</v>
      </c>
      <c r="G848" s="3">
        <v>46098</v>
      </c>
      <c r="H848" t="s">
        <v>28</v>
      </c>
      <c r="I848">
        <v>1</v>
      </c>
    </row>
    <row r="849" spans="1:9" x14ac:dyDescent="0.2">
      <c r="A849" s="16" t="s">
        <v>926</v>
      </c>
      <c r="B849" s="16" t="s">
        <v>10</v>
      </c>
      <c r="C849" s="2">
        <v>46098.365617870368</v>
      </c>
      <c r="D849">
        <v>3</v>
      </c>
      <c r="E849" s="7" t="s">
        <v>135</v>
      </c>
      <c r="F849" s="2">
        <v>46098.073951203703</v>
      </c>
      <c r="G849" s="3">
        <v>46098</v>
      </c>
      <c r="H849" t="s">
        <v>28</v>
      </c>
      <c r="I849">
        <v>1</v>
      </c>
    </row>
    <row r="850" spans="1:9" x14ac:dyDescent="0.2">
      <c r="A850" s="16" t="s">
        <v>927</v>
      </c>
      <c r="B850" s="16" t="s">
        <v>10</v>
      </c>
      <c r="C850" s="2">
        <v>46098.379372939817</v>
      </c>
      <c r="D850">
        <v>1</v>
      </c>
      <c r="E850" s="7" t="s">
        <v>135</v>
      </c>
      <c r="F850" s="2">
        <v>46098.087706273145</v>
      </c>
      <c r="G850" s="3">
        <v>46098</v>
      </c>
      <c r="H850" t="s">
        <v>28</v>
      </c>
      <c r="I850">
        <v>2</v>
      </c>
    </row>
    <row r="851" spans="1:9" x14ac:dyDescent="0.2">
      <c r="A851" s="16" t="s">
        <v>928</v>
      </c>
      <c r="B851" s="16" t="s">
        <v>10</v>
      </c>
      <c r="C851" s="2">
        <v>46098.406205613428</v>
      </c>
      <c r="D851">
        <v>575</v>
      </c>
      <c r="E851" s="7" t="s">
        <v>60</v>
      </c>
      <c r="F851" s="2">
        <v>46098.114538946757</v>
      </c>
      <c r="G851" s="3">
        <v>46098</v>
      </c>
      <c r="H851" t="s">
        <v>28</v>
      </c>
      <c r="I851">
        <v>2</v>
      </c>
    </row>
    <row r="852" spans="1:9" x14ac:dyDescent="0.2">
      <c r="A852" s="16" t="s">
        <v>929</v>
      </c>
      <c r="B852" s="16" t="s">
        <v>10</v>
      </c>
      <c r="C852" s="2">
        <v>46098.417980625003</v>
      </c>
      <c r="D852">
        <v>575</v>
      </c>
      <c r="E852" s="7" t="s">
        <v>60</v>
      </c>
      <c r="F852" s="2">
        <v>46098.126313958332</v>
      </c>
      <c r="G852" s="3">
        <v>46098</v>
      </c>
      <c r="H852" t="s">
        <v>28</v>
      </c>
      <c r="I852">
        <v>3</v>
      </c>
    </row>
    <row r="853" spans="1:9" x14ac:dyDescent="0.2">
      <c r="A853" s="16" t="s">
        <v>930</v>
      </c>
      <c r="B853" s="16" t="s">
        <v>10</v>
      </c>
      <c r="C853" s="2">
        <v>46098.418804791669</v>
      </c>
      <c r="D853">
        <v>36</v>
      </c>
      <c r="F853" s="2">
        <v>46098.127138124997</v>
      </c>
      <c r="G853" s="3">
        <v>46098</v>
      </c>
      <c r="H853" t="s">
        <v>28</v>
      </c>
      <c r="I853">
        <v>3</v>
      </c>
    </row>
    <row r="854" spans="1:9" x14ac:dyDescent="0.2">
      <c r="A854" s="16" t="s">
        <v>931</v>
      </c>
      <c r="B854" s="16" t="s">
        <v>10</v>
      </c>
      <c r="C854" s="2">
        <v>46098.464909641203</v>
      </c>
      <c r="D854">
        <v>3</v>
      </c>
      <c r="E854" s="7" t="s">
        <v>60</v>
      </c>
      <c r="F854" s="2">
        <v>46098.173242974539</v>
      </c>
      <c r="G854" s="3">
        <v>46098</v>
      </c>
      <c r="H854" t="s">
        <v>28</v>
      </c>
      <c r="I854">
        <v>4</v>
      </c>
    </row>
    <row r="855" spans="1:9" x14ac:dyDescent="0.2">
      <c r="A855" s="16" t="s">
        <v>932</v>
      </c>
      <c r="B855" s="16" t="s">
        <v>10</v>
      </c>
      <c r="C855" s="2">
        <v>46098.521751030094</v>
      </c>
      <c r="D855">
        <v>3</v>
      </c>
      <c r="E855" s="7" t="s">
        <v>60</v>
      </c>
      <c r="F855" s="2">
        <v>46098.230084363429</v>
      </c>
      <c r="G855" s="3">
        <v>46098</v>
      </c>
      <c r="H855" t="s">
        <v>28</v>
      </c>
      <c r="I855">
        <v>5</v>
      </c>
    </row>
    <row r="856" spans="1:9" x14ac:dyDescent="0.2">
      <c r="A856" s="16" t="s">
        <v>933</v>
      </c>
      <c r="B856" s="16" t="s">
        <v>10</v>
      </c>
      <c r="C856" s="2">
        <v>46098.522816990742</v>
      </c>
      <c r="D856">
        <v>3</v>
      </c>
      <c r="F856" s="2">
        <v>46098.231150324071</v>
      </c>
      <c r="G856" s="3">
        <v>46098</v>
      </c>
      <c r="H856" t="s">
        <v>28</v>
      </c>
      <c r="I856">
        <v>5</v>
      </c>
    </row>
    <row r="857" spans="1:9" x14ac:dyDescent="0.2">
      <c r="A857" s="16" t="s">
        <v>934</v>
      </c>
      <c r="B857" s="16" t="s">
        <v>10</v>
      </c>
      <c r="C857" s="2">
        <v>46098.539260752317</v>
      </c>
      <c r="D857">
        <v>36</v>
      </c>
      <c r="F857" s="2">
        <v>46098.247594085646</v>
      </c>
      <c r="G857" s="3">
        <v>46098</v>
      </c>
      <c r="H857" t="s">
        <v>28</v>
      </c>
      <c r="I857">
        <v>5</v>
      </c>
    </row>
    <row r="858" spans="1:9" x14ac:dyDescent="0.2">
      <c r="A858" s="16" t="s">
        <v>935</v>
      </c>
      <c r="B858" s="16" t="s">
        <v>10</v>
      </c>
      <c r="C858" s="2">
        <v>46098.545183761576</v>
      </c>
      <c r="D858">
        <v>531</v>
      </c>
      <c r="F858" s="2">
        <v>46098.253517094905</v>
      </c>
      <c r="G858" s="3">
        <v>46098</v>
      </c>
      <c r="H858" t="s">
        <v>28</v>
      </c>
      <c r="I858">
        <v>6</v>
      </c>
    </row>
    <row r="859" spans="1:9" x14ac:dyDescent="0.2">
      <c r="A859" s="16" t="s">
        <v>936</v>
      </c>
      <c r="B859" s="16" t="s">
        <v>10</v>
      </c>
      <c r="C859" s="2">
        <v>46098.545891539354</v>
      </c>
      <c r="D859">
        <v>36</v>
      </c>
      <c r="F859" s="2">
        <v>46098.254224872682</v>
      </c>
      <c r="G859" s="3">
        <v>46098</v>
      </c>
      <c r="H859" t="s">
        <v>28</v>
      </c>
      <c r="I859">
        <v>6</v>
      </c>
    </row>
    <row r="860" spans="1:9" x14ac:dyDescent="0.2">
      <c r="A860" s="16" t="s">
        <v>937</v>
      </c>
      <c r="B860" s="16" t="s">
        <v>10</v>
      </c>
      <c r="C860" s="2">
        <v>46098.557410324072</v>
      </c>
      <c r="D860">
        <v>1</v>
      </c>
      <c r="E860" s="7" t="s">
        <v>60</v>
      </c>
      <c r="F860" s="2">
        <v>46098.265743657408</v>
      </c>
      <c r="G860" s="3">
        <v>46098</v>
      </c>
      <c r="H860" t="s">
        <v>28</v>
      </c>
      <c r="I860">
        <v>6</v>
      </c>
    </row>
    <row r="861" spans="1:9" x14ac:dyDescent="0.2">
      <c r="A861" s="16" t="s">
        <v>938</v>
      </c>
      <c r="B861" s="16" t="s">
        <v>10</v>
      </c>
      <c r="C861" s="2">
        <v>46098.563423912034</v>
      </c>
      <c r="D861">
        <v>3</v>
      </c>
      <c r="E861" s="7" t="s">
        <v>939</v>
      </c>
      <c r="F861" s="2">
        <v>46098.271757245369</v>
      </c>
      <c r="G861" s="3">
        <v>46098</v>
      </c>
      <c r="H861" t="s">
        <v>28</v>
      </c>
      <c r="I861">
        <v>6</v>
      </c>
    </row>
    <row r="862" spans="1:9" x14ac:dyDescent="0.2">
      <c r="A862" s="16" t="s">
        <v>940</v>
      </c>
      <c r="B862" s="16" t="s">
        <v>10</v>
      </c>
      <c r="C862" s="2">
        <v>46098.565383749999</v>
      </c>
      <c r="D862">
        <v>531</v>
      </c>
      <c r="F862" s="2">
        <v>46098.273717083335</v>
      </c>
      <c r="G862" s="3">
        <v>46098</v>
      </c>
      <c r="H862" t="s">
        <v>28</v>
      </c>
      <c r="I862">
        <v>6</v>
      </c>
    </row>
    <row r="863" spans="1:9" x14ac:dyDescent="0.2">
      <c r="A863" s="16" t="s">
        <v>941</v>
      </c>
      <c r="B863" s="16" t="s">
        <v>10</v>
      </c>
      <c r="C863" s="2">
        <v>46098.615023761573</v>
      </c>
      <c r="D863">
        <v>36</v>
      </c>
      <c r="F863" s="2">
        <v>46098.323357094909</v>
      </c>
      <c r="G863" s="3">
        <v>46098</v>
      </c>
      <c r="H863" t="s">
        <v>28</v>
      </c>
      <c r="I863">
        <v>7</v>
      </c>
    </row>
    <row r="864" spans="1:9" x14ac:dyDescent="0.2">
      <c r="A864" s="16" t="s">
        <v>1066</v>
      </c>
      <c r="B864" s="16" t="s">
        <v>10</v>
      </c>
      <c r="C864" s="2">
        <v>46098.617683449076</v>
      </c>
      <c r="D864">
        <v>36</v>
      </c>
      <c r="F864" s="2">
        <v>46098.326016782405</v>
      </c>
      <c r="G864" s="3">
        <v>46098</v>
      </c>
      <c r="H864" t="s">
        <v>28</v>
      </c>
      <c r="I864">
        <v>7</v>
      </c>
    </row>
    <row r="865" spans="1:9" x14ac:dyDescent="0.2">
      <c r="A865" s="16" t="s">
        <v>942</v>
      </c>
      <c r="B865" s="16" t="s">
        <v>10</v>
      </c>
      <c r="C865" s="2">
        <v>46098.643212511575</v>
      </c>
      <c r="D865">
        <v>36</v>
      </c>
      <c r="F865" s="2">
        <v>46098.351545844911</v>
      </c>
      <c r="G865" s="3">
        <v>46098</v>
      </c>
      <c r="H865" t="s">
        <v>28</v>
      </c>
      <c r="I865">
        <v>8</v>
      </c>
    </row>
    <row r="866" spans="1:9" x14ac:dyDescent="0.2">
      <c r="A866" s="16" t="s">
        <v>949</v>
      </c>
      <c r="B866" s="16" t="s">
        <v>10</v>
      </c>
      <c r="C866" s="2">
        <v>46098.732984108799</v>
      </c>
      <c r="D866">
        <v>531</v>
      </c>
      <c r="F866" s="2">
        <v>46098.441317442128</v>
      </c>
      <c r="G866" s="3">
        <v>46098</v>
      </c>
      <c r="H866" t="s">
        <v>28</v>
      </c>
      <c r="I866">
        <v>10</v>
      </c>
    </row>
    <row r="867" spans="1:9" x14ac:dyDescent="0.2">
      <c r="A867" s="16" t="s">
        <v>950</v>
      </c>
      <c r="B867" s="16" t="s">
        <v>10</v>
      </c>
      <c r="C867" s="2">
        <v>46098.757254722223</v>
      </c>
      <c r="D867">
        <v>531</v>
      </c>
      <c r="F867" s="2">
        <v>46098.465588055558</v>
      </c>
      <c r="G867" s="3">
        <v>46098</v>
      </c>
      <c r="H867" t="s">
        <v>28</v>
      </c>
      <c r="I867">
        <v>11</v>
      </c>
    </row>
    <row r="868" spans="1:9" x14ac:dyDescent="0.2">
      <c r="A868" s="16" t="s">
        <v>951</v>
      </c>
      <c r="B868" s="16" t="s">
        <v>10</v>
      </c>
      <c r="C868" s="2">
        <v>46098.870169780093</v>
      </c>
      <c r="D868">
        <v>531</v>
      </c>
      <c r="F868" s="2">
        <v>46098.578503113429</v>
      </c>
      <c r="G868" s="3">
        <v>46098</v>
      </c>
      <c r="H868" t="s">
        <v>28</v>
      </c>
      <c r="I868">
        <v>13</v>
      </c>
    </row>
    <row r="869" spans="1:9" x14ac:dyDescent="0.2">
      <c r="A869" s="16" t="s">
        <v>952</v>
      </c>
      <c r="B869" s="16" t="s">
        <v>10</v>
      </c>
      <c r="C869" s="2">
        <v>46099.342139907407</v>
      </c>
      <c r="D869">
        <v>531</v>
      </c>
      <c r="F869" s="2">
        <v>46099.050473240743</v>
      </c>
      <c r="G869" s="3">
        <v>46099</v>
      </c>
      <c r="H869" t="s">
        <v>63</v>
      </c>
      <c r="I869">
        <v>1</v>
      </c>
    </row>
    <row r="870" spans="1:9" x14ac:dyDescent="0.2">
      <c r="A870" s="16" t="s">
        <v>953</v>
      </c>
      <c r="B870" s="16" t="s">
        <v>10</v>
      </c>
      <c r="C870" s="2">
        <v>46099.370275451387</v>
      </c>
      <c r="D870">
        <v>36</v>
      </c>
      <c r="F870" s="2">
        <v>46099.078608784723</v>
      </c>
      <c r="G870" s="3">
        <v>46099</v>
      </c>
      <c r="H870" t="s">
        <v>63</v>
      </c>
      <c r="I870">
        <v>1</v>
      </c>
    </row>
    <row r="871" spans="1:9" x14ac:dyDescent="0.2">
      <c r="A871" s="16" t="s">
        <v>1161</v>
      </c>
      <c r="B871" s="16" t="s">
        <v>10</v>
      </c>
      <c r="C871" s="2">
        <v>46099.371168564816</v>
      </c>
      <c r="D871">
        <v>531</v>
      </c>
      <c r="F871" s="2">
        <v>46099.079501898152</v>
      </c>
      <c r="G871" s="3">
        <v>46099</v>
      </c>
      <c r="H871" t="s">
        <v>63</v>
      </c>
      <c r="I871">
        <v>1</v>
      </c>
    </row>
    <row r="872" spans="1:9" x14ac:dyDescent="0.2">
      <c r="A872" s="16" t="s">
        <v>954</v>
      </c>
      <c r="B872" s="16" t="s">
        <v>10</v>
      </c>
      <c r="C872" s="2">
        <v>46099.377515567132</v>
      </c>
      <c r="D872">
        <v>36</v>
      </c>
      <c r="F872" s="2">
        <v>46099.08584890046</v>
      </c>
      <c r="G872" s="3">
        <v>46099</v>
      </c>
      <c r="H872" t="s">
        <v>63</v>
      </c>
      <c r="I872">
        <v>2</v>
      </c>
    </row>
    <row r="873" spans="1:9" x14ac:dyDescent="0.2">
      <c r="A873" s="16" t="s">
        <v>955</v>
      </c>
      <c r="B873" s="16" t="s">
        <v>10</v>
      </c>
      <c r="C873" s="2">
        <v>46099.380611516201</v>
      </c>
      <c r="D873">
        <v>528</v>
      </c>
      <c r="F873" s="2">
        <v>46099.088944849536</v>
      </c>
      <c r="G873" s="3">
        <v>46099</v>
      </c>
      <c r="H873" t="s">
        <v>63</v>
      </c>
      <c r="I873">
        <v>2</v>
      </c>
    </row>
    <row r="874" spans="1:9" x14ac:dyDescent="0.2">
      <c r="A874" s="16" t="s">
        <v>956</v>
      </c>
      <c r="B874" s="16" t="s">
        <v>10</v>
      </c>
      <c r="C874" s="2">
        <v>46099.421552824075</v>
      </c>
      <c r="D874">
        <v>36</v>
      </c>
      <c r="F874" s="2">
        <v>46099.129886157411</v>
      </c>
      <c r="G874" s="3">
        <v>46099</v>
      </c>
      <c r="H874" t="s">
        <v>63</v>
      </c>
      <c r="I874">
        <v>3</v>
      </c>
    </row>
    <row r="875" spans="1:9" x14ac:dyDescent="0.2">
      <c r="A875" s="16" t="s">
        <v>957</v>
      </c>
      <c r="B875" s="16" t="s">
        <v>10</v>
      </c>
      <c r="C875" s="2">
        <v>46099.461995891201</v>
      </c>
      <c r="D875">
        <v>36</v>
      </c>
      <c r="F875" s="2">
        <v>46099.170329224537</v>
      </c>
      <c r="G875" s="3">
        <v>46099</v>
      </c>
      <c r="H875" t="s">
        <v>63</v>
      </c>
      <c r="I875">
        <v>4</v>
      </c>
    </row>
    <row r="876" spans="1:9" x14ac:dyDescent="0.2">
      <c r="A876" s="16" t="s">
        <v>958</v>
      </c>
      <c r="B876" s="16" t="s">
        <v>10</v>
      </c>
      <c r="C876" s="2">
        <v>46099.465419004628</v>
      </c>
      <c r="D876">
        <v>531</v>
      </c>
      <c r="F876" s="2">
        <v>46099.173752337963</v>
      </c>
      <c r="G876" s="3">
        <v>46099</v>
      </c>
      <c r="H876" t="s">
        <v>63</v>
      </c>
      <c r="I876">
        <v>4</v>
      </c>
    </row>
    <row r="877" spans="1:9" x14ac:dyDescent="0.2">
      <c r="A877" s="16" t="s">
        <v>1373</v>
      </c>
      <c r="B877" s="16" t="s">
        <v>10</v>
      </c>
      <c r="C877" s="2">
        <v>46099.483471006941</v>
      </c>
      <c r="D877">
        <v>36</v>
      </c>
      <c r="F877" s="2">
        <v>46099.191804340277</v>
      </c>
      <c r="G877" s="3">
        <v>46099</v>
      </c>
      <c r="H877" t="s">
        <v>63</v>
      </c>
      <c r="I877">
        <v>4</v>
      </c>
    </row>
    <row r="878" spans="1:9" x14ac:dyDescent="0.2">
      <c r="A878" s="16" t="s">
        <v>959</v>
      </c>
      <c r="B878" s="16" t="s">
        <v>10</v>
      </c>
      <c r="C878" s="2">
        <v>46099.483695451388</v>
      </c>
      <c r="D878">
        <v>3</v>
      </c>
      <c r="E878" s="7" t="s">
        <v>34</v>
      </c>
      <c r="F878" s="2">
        <v>46099.192028784724</v>
      </c>
      <c r="G878" s="3">
        <v>46099</v>
      </c>
      <c r="H878" t="s">
        <v>63</v>
      </c>
      <c r="I878">
        <v>4</v>
      </c>
    </row>
    <row r="879" spans="1:9" x14ac:dyDescent="0.2">
      <c r="A879" s="16" t="s">
        <v>960</v>
      </c>
      <c r="B879" s="16" t="s">
        <v>10</v>
      </c>
      <c r="C879" s="2">
        <v>46099.485804085649</v>
      </c>
      <c r="D879">
        <v>531</v>
      </c>
      <c r="F879" s="2">
        <v>46099.194137418985</v>
      </c>
      <c r="G879" s="3">
        <v>46099</v>
      </c>
      <c r="H879" t="s">
        <v>63</v>
      </c>
      <c r="I879">
        <v>4</v>
      </c>
    </row>
    <row r="880" spans="1:9" x14ac:dyDescent="0.2">
      <c r="A880" s="16" t="s">
        <v>961</v>
      </c>
      <c r="B880" s="16" t="s">
        <v>10</v>
      </c>
      <c r="C880" s="2">
        <v>46099.485866423609</v>
      </c>
      <c r="D880">
        <v>3</v>
      </c>
      <c r="F880" s="2">
        <v>46099.194199756945</v>
      </c>
      <c r="G880" s="3">
        <v>46099</v>
      </c>
      <c r="H880" t="s">
        <v>63</v>
      </c>
      <c r="I880">
        <v>4</v>
      </c>
    </row>
    <row r="881" spans="1:9" x14ac:dyDescent="0.2">
      <c r="A881" s="16" t="s">
        <v>1067</v>
      </c>
      <c r="B881" s="16" t="s">
        <v>10</v>
      </c>
      <c r="C881" s="2">
        <v>46099.521189513885</v>
      </c>
      <c r="D881">
        <v>36</v>
      </c>
      <c r="F881" s="2">
        <v>46099.229522847221</v>
      </c>
      <c r="G881" s="3">
        <v>46099</v>
      </c>
      <c r="H881" t="s">
        <v>63</v>
      </c>
      <c r="I881">
        <v>5</v>
      </c>
    </row>
    <row r="882" spans="1:9" x14ac:dyDescent="0.2">
      <c r="A882" s="16" t="s">
        <v>962</v>
      </c>
      <c r="B882" s="16" t="s">
        <v>10</v>
      </c>
      <c r="C882" s="2">
        <v>46099.531475173608</v>
      </c>
      <c r="D882">
        <v>36</v>
      </c>
      <c r="F882" s="2">
        <v>46099.239808506944</v>
      </c>
      <c r="G882" s="3">
        <v>46099</v>
      </c>
      <c r="H882" t="s">
        <v>63</v>
      </c>
      <c r="I882">
        <v>5</v>
      </c>
    </row>
    <row r="883" spans="1:9" x14ac:dyDescent="0.2">
      <c r="A883" s="16" t="s">
        <v>963</v>
      </c>
      <c r="B883" s="16" t="s">
        <v>10</v>
      </c>
      <c r="C883" s="2">
        <v>46099.546119421298</v>
      </c>
      <c r="D883">
        <v>36</v>
      </c>
      <c r="F883" s="2">
        <v>46099.254452754627</v>
      </c>
      <c r="G883" s="3">
        <v>46099</v>
      </c>
      <c r="H883" t="s">
        <v>63</v>
      </c>
      <c r="I883">
        <v>6</v>
      </c>
    </row>
    <row r="884" spans="1:9" x14ac:dyDescent="0.2">
      <c r="A884" s="16" t="s">
        <v>964</v>
      </c>
      <c r="B884" s="16" t="s">
        <v>10</v>
      </c>
      <c r="C884" s="2">
        <v>46099.550748275462</v>
      </c>
      <c r="D884">
        <v>531</v>
      </c>
      <c r="E884" s="7" t="s">
        <v>34</v>
      </c>
      <c r="F884" s="2">
        <v>46099.259081608798</v>
      </c>
      <c r="G884" s="3">
        <v>46099</v>
      </c>
      <c r="H884" t="s">
        <v>63</v>
      </c>
      <c r="I884">
        <v>6</v>
      </c>
    </row>
    <row r="885" spans="1:9" x14ac:dyDescent="0.2">
      <c r="A885" s="16" t="s">
        <v>965</v>
      </c>
      <c r="B885" s="16" t="s">
        <v>10</v>
      </c>
      <c r="C885" s="2">
        <v>46099.593370960647</v>
      </c>
      <c r="D885">
        <v>36</v>
      </c>
      <c r="F885" s="2">
        <v>46099.301704293983</v>
      </c>
      <c r="G885" s="3">
        <v>46099</v>
      </c>
      <c r="H885" t="s">
        <v>63</v>
      </c>
      <c r="I885">
        <v>7</v>
      </c>
    </row>
    <row r="886" spans="1:9" x14ac:dyDescent="0.2">
      <c r="A886" s="16" t="s">
        <v>966</v>
      </c>
      <c r="B886" s="16" t="s">
        <v>10</v>
      </c>
      <c r="C886" s="2">
        <v>46099.614786064813</v>
      </c>
      <c r="D886">
        <v>531</v>
      </c>
      <c r="E886" s="7" t="s">
        <v>89</v>
      </c>
      <c r="F886" s="2">
        <v>46099.323119398148</v>
      </c>
      <c r="G886" s="3">
        <v>46099</v>
      </c>
      <c r="H886" t="s">
        <v>63</v>
      </c>
      <c r="I886">
        <v>7</v>
      </c>
    </row>
    <row r="887" spans="1:9" x14ac:dyDescent="0.2">
      <c r="A887" s="16" t="s">
        <v>967</v>
      </c>
      <c r="B887" s="16" t="s">
        <v>10</v>
      </c>
      <c r="C887" s="2">
        <v>46099.619564062501</v>
      </c>
      <c r="D887">
        <v>3</v>
      </c>
      <c r="E887" s="7" t="s">
        <v>968</v>
      </c>
      <c r="F887" s="2">
        <v>46099.327897395837</v>
      </c>
      <c r="G887" s="3">
        <v>46099</v>
      </c>
      <c r="H887" t="s">
        <v>63</v>
      </c>
      <c r="I887">
        <v>7</v>
      </c>
    </row>
    <row r="888" spans="1:9" x14ac:dyDescent="0.2">
      <c r="A888" s="16" t="s">
        <v>969</v>
      </c>
      <c r="B888" s="16" t="s">
        <v>10</v>
      </c>
      <c r="C888" s="2">
        <v>46099.628836875003</v>
      </c>
      <c r="D888">
        <v>531</v>
      </c>
      <c r="E888" s="7" t="s">
        <v>89</v>
      </c>
      <c r="F888" s="2">
        <v>46099.337170208331</v>
      </c>
      <c r="G888" s="3">
        <v>46099</v>
      </c>
      <c r="H888" t="s">
        <v>63</v>
      </c>
      <c r="I888">
        <v>8</v>
      </c>
    </row>
    <row r="889" spans="1:9" x14ac:dyDescent="0.2">
      <c r="A889" s="16" t="s">
        <v>970</v>
      </c>
      <c r="B889" s="16" t="s">
        <v>10</v>
      </c>
      <c r="C889" s="2">
        <v>46099.662813645831</v>
      </c>
      <c r="D889">
        <v>36</v>
      </c>
      <c r="F889" s="2">
        <v>46099.371146979167</v>
      </c>
      <c r="G889" s="3">
        <v>46099</v>
      </c>
      <c r="H889" t="s">
        <v>63</v>
      </c>
      <c r="I889">
        <v>8</v>
      </c>
    </row>
    <row r="890" spans="1:9" x14ac:dyDescent="0.2">
      <c r="A890" s="16" t="s">
        <v>971</v>
      </c>
      <c r="B890" s="16" t="s">
        <v>10</v>
      </c>
      <c r="C890" s="2">
        <v>46099.66756415509</v>
      </c>
      <c r="D890">
        <v>531</v>
      </c>
      <c r="E890" s="7" t="s">
        <v>89</v>
      </c>
      <c r="F890" s="2">
        <v>46099.375897488426</v>
      </c>
      <c r="G890" s="3">
        <v>46099</v>
      </c>
      <c r="H890" t="s">
        <v>63</v>
      </c>
      <c r="I890">
        <v>9</v>
      </c>
    </row>
    <row r="891" spans="1:9" x14ac:dyDescent="0.2">
      <c r="A891" s="16" t="s">
        <v>972</v>
      </c>
      <c r="B891" s="16" t="s">
        <v>10</v>
      </c>
      <c r="C891" s="2">
        <v>46099.669511701388</v>
      </c>
      <c r="D891">
        <v>3</v>
      </c>
      <c r="E891" s="7" t="s">
        <v>973</v>
      </c>
      <c r="F891" s="2">
        <v>46099.377845034724</v>
      </c>
      <c r="G891" s="3">
        <v>46099</v>
      </c>
      <c r="H891" t="s">
        <v>63</v>
      </c>
      <c r="I891">
        <v>9</v>
      </c>
    </row>
    <row r="892" spans="1:9" x14ac:dyDescent="0.2">
      <c r="A892" s="16" t="s">
        <v>974</v>
      </c>
      <c r="B892" s="16" t="s">
        <v>10</v>
      </c>
      <c r="C892" s="2">
        <v>46099.669878819448</v>
      </c>
      <c r="D892">
        <v>3</v>
      </c>
      <c r="F892" s="2">
        <v>46099.378212152777</v>
      </c>
      <c r="G892" s="3">
        <v>46099</v>
      </c>
      <c r="H892" t="s">
        <v>63</v>
      </c>
      <c r="I892">
        <v>9</v>
      </c>
    </row>
    <row r="893" spans="1:9" x14ac:dyDescent="0.2">
      <c r="A893" s="16" t="s">
        <v>975</v>
      </c>
      <c r="B893" s="16" t="s">
        <v>10</v>
      </c>
      <c r="C893" s="2">
        <v>46099.675421087966</v>
      </c>
      <c r="D893">
        <v>531</v>
      </c>
      <c r="E893" s="7" t="s">
        <v>31</v>
      </c>
      <c r="F893" s="2">
        <v>46099.383754421295</v>
      </c>
      <c r="G893" s="3">
        <v>46099</v>
      </c>
      <c r="H893" t="s">
        <v>63</v>
      </c>
      <c r="I893">
        <v>9</v>
      </c>
    </row>
    <row r="894" spans="1:9" x14ac:dyDescent="0.2">
      <c r="A894" s="16" t="s">
        <v>976</v>
      </c>
      <c r="B894" s="16" t="s">
        <v>10</v>
      </c>
      <c r="C894" s="2">
        <v>46099.682044861111</v>
      </c>
      <c r="D894">
        <v>531</v>
      </c>
      <c r="F894" s="2">
        <v>46099.390378194446</v>
      </c>
      <c r="G894" s="3">
        <v>46099</v>
      </c>
      <c r="H894" t="s">
        <v>63</v>
      </c>
      <c r="I894">
        <v>9</v>
      </c>
    </row>
    <row r="895" spans="1:9" x14ac:dyDescent="0.2">
      <c r="A895" s="16" t="s">
        <v>979</v>
      </c>
      <c r="B895" s="16" t="s">
        <v>10</v>
      </c>
      <c r="C895" s="2">
        <v>46099.708610416666</v>
      </c>
      <c r="D895">
        <v>531</v>
      </c>
      <c r="F895" s="2">
        <v>46099.416943750002</v>
      </c>
      <c r="G895" s="3">
        <v>46099</v>
      </c>
      <c r="H895" t="s">
        <v>63</v>
      </c>
      <c r="I895">
        <v>10</v>
      </c>
    </row>
    <row r="896" spans="1:9" x14ac:dyDescent="0.2">
      <c r="A896" s="16" t="s">
        <v>980</v>
      </c>
      <c r="B896" s="16" t="s">
        <v>10</v>
      </c>
      <c r="C896" s="2">
        <v>46099.719778854167</v>
      </c>
      <c r="D896">
        <v>531</v>
      </c>
      <c r="E896" s="7" t="s">
        <v>34</v>
      </c>
      <c r="F896" s="2">
        <v>46099.428112187503</v>
      </c>
      <c r="G896" s="3">
        <v>46099</v>
      </c>
      <c r="H896" t="s">
        <v>63</v>
      </c>
      <c r="I896">
        <v>10</v>
      </c>
    </row>
    <row r="897" spans="1:9" x14ac:dyDescent="0.2">
      <c r="A897" s="16" t="s">
        <v>981</v>
      </c>
      <c r="B897" s="16" t="s">
        <v>10</v>
      </c>
      <c r="C897" s="2">
        <v>46099.778229930555</v>
      </c>
      <c r="D897">
        <v>3</v>
      </c>
      <c r="E897" s="7" t="s">
        <v>874</v>
      </c>
      <c r="F897" s="2">
        <v>46099.48656326389</v>
      </c>
      <c r="G897" s="3">
        <v>46099</v>
      </c>
      <c r="H897" t="s">
        <v>63</v>
      </c>
      <c r="I897">
        <v>11</v>
      </c>
    </row>
    <row r="898" spans="1:9" x14ac:dyDescent="0.2">
      <c r="A898" s="16" t="s">
        <v>982</v>
      </c>
      <c r="B898" s="16" t="s">
        <v>10</v>
      </c>
      <c r="C898" s="2">
        <v>46099.805905972222</v>
      </c>
      <c r="D898">
        <v>35</v>
      </c>
      <c r="F898" s="2">
        <v>46099.514239305558</v>
      </c>
      <c r="G898" s="3">
        <v>46099</v>
      </c>
      <c r="H898" t="s">
        <v>63</v>
      </c>
      <c r="I898">
        <v>12</v>
      </c>
    </row>
    <row r="899" spans="1:9" x14ac:dyDescent="0.2">
      <c r="A899" s="16" t="s">
        <v>983</v>
      </c>
      <c r="B899" s="16" t="s">
        <v>10</v>
      </c>
      <c r="C899" s="2">
        <v>46099.844146469906</v>
      </c>
      <c r="D899">
        <v>531</v>
      </c>
      <c r="F899" s="2">
        <v>46099.552479803242</v>
      </c>
      <c r="G899" s="3">
        <v>46099</v>
      </c>
      <c r="H899" t="s">
        <v>63</v>
      </c>
      <c r="I899">
        <v>13</v>
      </c>
    </row>
    <row r="900" spans="1:9" x14ac:dyDescent="0.2">
      <c r="A900" s="16" t="s">
        <v>984</v>
      </c>
      <c r="B900" s="16" t="s">
        <v>10</v>
      </c>
      <c r="C900" s="2">
        <v>46099.876581076387</v>
      </c>
      <c r="D900">
        <v>531</v>
      </c>
      <c r="F900" s="2">
        <v>46099.584914409723</v>
      </c>
      <c r="G900" s="3">
        <v>46099</v>
      </c>
      <c r="H900" t="s">
        <v>63</v>
      </c>
      <c r="I900">
        <v>14</v>
      </c>
    </row>
    <row r="901" spans="1:9" x14ac:dyDescent="0.2">
      <c r="A901" s="16" t="s">
        <v>1277</v>
      </c>
      <c r="B901" s="16" t="s">
        <v>10</v>
      </c>
      <c r="C901" s="2">
        <v>46099.909361655089</v>
      </c>
      <c r="D901">
        <v>531</v>
      </c>
      <c r="F901" s="2">
        <v>46099.617694988425</v>
      </c>
      <c r="G901" s="3">
        <v>46099</v>
      </c>
      <c r="H901" t="s">
        <v>63</v>
      </c>
      <c r="I901">
        <v>14</v>
      </c>
    </row>
    <row r="902" spans="1:9" x14ac:dyDescent="0.2">
      <c r="A902" s="16" t="s">
        <v>985</v>
      </c>
      <c r="B902" s="16" t="s">
        <v>10</v>
      </c>
      <c r="C902" s="2">
        <v>46099.931100671296</v>
      </c>
      <c r="D902">
        <v>531</v>
      </c>
      <c r="F902" s="2">
        <v>46099.639434004632</v>
      </c>
      <c r="G902" s="3">
        <v>46099</v>
      </c>
      <c r="H902" t="s">
        <v>63</v>
      </c>
      <c r="I902">
        <v>15</v>
      </c>
    </row>
    <row r="903" spans="1:9" x14ac:dyDescent="0.2">
      <c r="A903" s="16" t="s">
        <v>1068</v>
      </c>
      <c r="B903" s="16" t="s">
        <v>10</v>
      </c>
      <c r="C903" s="2">
        <v>46099.944902696756</v>
      </c>
      <c r="D903">
        <v>803</v>
      </c>
      <c r="F903" s="2">
        <v>46099.653236030092</v>
      </c>
      <c r="G903" s="3">
        <v>46099</v>
      </c>
      <c r="H903" t="s">
        <v>63</v>
      </c>
      <c r="I903">
        <v>15</v>
      </c>
    </row>
    <row r="904" spans="1:9" x14ac:dyDescent="0.2">
      <c r="A904" s="16" t="s">
        <v>986</v>
      </c>
      <c r="B904" s="16" t="s">
        <v>10</v>
      </c>
      <c r="C904" s="2">
        <v>46099.947146932871</v>
      </c>
      <c r="D904">
        <v>572</v>
      </c>
      <c r="F904" s="2">
        <v>46099.655480266207</v>
      </c>
      <c r="G904" s="3">
        <v>46099</v>
      </c>
      <c r="H904" t="s">
        <v>63</v>
      </c>
      <c r="I904">
        <v>15</v>
      </c>
    </row>
    <row r="905" spans="1:9" x14ac:dyDescent="0.2">
      <c r="A905" s="16" t="s">
        <v>987</v>
      </c>
      <c r="B905" s="16" t="s">
        <v>10</v>
      </c>
      <c r="C905" s="2">
        <v>46099.953923125002</v>
      </c>
      <c r="D905">
        <v>531</v>
      </c>
      <c r="F905" s="2">
        <v>46099.66225645833</v>
      </c>
      <c r="G905" s="3">
        <v>46099</v>
      </c>
      <c r="H905" t="s">
        <v>63</v>
      </c>
      <c r="I905">
        <v>15</v>
      </c>
    </row>
    <row r="906" spans="1:9" x14ac:dyDescent="0.2">
      <c r="A906" s="16" t="s">
        <v>988</v>
      </c>
      <c r="B906" s="16" t="s">
        <v>10</v>
      </c>
      <c r="C906" s="2">
        <v>46099.98883800926</v>
      </c>
      <c r="D906">
        <v>3</v>
      </c>
      <c r="F906" s="2">
        <v>46099.697171342596</v>
      </c>
      <c r="G906" s="3">
        <v>46099</v>
      </c>
      <c r="H906" t="s">
        <v>63</v>
      </c>
      <c r="I906">
        <v>16</v>
      </c>
    </row>
    <row r="907" spans="1:9" x14ac:dyDescent="0.2">
      <c r="A907" s="16" t="s">
        <v>989</v>
      </c>
      <c r="B907" s="16" t="s">
        <v>10</v>
      </c>
      <c r="C907" s="2">
        <v>46099.992093969908</v>
      </c>
      <c r="D907">
        <v>531</v>
      </c>
      <c r="E907" s="7" t="s">
        <v>990</v>
      </c>
      <c r="F907" s="2">
        <v>46099.700427303243</v>
      </c>
      <c r="G907" s="3">
        <v>46099</v>
      </c>
      <c r="H907" t="s">
        <v>63</v>
      </c>
      <c r="I907">
        <v>16</v>
      </c>
    </row>
    <row r="908" spans="1:9" x14ac:dyDescent="0.2">
      <c r="A908" s="16" t="s">
        <v>991</v>
      </c>
      <c r="B908" s="16" t="s">
        <v>10</v>
      </c>
      <c r="C908" s="2">
        <v>46099.993530451386</v>
      </c>
      <c r="D908">
        <v>3</v>
      </c>
      <c r="F908" s="2">
        <v>46099.701863784721</v>
      </c>
      <c r="G908" s="3">
        <v>46099</v>
      </c>
      <c r="H908" t="s">
        <v>63</v>
      </c>
      <c r="I908">
        <v>16</v>
      </c>
    </row>
    <row r="909" spans="1:9" x14ac:dyDescent="0.2">
      <c r="A909" s="16" t="s">
        <v>992</v>
      </c>
      <c r="B909" s="16" t="s">
        <v>10</v>
      </c>
      <c r="C909" s="2">
        <v>46100.007201574073</v>
      </c>
      <c r="D909">
        <v>528</v>
      </c>
      <c r="F909" s="2">
        <v>46099.715534907409</v>
      </c>
      <c r="G909" s="3">
        <v>46099</v>
      </c>
      <c r="H909" t="s">
        <v>63</v>
      </c>
      <c r="I909">
        <v>17</v>
      </c>
    </row>
    <row r="910" spans="1:9" x14ac:dyDescent="0.2">
      <c r="A910" s="16" t="s">
        <v>993</v>
      </c>
      <c r="B910" s="16" t="s">
        <v>10</v>
      </c>
      <c r="C910" s="2">
        <v>46100.331551041665</v>
      </c>
      <c r="D910">
        <v>2</v>
      </c>
      <c r="F910" s="2">
        <v>46100.039884375001</v>
      </c>
      <c r="G910" s="3">
        <v>46100</v>
      </c>
      <c r="H910" t="s">
        <v>95</v>
      </c>
      <c r="I910">
        <v>0</v>
      </c>
    </row>
    <row r="911" spans="1:9" x14ac:dyDescent="0.2">
      <c r="A911" s="16" t="s">
        <v>994</v>
      </c>
      <c r="B911" s="16" t="s">
        <v>10</v>
      </c>
      <c r="C911" s="2">
        <v>46100.364774293979</v>
      </c>
      <c r="D911">
        <v>36</v>
      </c>
      <c r="F911" s="2">
        <v>46100.073107627315</v>
      </c>
      <c r="G911" s="3">
        <v>46100</v>
      </c>
      <c r="H911" t="s">
        <v>95</v>
      </c>
      <c r="I911">
        <v>1</v>
      </c>
    </row>
    <row r="912" spans="1:9" x14ac:dyDescent="0.2">
      <c r="A912" s="16" t="s">
        <v>995</v>
      </c>
      <c r="B912" s="16" t="s">
        <v>10</v>
      </c>
      <c r="C912" s="2">
        <v>46100.381678101854</v>
      </c>
      <c r="D912">
        <v>2</v>
      </c>
      <c r="F912" s="2">
        <v>46100.090011435183</v>
      </c>
      <c r="G912" s="3">
        <v>46100</v>
      </c>
      <c r="H912" t="s">
        <v>95</v>
      </c>
      <c r="I912">
        <v>2</v>
      </c>
    </row>
    <row r="913" spans="1:9" x14ac:dyDescent="0.2">
      <c r="A913" s="16" t="s">
        <v>996</v>
      </c>
      <c r="B913" s="16" t="s">
        <v>10</v>
      </c>
      <c r="C913" s="2">
        <v>46100.381711273149</v>
      </c>
      <c r="D913">
        <v>3</v>
      </c>
      <c r="F913" s="2">
        <v>46100.090044606484</v>
      </c>
      <c r="G913" s="3">
        <v>46100</v>
      </c>
      <c r="H913" t="s">
        <v>95</v>
      </c>
      <c r="I913">
        <v>2</v>
      </c>
    </row>
    <row r="914" spans="1:9" x14ac:dyDescent="0.2">
      <c r="A914" s="16" t="s">
        <v>997</v>
      </c>
      <c r="B914" s="16" t="s">
        <v>10</v>
      </c>
      <c r="C914" s="2">
        <v>46100.427127581017</v>
      </c>
      <c r="D914">
        <v>3</v>
      </c>
      <c r="F914" s="2">
        <v>46100.135460914353</v>
      </c>
      <c r="G914" s="3">
        <v>46100</v>
      </c>
      <c r="H914" t="s">
        <v>95</v>
      </c>
      <c r="I914">
        <v>3</v>
      </c>
    </row>
    <row r="915" spans="1:9" x14ac:dyDescent="0.2">
      <c r="A915" s="16" t="s">
        <v>1342</v>
      </c>
      <c r="B915" s="16" t="s">
        <v>10</v>
      </c>
      <c r="C915" s="2">
        <v>46100.432854525461</v>
      </c>
      <c r="D915">
        <v>3</v>
      </c>
      <c r="F915" s="2">
        <v>46100.141187858797</v>
      </c>
      <c r="G915" s="3">
        <v>46100</v>
      </c>
      <c r="H915" t="s">
        <v>95</v>
      </c>
      <c r="I915">
        <v>3</v>
      </c>
    </row>
    <row r="916" spans="1:9" x14ac:dyDescent="0.2">
      <c r="A916" s="16" t="s">
        <v>1318</v>
      </c>
      <c r="B916" s="16" t="s">
        <v>10</v>
      </c>
      <c r="C916" s="2">
        <v>46100.437603576385</v>
      </c>
      <c r="D916">
        <v>531</v>
      </c>
      <c r="F916" s="2">
        <v>46100.145936909721</v>
      </c>
      <c r="G916" s="3">
        <v>46100</v>
      </c>
      <c r="H916" t="s">
        <v>95</v>
      </c>
      <c r="I916">
        <v>3</v>
      </c>
    </row>
    <row r="917" spans="1:9" x14ac:dyDescent="0.2">
      <c r="A917" s="16" t="s">
        <v>998</v>
      </c>
      <c r="B917" s="16" t="s">
        <v>10</v>
      </c>
      <c r="C917" s="2">
        <v>46100.443124687503</v>
      </c>
      <c r="D917">
        <v>3</v>
      </c>
      <c r="F917" s="2">
        <v>46100.151458020831</v>
      </c>
      <c r="G917" s="3">
        <v>46100</v>
      </c>
      <c r="H917" t="s">
        <v>95</v>
      </c>
      <c r="I917">
        <v>3</v>
      </c>
    </row>
    <row r="918" spans="1:9" x14ac:dyDescent="0.2">
      <c r="A918" s="16" t="s">
        <v>999</v>
      </c>
      <c r="B918" s="16" t="s">
        <v>10</v>
      </c>
      <c r="C918" s="2">
        <v>46100.443240509259</v>
      </c>
      <c r="D918">
        <v>3</v>
      </c>
      <c r="E918" s="7" t="s">
        <v>1000</v>
      </c>
      <c r="F918" s="2">
        <v>46100.151573842595</v>
      </c>
      <c r="G918" s="3">
        <v>46100</v>
      </c>
      <c r="H918" t="s">
        <v>95</v>
      </c>
      <c r="I918">
        <v>3</v>
      </c>
    </row>
    <row r="919" spans="1:9" x14ac:dyDescent="0.2">
      <c r="A919" s="16" t="s">
        <v>1001</v>
      </c>
      <c r="B919" s="16" t="s">
        <v>10</v>
      </c>
      <c r="C919" s="2">
        <v>46100.458030393522</v>
      </c>
      <c r="D919">
        <v>3</v>
      </c>
      <c r="F919" s="2">
        <v>46100.16636372685</v>
      </c>
      <c r="G919" s="3">
        <v>46100</v>
      </c>
      <c r="H919" t="s">
        <v>95</v>
      </c>
      <c r="I919">
        <v>3</v>
      </c>
    </row>
    <row r="920" spans="1:9" x14ac:dyDescent="0.2">
      <c r="A920" s="16" t="s">
        <v>1002</v>
      </c>
      <c r="B920" s="16" t="s">
        <v>10</v>
      </c>
      <c r="C920" s="2">
        <v>46100.458336435186</v>
      </c>
      <c r="D920">
        <v>528</v>
      </c>
      <c r="F920" s="2">
        <v>46100.166669768521</v>
      </c>
      <c r="G920" s="3">
        <v>46100</v>
      </c>
      <c r="H920" t="s">
        <v>95</v>
      </c>
      <c r="I920">
        <v>4</v>
      </c>
    </row>
    <row r="921" spans="1:9" x14ac:dyDescent="0.2">
      <c r="A921" s="16" t="s">
        <v>1003</v>
      </c>
      <c r="B921" s="16" t="s">
        <v>10</v>
      </c>
      <c r="C921" s="2">
        <v>46100.482553020833</v>
      </c>
      <c r="D921">
        <v>35</v>
      </c>
      <c r="F921" s="2">
        <v>46100.190886354168</v>
      </c>
      <c r="G921" s="3">
        <v>46100</v>
      </c>
      <c r="H921" t="s">
        <v>95</v>
      </c>
      <c r="I921">
        <v>4</v>
      </c>
    </row>
    <row r="922" spans="1:9" x14ac:dyDescent="0.2">
      <c r="A922" s="16" t="s">
        <v>1004</v>
      </c>
      <c r="B922" s="16" t="s">
        <v>10</v>
      </c>
      <c r="C922" s="2">
        <v>46100.489663229164</v>
      </c>
      <c r="D922">
        <v>3</v>
      </c>
      <c r="F922" s="2">
        <v>46100.1979965625</v>
      </c>
      <c r="G922" s="3">
        <v>46100</v>
      </c>
      <c r="H922" t="s">
        <v>95</v>
      </c>
      <c r="I922">
        <v>4</v>
      </c>
    </row>
    <row r="923" spans="1:9" x14ac:dyDescent="0.2">
      <c r="A923" s="16" t="s">
        <v>1005</v>
      </c>
      <c r="B923" s="16" t="s">
        <v>10</v>
      </c>
      <c r="C923" s="2">
        <v>46100.495742291663</v>
      </c>
      <c r="D923">
        <v>3</v>
      </c>
      <c r="E923" s="7" t="s">
        <v>305</v>
      </c>
      <c r="F923" s="2">
        <v>46100.204075624999</v>
      </c>
      <c r="G923" s="3">
        <v>46100</v>
      </c>
      <c r="H923" t="s">
        <v>95</v>
      </c>
      <c r="I923">
        <v>4</v>
      </c>
    </row>
    <row r="924" spans="1:9" x14ac:dyDescent="0.2">
      <c r="A924" s="16" t="s">
        <v>1006</v>
      </c>
      <c r="B924" s="16" t="s">
        <v>10</v>
      </c>
      <c r="C924" s="2">
        <v>46100.515921469909</v>
      </c>
      <c r="D924">
        <v>36</v>
      </c>
      <c r="F924" s="2">
        <v>46100.224254803237</v>
      </c>
      <c r="G924" s="3">
        <v>46100</v>
      </c>
      <c r="H924" t="s">
        <v>95</v>
      </c>
      <c r="I924">
        <v>5</v>
      </c>
    </row>
    <row r="925" spans="1:9" x14ac:dyDescent="0.2">
      <c r="A925" s="16" t="s">
        <v>1007</v>
      </c>
      <c r="B925" s="16" t="s">
        <v>10</v>
      </c>
      <c r="C925" s="2">
        <v>46100.584859282404</v>
      </c>
      <c r="D925">
        <v>575</v>
      </c>
      <c r="E925" s="7" t="s">
        <v>582</v>
      </c>
      <c r="F925" s="2">
        <v>46100.29319261574</v>
      </c>
      <c r="G925" s="3">
        <v>46100</v>
      </c>
      <c r="H925" t="s">
        <v>95</v>
      </c>
      <c r="I925">
        <v>7</v>
      </c>
    </row>
    <row r="926" spans="1:9" x14ac:dyDescent="0.2">
      <c r="A926" s="16" t="s">
        <v>1008</v>
      </c>
      <c r="B926" s="16" t="s">
        <v>10</v>
      </c>
      <c r="C926" s="2">
        <v>46100.603020949071</v>
      </c>
      <c r="D926">
        <v>531</v>
      </c>
      <c r="F926" s="2">
        <v>46100.311354282407</v>
      </c>
      <c r="G926" s="3">
        <v>46100</v>
      </c>
      <c r="H926" t="s">
        <v>95</v>
      </c>
      <c r="I926">
        <v>7</v>
      </c>
    </row>
    <row r="927" spans="1:9" x14ac:dyDescent="0.2">
      <c r="A927" s="16" t="s">
        <v>1009</v>
      </c>
      <c r="B927" s="16" t="s">
        <v>10</v>
      </c>
      <c r="C927" s="2">
        <v>46100.627767349535</v>
      </c>
      <c r="D927">
        <v>575</v>
      </c>
      <c r="E927" s="7" t="s">
        <v>582</v>
      </c>
      <c r="F927" s="2">
        <v>46100.336100682871</v>
      </c>
      <c r="G927" s="3">
        <v>46100</v>
      </c>
      <c r="H927" t="s">
        <v>95</v>
      </c>
      <c r="I927">
        <v>8</v>
      </c>
    </row>
    <row r="928" spans="1:9" x14ac:dyDescent="0.2">
      <c r="A928" s="16" t="s">
        <v>1010</v>
      </c>
      <c r="B928" s="16" t="s">
        <v>10</v>
      </c>
      <c r="C928" s="2">
        <v>46100.638518981483</v>
      </c>
      <c r="D928">
        <v>531</v>
      </c>
      <c r="E928" s="7" t="s">
        <v>89</v>
      </c>
      <c r="F928" s="2">
        <v>46100.346852314811</v>
      </c>
      <c r="G928" s="3">
        <v>46100</v>
      </c>
      <c r="H928" t="s">
        <v>95</v>
      </c>
      <c r="I928">
        <v>8</v>
      </c>
    </row>
    <row r="929" spans="1:9" x14ac:dyDescent="0.2">
      <c r="A929" s="16" t="s">
        <v>1011</v>
      </c>
      <c r="B929" s="16" t="s">
        <v>10</v>
      </c>
      <c r="C929" s="2">
        <v>46100.647757974541</v>
      </c>
      <c r="D929">
        <v>531</v>
      </c>
      <c r="F929" s="2">
        <v>46100.356091307869</v>
      </c>
      <c r="G929" s="3">
        <v>46100</v>
      </c>
      <c r="H929" t="s">
        <v>95</v>
      </c>
      <c r="I929">
        <v>8</v>
      </c>
    </row>
    <row r="930" spans="1:9" x14ac:dyDescent="0.2">
      <c r="A930" s="16" t="s">
        <v>1069</v>
      </c>
      <c r="B930" s="16" t="s">
        <v>10</v>
      </c>
      <c r="C930" s="2">
        <v>46100.747928506942</v>
      </c>
      <c r="D930">
        <v>575</v>
      </c>
      <c r="F930" s="2">
        <v>46100.456261840278</v>
      </c>
      <c r="G930" s="3">
        <v>46100</v>
      </c>
      <c r="H930" t="s">
        <v>95</v>
      </c>
      <c r="I930">
        <v>10</v>
      </c>
    </row>
    <row r="931" spans="1:9" x14ac:dyDescent="0.2">
      <c r="A931" s="16" t="s">
        <v>1070</v>
      </c>
      <c r="B931" s="16" t="s">
        <v>10</v>
      </c>
      <c r="C931" s="2">
        <v>46100.918403900461</v>
      </c>
      <c r="D931">
        <v>3</v>
      </c>
      <c r="E931" s="7" t="s">
        <v>1071</v>
      </c>
      <c r="F931" s="2">
        <v>46100.626737233797</v>
      </c>
      <c r="G931" s="3">
        <v>46100</v>
      </c>
      <c r="H931" t="s">
        <v>95</v>
      </c>
      <c r="I931">
        <v>15</v>
      </c>
    </row>
    <row r="932" spans="1:9" x14ac:dyDescent="0.2">
      <c r="A932" s="16" t="s">
        <v>1072</v>
      </c>
      <c r="B932" s="16" t="s">
        <v>10</v>
      </c>
      <c r="C932" s="2">
        <v>46100.918741527777</v>
      </c>
      <c r="D932">
        <v>2</v>
      </c>
      <c r="E932" s="7" t="s">
        <v>1073</v>
      </c>
      <c r="F932" s="2">
        <v>46100.627074861113</v>
      </c>
      <c r="G932" s="3">
        <v>46100</v>
      </c>
      <c r="H932" t="s">
        <v>95</v>
      </c>
      <c r="I932">
        <v>15</v>
      </c>
    </row>
    <row r="933" spans="1:9" x14ac:dyDescent="0.2">
      <c r="A933" s="16" t="s">
        <v>1074</v>
      </c>
      <c r="B933" s="16" t="s">
        <v>10</v>
      </c>
      <c r="C933" s="2">
        <v>46100.919930717595</v>
      </c>
      <c r="D933">
        <v>3</v>
      </c>
      <c r="F933" s="2">
        <v>46100.628264050923</v>
      </c>
      <c r="G933" s="3">
        <v>46100</v>
      </c>
      <c r="H933" t="s">
        <v>95</v>
      </c>
      <c r="I933">
        <v>15</v>
      </c>
    </row>
    <row r="934" spans="1:9" x14ac:dyDescent="0.2">
      <c r="A934" s="16" t="s">
        <v>1075</v>
      </c>
      <c r="B934" s="16" t="s">
        <v>10</v>
      </c>
      <c r="C934" s="2">
        <v>46101.178652071758</v>
      </c>
      <c r="D934">
        <v>531</v>
      </c>
      <c r="E934" s="7" t="s">
        <v>89</v>
      </c>
      <c r="F934" s="2">
        <v>46100.886985405094</v>
      </c>
      <c r="G934" s="3">
        <v>46100</v>
      </c>
      <c r="H934" t="s">
        <v>95</v>
      </c>
      <c r="I934">
        <v>21</v>
      </c>
    </row>
    <row r="935" spans="1:9" x14ac:dyDescent="0.2">
      <c r="A935" s="16" t="s">
        <v>1076</v>
      </c>
      <c r="B935" s="16" t="s">
        <v>10</v>
      </c>
      <c r="C935" s="2">
        <v>46101.294058078704</v>
      </c>
      <c r="D935">
        <v>3</v>
      </c>
      <c r="F935" s="2">
        <v>46101.002391412039</v>
      </c>
      <c r="G935" s="3">
        <v>46101</v>
      </c>
      <c r="H935" t="s">
        <v>115</v>
      </c>
      <c r="I935">
        <v>0</v>
      </c>
    </row>
    <row r="936" spans="1:9" x14ac:dyDescent="0.2">
      <c r="A936" s="16" t="s">
        <v>1077</v>
      </c>
      <c r="B936" s="16" t="s">
        <v>10</v>
      </c>
      <c r="C936" s="2">
        <v>46101.341216898145</v>
      </c>
      <c r="D936">
        <v>531</v>
      </c>
      <c r="F936" s="2">
        <v>46101.049550231481</v>
      </c>
      <c r="G936" s="3">
        <v>46101</v>
      </c>
      <c r="H936" t="s">
        <v>115</v>
      </c>
      <c r="I936">
        <v>1</v>
      </c>
    </row>
    <row r="937" spans="1:9" x14ac:dyDescent="0.2">
      <c r="A937" s="16" t="s">
        <v>1078</v>
      </c>
      <c r="B937" s="16" t="s">
        <v>10</v>
      </c>
      <c r="C937" s="2">
        <v>46101.588491400464</v>
      </c>
      <c r="D937">
        <v>531</v>
      </c>
      <c r="F937" s="2">
        <v>46101.296824733799</v>
      </c>
      <c r="G937" s="3">
        <v>46101</v>
      </c>
      <c r="H937" t="s">
        <v>115</v>
      </c>
      <c r="I937">
        <v>7</v>
      </c>
    </row>
    <row r="938" spans="1:9" x14ac:dyDescent="0.2">
      <c r="A938" s="16" t="s">
        <v>1079</v>
      </c>
      <c r="B938" s="16" t="s">
        <v>10</v>
      </c>
      <c r="C938" s="2">
        <v>46101.686879699075</v>
      </c>
      <c r="D938">
        <v>531</v>
      </c>
      <c r="E938" s="7" t="s">
        <v>31</v>
      </c>
      <c r="F938" s="2">
        <v>46101.395213032411</v>
      </c>
      <c r="G938" s="3">
        <v>46101</v>
      </c>
      <c r="H938" t="s">
        <v>115</v>
      </c>
      <c r="I938">
        <v>9</v>
      </c>
    </row>
    <row r="939" spans="1:9" x14ac:dyDescent="0.2">
      <c r="A939" s="16" t="s">
        <v>1083</v>
      </c>
      <c r="B939" s="16" t="s">
        <v>10</v>
      </c>
      <c r="C939" s="2">
        <v>46101.80687886574</v>
      </c>
      <c r="D939">
        <v>531</v>
      </c>
      <c r="F939" s="2">
        <v>46101.515212199076</v>
      </c>
      <c r="G939" s="3">
        <v>46101</v>
      </c>
      <c r="H939" t="s">
        <v>115</v>
      </c>
      <c r="I939">
        <v>12</v>
      </c>
    </row>
    <row r="940" spans="1:9" x14ac:dyDescent="0.2">
      <c r="A940" s="16" t="s">
        <v>1084</v>
      </c>
      <c r="B940" s="16" t="s">
        <v>10</v>
      </c>
      <c r="C940" s="2">
        <v>46101.807240740738</v>
      </c>
      <c r="D940">
        <v>3</v>
      </c>
      <c r="F940" s="2">
        <v>46101.515574074074</v>
      </c>
      <c r="G940" s="3">
        <v>46101</v>
      </c>
      <c r="H940" t="s">
        <v>115</v>
      </c>
      <c r="I940">
        <v>12</v>
      </c>
    </row>
    <row r="941" spans="1:9" x14ac:dyDescent="0.2">
      <c r="A941" s="16" t="s">
        <v>1085</v>
      </c>
      <c r="B941" s="16" t="s">
        <v>10</v>
      </c>
      <c r="C941" s="2">
        <v>46101.809812719905</v>
      </c>
      <c r="D941">
        <v>3</v>
      </c>
      <c r="E941" s="7" t="s">
        <v>1086</v>
      </c>
      <c r="F941" s="2">
        <v>46101.51814605324</v>
      </c>
      <c r="G941" s="3">
        <v>46101</v>
      </c>
      <c r="H941" t="s">
        <v>115</v>
      </c>
      <c r="I941">
        <v>12</v>
      </c>
    </row>
    <row r="942" spans="1:9" x14ac:dyDescent="0.2">
      <c r="A942" s="16" t="s">
        <v>1087</v>
      </c>
      <c r="B942" s="16" t="s">
        <v>10</v>
      </c>
      <c r="C942" s="2">
        <v>46101.809968819442</v>
      </c>
      <c r="D942">
        <v>3</v>
      </c>
      <c r="E942" s="7" t="s">
        <v>1088</v>
      </c>
      <c r="F942" s="2">
        <v>46101.518302152777</v>
      </c>
      <c r="G942" s="3">
        <v>46101</v>
      </c>
      <c r="H942" t="s">
        <v>115</v>
      </c>
      <c r="I942">
        <v>12</v>
      </c>
    </row>
    <row r="943" spans="1:9" x14ac:dyDescent="0.2">
      <c r="A943" s="16" t="s">
        <v>1089</v>
      </c>
      <c r="B943" s="16" t="s">
        <v>10</v>
      </c>
      <c r="C943" s="2">
        <v>46101.820779027781</v>
      </c>
      <c r="D943">
        <v>575</v>
      </c>
      <c r="F943" s="2">
        <v>46101.52911236111</v>
      </c>
      <c r="G943" s="3">
        <v>46101</v>
      </c>
      <c r="H943" t="s">
        <v>115</v>
      </c>
      <c r="I943">
        <v>12</v>
      </c>
    </row>
    <row r="944" spans="1:9" x14ac:dyDescent="0.2">
      <c r="A944" s="16" t="s">
        <v>1090</v>
      </c>
      <c r="B944" s="16" t="s">
        <v>10</v>
      </c>
      <c r="C944" s="2">
        <v>46101.824775740744</v>
      </c>
      <c r="D944">
        <v>531</v>
      </c>
      <c r="F944" s="2">
        <v>46101.533109074073</v>
      </c>
      <c r="G944" s="3">
        <v>46101</v>
      </c>
      <c r="H944" t="s">
        <v>115</v>
      </c>
      <c r="I944">
        <v>12</v>
      </c>
    </row>
    <row r="945" spans="1:9" x14ac:dyDescent="0.2">
      <c r="A945" s="16" t="s">
        <v>1091</v>
      </c>
      <c r="B945" s="16" t="s">
        <v>10</v>
      </c>
      <c r="C945" s="2">
        <v>46101.828788321756</v>
      </c>
      <c r="D945">
        <v>3</v>
      </c>
      <c r="E945" s="7" t="s">
        <v>60</v>
      </c>
      <c r="F945" s="2">
        <v>46101.537121655092</v>
      </c>
      <c r="G945" s="3">
        <v>46101</v>
      </c>
      <c r="H945" t="s">
        <v>115</v>
      </c>
      <c r="I945">
        <v>12</v>
      </c>
    </row>
    <row r="946" spans="1:9" x14ac:dyDescent="0.2">
      <c r="A946" s="16" t="s">
        <v>1092</v>
      </c>
      <c r="B946" s="16" t="s">
        <v>10</v>
      </c>
      <c r="C946" s="2">
        <v>46101.83601392361</v>
      </c>
      <c r="D946">
        <v>575</v>
      </c>
      <c r="F946" s="2">
        <v>46101.544347256946</v>
      </c>
      <c r="G946" s="3">
        <v>46101</v>
      </c>
      <c r="H946" t="s">
        <v>115</v>
      </c>
      <c r="I946">
        <v>13</v>
      </c>
    </row>
    <row r="947" spans="1:9" x14ac:dyDescent="0.2">
      <c r="A947" s="16" t="s">
        <v>1093</v>
      </c>
      <c r="B947" s="16" t="s">
        <v>10</v>
      </c>
      <c r="C947" s="2">
        <v>46101.836357731481</v>
      </c>
      <c r="D947">
        <v>3</v>
      </c>
      <c r="F947" s="2">
        <v>46101.544691064817</v>
      </c>
      <c r="G947" s="3">
        <v>46101</v>
      </c>
      <c r="H947" t="s">
        <v>115</v>
      </c>
      <c r="I947">
        <v>13</v>
      </c>
    </row>
    <row r="948" spans="1:9" x14ac:dyDescent="0.2">
      <c r="A948" s="16" t="s">
        <v>1162</v>
      </c>
      <c r="B948" s="16" t="s">
        <v>10</v>
      </c>
      <c r="C948" s="2">
        <v>46101.838353159721</v>
      </c>
      <c r="D948">
        <v>3</v>
      </c>
      <c r="F948" s="2">
        <v>46101.546686493057</v>
      </c>
      <c r="G948" s="3">
        <v>46101</v>
      </c>
      <c r="H948" t="s">
        <v>115</v>
      </c>
      <c r="I948">
        <v>13</v>
      </c>
    </row>
    <row r="949" spans="1:9" x14ac:dyDescent="0.2">
      <c r="A949" s="16" t="s">
        <v>1094</v>
      </c>
      <c r="B949" s="16" t="s">
        <v>10</v>
      </c>
      <c r="C949" s="2">
        <v>46101.841866921299</v>
      </c>
      <c r="D949">
        <v>3</v>
      </c>
      <c r="E949" s="7" t="s">
        <v>60</v>
      </c>
      <c r="F949" s="2">
        <v>46101.550200254627</v>
      </c>
      <c r="G949" s="3">
        <v>46101</v>
      </c>
      <c r="H949" t="s">
        <v>115</v>
      </c>
      <c r="I949">
        <v>13</v>
      </c>
    </row>
    <row r="950" spans="1:9" x14ac:dyDescent="0.2">
      <c r="A950" s="16" t="s">
        <v>1095</v>
      </c>
      <c r="B950" s="16" t="s">
        <v>10</v>
      </c>
      <c r="C950" s="2">
        <v>46101.843052256947</v>
      </c>
      <c r="D950">
        <v>3</v>
      </c>
      <c r="E950" s="7" t="s">
        <v>1088</v>
      </c>
      <c r="F950" s="2">
        <v>46101.551385590275</v>
      </c>
      <c r="G950" s="3">
        <v>46101</v>
      </c>
      <c r="H950" t="s">
        <v>115</v>
      </c>
      <c r="I950">
        <v>13</v>
      </c>
    </row>
    <row r="951" spans="1:9" x14ac:dyDescent="0.2">
      <c r="A951" s="16" t="s">
        <v>1163</v>
      </c>
      <c r="B951" s="16" t="s">
        <v>10</v>
      </c>
      <c r="C951" s="2">
        <v>46101.847754351853</v>
      </c>
      <c r="D951">
        <v>575</v>
      </c>
      <c r="F951" s="2">
        <v>46101.556087685189</v>
      </c>
      <c r="G951" s="3">
        <v>46101</v>
      </c>
      <c r="H951" t="s">
        <v>115</v>
      </c>
      <c r="I951">
        <v>13</v>
      </c>
    </row>
    <row r="952" spans="1:9" x14ac:dyDescent="0.2">
      <c r="A952" s="16" t="s">
        <v>1096</v>
      </c>
      <c r="B952" s="16" t="s">
        <v>10</v>
      </c>
      <c r="C952" s="2">
        <v>46101.851800949073</v>
      </c>
      <c r="D952">
        <v>3</v>
      </c>
      <c r="E952" s="7" t="s">
        <v>1097</v>
      </c>
      <c r="F952" s="2">
        <v>46101.560134282408</v>
      </c>
      <c r="G952" s="3">
        <v>46101</v>
      </c>
      <c r="H952" t="s">
        <v>115</v>
      </c>
      <c r="I952">
        <v>13</v>
      </c>
    </row>
    <row r="953" spans="1:9" x14ac:dyDescent="0.2">
      <c r="A953" s="16" t="s">
        <v>1098</v>
      </c>
      <c r="B953" s="16" t="s">
        <v>10</v>
      </c>
      <c r="C953" s="2">
        <v>46101.852310497685</v>
      </c>
      <c r="D953">
        <v>531</v>
      </c>
      <c r="E953" s="7" t="s">
        <v>1099</v>
      </c>
      <c r="F953" s="2">
        <v>46101.560643831021</v>
      </c>
      <c r="G953" s="3">
        <v>46101</v>
      </c>
      <c r="H953" t="s">
        <v>115</v>
      </c>
      <c r="I953">
        <v>13</v>
      </c>
    </row>
    <row r="954" spans="1:9" x14ac:dyDescent="0.2">
      <c r="A954" s="16" t="s">
        <v>1100</v>
      </c>
      <c r="B954" s="16" t="s">
        <v>10</v>
      </c>
      <c r="C954" s="2">
        <v>46101.855866030091</v>
      </c>
      <c r="D954">
        <v>1</v>
      </c>
      <c r="E954" s="7" t="s">
        <v>1101</v>
      </c>
      <c r="F954" s="2">
        <v>46101.564199363427</v>
      </c>
      <c r="G954" s="3">
        <v>46101</v>
      </c>
      <c r="H954" t="s">
        <v>115</v>
      </c>
      <c r="I954">
        <v>13</v>
      </c>
    </row>
    <row r="955" spans="1:9" x14ac:dyDescent="0.2">
      <c r="A955" s="16" t="s">
        <v>1102</v>
      </c>
      <c r="B955" s="16" t="s">
        <v>10</v>
      </c>
      <c r="C955" s="2">
        <v>46101.863919120369</v>
      </c>
      <c r="D955">
        <v>3</v>
      </c>
      <c r="E955" s="7" t="s">
        <v>1101</v>
      </c>
      <c r="F955" s="2">
        <v>46101.572252453705</v>
      </c>
      <c r="G955" s="3">
        <v>46101</v>
      </c>
      <c r="H955" t="s">
        <v>115</v>
      </c>
      <c r="I955">
        <v>13</v>
      </c>
    </row>
    <row r="956" spans="1:9" x14ac:dyDescent="0.2">
      <c r="A956" s="16" t="s">
        <v>1103</v>
      </c>
      <c r="B956" s="16" t="s">
        <v>10</v>
      </c>
      <c r="C956" s="2">
        <v>46101.871945312501</v>
      </c>
      <c r="D956">
        <v>3</v>
      </c>
      <c r="F956" s="2">
        <v>46101.58027864583</v>
      </c>
      <c r="G956" s="3">
        <v>46101</v>
      </c>
      <c r="H956" t="s">
        <v>115</v>
      </c>
      <c r="I956">
        <v>13</v>
      </c>
    </row>
    <row r="957" spans="1:9" x14ac:dyDescent="0.2">
      <c r="A957" s="16" t="s">
        <v>1104</v>
      </c>
      <c r="B957" s="16" t="s">
        <v>10</v>
      </c>
      <c r="C957" s="2">
        <v>46101.87673802083</v>
      </c>
      <c r="D957">
        <v>531</v>
      </c>
      <c r="F957" s="2">
        <v>46101.585071354166</v>
      </c>
      <c r="G957" s="3">
        <v>46101</v>
      </c>
      <c r="H957" t="s">
        <v>115</v>
      </c>
      <c r="I957">
        <v>14</v>
      </c>
    </row>
    <row r="958" spans="1:9" x14ac:dyDescent="0.2">
      <c r="A958" s="16" t="s">
        <v>1105</v>
      </c>
      <c r="B958" s="16" t="s">
        <v>10</v>
      </c>
      <c r="C958" s="2">
        <v>46101.88313008102</v>
      </c>
      <c r="D958">
        <v>575</v>
      </c>
      <c r="F958" s="2">
        <v>46101.591463414348</v>
      </c>
      <c r="G958" s="3">
        <v>46101</v>
      </c>
      <c r="H958" t="s">
        <v>115</v>
      </c>
      <c r="I958">
        <v>14</v>
      </c>
    </row>
    <row r="959" spans="1:9" x14ac:dyDescent="0.2">
      <c r="A959" s="16" t="s">
        <v>1106</v>
      </c>
      <c r="B959" s="16" t="s">
        <v>10</v>
      </c>
      <c r="C959" s="2">
        <v>46101.888586527777</v>
      </c>
      <c r="D959">
        <v>575</v>
      </c>
      <c r="F959" s="2">
        <v>46101.596919861113</v>
      </c>
      <c r="G959" s="3">
        <v>46101</v>
      </c>
      <c r="H959" t="s">
        <v>115</v>
      </c>
      <c r="I959">
        <v>14</v>
      </c>
    </row>
    <row r="960" spans="1:9" x14ac:dyDescent="0.2">
      <c r="A960" s="16" t="s">
        <v>1266</v>
      </c>
      <c r="B960" s="16" t="s">
        <v>10</v>
      </c>
      <c r="C960" s="2">
        <v>46101.91428996528</v>
      </c>
      <c r="D960">
        <v>3</v>
      </c>
      <c r="F960" s="2">
        <v>46101.622623298608</v>
      </c>
      <c r="G960" s="3">
        <v>46101</v>
      </c>
      <c r="H960" t="s">
        <v>115</v>
      </c>
      <c r="I960">
        <v>14</v>
      </c>
    </row>
    <row r="961" spans="1:9" x14ac:dyDescent="0.2">
      <c r="A961" s="16" t="s">
        <v>1107</v>
      </c>
      <c r="B961" s="16" t="s">
        <v>10</v>
      </c>
      <c r="C961" s="2">
        <v>46101.915155671297</v>
      </c>
      <c r="D961">
        <v>531</v>
      </c>
      <c r="F961" s="2">
        <v>46101.623489004633</v>
      </c>
      <c r="G961" s="3">
        <v>46101</v>
      </c>
      <c r="H961" t="s">
        <v>115</v>
      </c>
      <c r="I961">
        <v>14</v>
      </c>
    </row>
    <row r="962" spans="1:9" x14ac:dyDescent="0.2">
      <c r="A962" s="16" t="s">
        <v>1108</v>
      </c>
      <c r="B962" s="16" t="s">
        <v>10</v>
      </c>
      <c r="C962" s="2">
        <v>46101.917070254633</v>
      </c>
      <c r="D962">
        <v>531</v>
      </c>
      <c r="F962" s="2">
        <v>46101.625403587961</v>
      </c>
      <c r="G962" s="3">
        <v>46101</v>
      </c>
      <c r="H962" t="s">
        <v>115</v>
      </c>
      <c r="I962">
        <v>15</v>
      </c>
    </row>
    <row r="963" spans="1:9" x14ac:dyDescent="0.2">
      <c r="A963" s="16" t="s">
        <v>1109</v>
      </c>
      <c r="B963" s="16" t="s">
        <v>10</v>
      </c>
      <c r="C963" s="2">
        <v>46101.922453564817</v>
      </c>
      <c r="D963">
        <v>3</v>
      </c>
      <c r="F963" s="2">
        <v>46101.630786898146</v>
      </c>
      <c r="G963" s="3">
        <v>46101</v>
      </c>
      <c r="H963" t="s">
        <v>115</v>
      </c>
      <c r="I963">
        <v>15</v>
      </c>
    </row>
    <row r="964" spans="1:9" x14ac:dyDescent="0.2">
      <c r="A964" s="16" t="s">
        <v>1110</v>
      </c>
      <c r="B964" s="16" t="s">
        <v>10</v>
      </c>
      <c r="C964" s="2">
        <v>46101.925838668983</v>
      </c>
      <c r="D964">
        <v>36</v>
      </c>
      <c r="F964" s="2">
        <v>46101.634172002312</v>
      </c>
      <c r="G964" s="3">
        <v>46101</v>
      </c>
      <c r="H964" t="s">
        <v>115</v>
      </c>
      <c r="I964">
        <v>15</v>
      </c>
    </row>
    <row r="965" spans="1:9" x14ac:dyDescent="0.2">
      <c r="A965" s="16" t="s">
        <v>1111</v>
      </c>
      <c r="B965" s="16" t="s">
        <v>10</v>
      </c>
      <c r="C965" s="2">
        <v>46101.932773136577</v>
      </c>
      <c r="D965">
        <v>3</v>
      </c>
      <c r="E965" s="7" t="s">
        <v>1112</v>
      </c>
      <c r="F965" s="2">
        <v>46101.641106469906</v>
      </c>
      <c r="G965" s="3">
        <v>46101</v>
      </c>
      <c r="H965" t="s">
        <v>115</v>
      </c>
      <c r="I965">
        <v>15</v>
      </c>
    </row>
    <row r="966" spans="1:9" x14ac:dyDescent="0.2">
      <c r="A966" s="16" t="s">
        <v>1113</v>
      </c>
      <c r="B966" s="16" t="s">
        <v>10</v>
      </c>
      <c r="C966" s="2">
        <v>46101.938514513888</v>
      </c>
      <c r="D966">
        <v>575</v>
      </c>
      <c r="F966" s="2">
        <v>46101.646847847223</v>
      </c>
      <c r="G966" s="3">
        <v>46101</v>
      </c>
      <c r="H966" t="s">
        <v>115</v>
      </c>
      <c r="I966">
        <v>15</v>
      </c>
    </row>
    <row r="967" spans="1:9" x14ac:dyDescent="0.2">
      <c r="A967" s="16" t="s">
        <v>1114</v>
      </c>
      <c r="B967" s="16" t="s">
        <v>10</v>
      </c>
      <c r="C967" s="2">
        <v>46101.942967604169</v>
      </c>
      <c r="D967">
        <v>3</v>
      </c>
      <c r="E967" s="7" t="s">
        <v>1115</v>
      </c>
      <c r="F967" s="2">
        <v>46101.651300937498</v>
      </c>
      <c r="G967" s="3">
        <v>46101</v>
      </c>
      <c r="H967" t="s">
        <v>115</v>
      </c>
      <c r="I967">
        <v>15</v>
      </c>
    </row>
    <row r="968" spans="1:9" x14ac:dyDescent="0.2">
      <c r="A968" s="16" t="s">
        <v>1116</v>
      </c>
      <c r="B968" s="16" t="s">
        <v>10</v>
      </c>
      <c r="C968" s="2">
        <v>46101.981837453706</v>
      </c>
      <c r="D968">
        <v>3</v>
      </c>
      <c r="F968" s="2">
        <v>46101.690170787035</v>
      </c>
      <c r="G968" s="3">
        <v>46101</v>
      </c>
      <c r="H968" t="s">
        <v>115</v>
      </c>
      <c r="I968">
        <v>16</v>
      </c>
    </row>
    <row r="969" spans="1:9" x14ac:dyDescent="0.2">
      <c r="A969" s="16" t="s">
        <v>1117</v>
      </c>
      <c r="B969" s="16" t="s">
        <v>10</v>
      </c>
      <c r="C969" s="2">
        <v>46101.982796284719</v>
      </c>
      <c r="D969">
        <v>531</v>
      </c>
      <c r="F969" s="2">
        <v>46101.691129618055</v>
      </c>
      <c r="G969" s="3">
        <v>46101</v>
      </c>
      <c r="H969" t="s">
        <v>115</v>
      </c>
      <c r="I969">
        <v>16</v>
      </c>
    </row>
    <row r="970" spans="1:9" x14ac:dyDescent="0.2">
      <c r="A970" s="16" t="s">
        <v>1118</v>
      </c>
      <c r="B970" s="16" t="s">
        <v>10</v>
      </c>
      <c r="C970" s="2">
        <v>46102.002942314815</v>
      </c>
      <c r="D970">
        <v>531</v>
      </c>
      <c r="F970" s="2">
        <v>46101.711275648151</v>
      </c>
      <c r="G970" s="3">
        <v>46101</v>
      </c>
      <c r="H970" t="s">
        <v>115</v>
      </c>
      <c r="I970">
        <v>17</v>
      </c>
    </row>
    <row r="971" spans="1:9" x14ac:dyDescent="0.2">
      <c r="A971" s="16" t="s">
        <v>1119</v>
      </c>
      <c r="B971" s="16" t="s">
        <v>10</v>
      </c>
      <c r="C971" s="2">
        <v>46102.008859814814</v>
      </c>
      <c r="D971">
        <v>3</v>
      </c>
      <c r="E971" s="7" t="s">
        <v>89</v>
      </c>
      <c r="F971" s="2">
        <v>46101.71719314815</v>
      </c>
      <c r="G971" s="3">
        <v>46101</v>
      </c>
      <c r="H971" t="s">
        <v>115</v>
      </c>
      <c r="I971">
        <v>17</v>
      </c>
    </row>
    <row r="972" spans="1:9" x14ac:dyDescent="0.2">
      <c r="A972" s="16" t="s">
        <v>1120</v>
      </c>
      <c r="B972" s="16" t="s">
        <v>10</v>
      </c>
      <c r="C972" s="2">
        <v>46102.008955844911</v>
      </c>
      <c r="D972">
        <v>531</v>
      </c>
      <c r="F972" s="2">
        <v>46101.717289178239</v>
      </c>
      <c r="G972" s="3">
        <v>46101</v>
      </c>
      <c r="H972" t="s">
        <v>115</v>
      </c>
      <c r="I972">
        <v>17</v>
      </c>
    </row>
    <row r="973" spans="1:9" x14ac:dyDescent="0.2">
      <c r="A973" s="16" t="s">
        <v>1121</v>
      </c>
      <c r="B973" s="16" t="s">
        <v>10</v>
      </c>
      <c r="C973" s="2">
        <v>46102.011336111114</v>
      </c>
      <c r="D973">
        <v>36</v>
      </c>
      <c r="F973" s="2">
        <v>46101.719669444443</v>
      </c>
      <c r="G973" s="3">
        <v>46101</v>
      </c>
      <c r="H973" t="s">
        <v>115</v>
      </c>
      <c r="I973">
        <v>17</v>
      </c>
    </row>
    <row r="974" spans="1:9" x14ac:dyDescent="0.2">
      <c r="A974" s="16" t="s">
        <v>1122</v>
      </c>
      <c r="B974" s="16" t="s">
        <v>10</v>
      </c>
      <c r="C974" s="2">
        <v>46102.022916041664</v>
      </c>
      <c r="D974">
        <v>806</v>
      </c>
      <c r="F974" s="2">
        <v>46101.731249375</v>
      </c>
      <c r="G974" s="3">
        <v>46101</v>
      </c>
      <c r="H974" t="s">
        <v>115</v>
      </c>
      <c r="I974">
        <v>17</v>
      </c>
    </row>
    <row r="975" spans="1:9" x14ac:dyDescent="0.2">
      <c r="A975" s="16" t="s">
        <v>1123</v>
      </c>
      <c r="B975" s="16" t="s">
        <v>10</v>
      </c>
      <c r="C975" s="2">
        <v>46102.050519317127</v>
      </c>
      <c r="D975">
        <v>531</v>
      </c>
      <c r="F975" s="2">
        <v>46101.758852650462</v>
      </c>
      <c r="G975" s="3">
        <v>46101</v>
      </c>
      <c r="H975" t="s">
        <v>115</v>
      </c>
      <c r="I975">
        <v>18</v>
      </c>
    </row>
    <row r="976" spans="1:9" x14ac:dyDescent="0.2">
      <c r="A976" s="16" t="s">
        <v>1124</v>
      </c>
      <c r="B976" s="16" t="s">
        <v>10</v>
      </c>
      <c r="C976" s="2">
        <v>46102.08000577546</v>
      </c>
      <c r="D976">
        <v>3</v>
      </c>
      <c r="F976" s="2">
        <v>46101.788339108796</v>
      </c>
      <c r="G976" s="3">
        <v>46101</v>
      </c>
      <c r="H976" t="s">
        <v>115</v>
      </c>
      <c r="I976">
        <v>18</v>
      </c>
    </row>
    <row r="977" spans="1:9" x14ac:dyDescent="0.2">
      <c r="A977" s="16" t="s">
        <v>1125</v>
      </c>
      <c r="B977" s="16" t="s">
        <v>10</v>
      </c>
      <c r="C977" s="2">
        <v>46102.091103368053</v>
      </c>
      <c r="D977">
        <v>3</v>
      </c>
      <c r="F977" s="2">
        <v>46101.799436701389</v>
      </c>
      <c r="G977" s="3">
        <v>46101</v>
      </c>
      <c r="H977" t="s">
        <v>115</v>
      </c>
      <c r="I977">
        <v>19</v>
      </c>
    </row>
    <row r="978" spans="1:9" x14ac:dyDescent="0.2">
      <c r="A978" s="16" t="s">
        <v>1126</v>
      </c>
      <c r="B978" s="16" t="s">
        <v>10</v>
      </c>
      <c r="C978" s="2">
        <v>46102.091702743055</v>
      </c>
      <c r="D978">
        <v>3</v>
      </c>
      <c r="F978" s="2">
        <v>46101.800036076391</v>
      </c>
      <c r="G978" s="3">
        <v>46101</v>
      </c>
      <c r="H978" t="s">
        <v>115</v>
      </c>
      <c r="I978">
        <v>19</v>
      </c>
    </row>
    <row r="979" spans="1:9" x14ac:dyDescent="0.2">
      <c r="A979" s="16" t="s">
        <v>1127</v>
      </c>
      <c r="B979" s="16" t="s">
        <v>10</v>
      </c>
      <c r="C979" s="2">
        <v>46102.091842291666</v>
      </c>
      <c r="D979">
        <v>3</v>
      </c>
      <c r="F979" s="2">
        <v>46101.800175625001</v>
      </c>
      <c r="G979" s="3">
        <v>46101</v>
      </c>
      <c r="H979" t="s">
        <v>115</v>
      </c>
      <c r="I979">
        <v>19</v>
      </c>
    </row>
    <row r="980" spans="1:9" x14ac:dyDescent="0.2">
      <c r="A980" s="16" t="s">
        <v>1128</v>
      </c>
      <c r="B980" s="16" t="s">
        <v>10</v>
      </c>
      <c r="C980" s="2">
        <v>46102.092119236113</v>
      </c>
      <c r="D980">
        <v>3</v>
      </c>
      <c r="F980" s="2">
        <v>46101.800452569441</v>
      </c>
      <c r="G980" s="3">
        <v>46101</v>
      </c>
      <c r="H980" t="s">
        <v>115</v>
      </c>
      <c r="I980">
        <v>19</v>
      </c>
    </row>
    <row r="981" spans="1:9" x14ac:dyDescent="0.2">
      <c r="A981" s="16" t="s">
        <v>1129</v>
      </c>
      <c r="B981" s="16" t="s">
        <v>10</v>
      </c>
      <c r="C981" s="2">
        <v>46102.097666250003</v>
      </c>
      <c r="D981">
        <v>3</v>
      </c>
      <c r="E981" s="7" t="s">
        <v>1130</v>
      </c>
      <c r="F981" s="2">
        <v>46101.805999583332</v>
      </c>
      <c r="G981" s="3">
        <v>46101</v>
      </c>
      <c r="H981" t="s">
        <v>115</v>
      </c>
      <c r="I981">
        <v>19</v>
      </c>
    </row>
    <row r="982" spans="1:9" x14ac:dyDescent="0.2">
      <c r="A982" s="16" t="s">
        <v>1131</v>
      </c>
      <c r="B982" s="16" t="s">
        <v>10</v>
      </c>
      <c r="C982" s="2">
        <v>46102.101742662038</v>
      </c>
      <c r="D982">
        <v>1</v>
      </c>
      <c r="E982" s="7" t="s">
        <v>1099</v>
      </c>
      <c r="F982" s="2">
        <v>46101.810075995367</v>
      </c>
      <c r="G982" s="3">
        <v>46101</v>
      </c>
      <c r="H982" t="s">
        <v>115</v>
      </c>
      <c r="I982">
        <v>19</v>
      </c>
    </row>
    <row r="983" spans="1:9" x14ac:dyDescent="0.2">
      <c r="A983" s="16" t="s">
        <v>1132</v>
      </c>
      <c r="B983" s="16" t="s">
        <v>10</v>
      </c>
      <c r="C983" s="2">
        <v>46102.127913009259</v>
      </c>
      <c r="D983">
        <v>531</v>
      </c>
      <c r="F983" s="2">
        <v>46101.836246342595</v>
      </c>
      <c r="G983" s="3">
        <v>46101</v>
      </c>
      <c r="H983" t="s">
        <v>115</v>
      </c>
      <c r="I983">
        <v>20</v>
      </c>
    </row>
    <row r="984" spans="1:9" x14ac:dyDescent="0.2">
      <c r="A984" s="16" t="s">
        <v>1133</v>
      </c>
      <c r="B984" s="16" t="s">
        <v>10</v>
      </c>
      <c r="C984" s="2">
        <v>46102.129405729167</v>
      </c>
      <c r="D984">
        <v>575</v>
      </c>
      <c r="F984" s="2">
        <v>46101.837739062503</v>
      </c>
      <c r="G984" s="3">
        <v>46101</v>
      </c>
      <c r="H984" t="s">
        <v>115</v>
      </c>
      <c r="I984">
        <v>20</v>
      </c>
    </row>
    <row r="985" spans="1:9" x14ac:dyDescent="0.2">
      <c r="A985" s="16" t="s">
        <v>1134</v>
      </c>
      <c r="B985" s="16" t="s">
        <v>10</v>
      </c>
      <c r="C985" s="2">
        <v>46102.150172511574</v>
      </c>
      <c r="D985">
        <v>531</v>
      </c>
      <c r="F985" s="2">
        <v>46101.85850584491</v>
      </c>
      <c r="G985" s="3">
        <v>46101</v>
      </c>
      <c r="H985" t="s">
        <v>115</v>
      </c>
      <c r="I985">
        <v>20</v>
      </c>
    </row>
    <row r="986" spans="1:9" x14ac:dyDescent="0.2">
      <c r="A986" s="16" t="s">
        <v>1135</v>
      </c>
      <c r="B986" s="16" t="s">
        <v>10</v>
      </c>
      <c r="C986" s="2">
        <v>46102.169343622685</v>
      </c>
      <c r="D986">
        <v>575</v>
      </c>
      <c r="F986" s="2">
        <v>46101.877676956021</v>
      </c>
      <c r="G986" s="3">
        <v>46101</v>
      </c>
      <c r="H986" t="s">
        <v>115</v>
      </c>
      <c r="I986">
        <v>21</v>
      </c>
    </row>
    <row r="987" spans="1:9" x14ac:dyDescent="0.2">
      <c r="A987" s="16" t="s">
        <v>1136</v>
      </c>
      <c r="B987" s="16" t="s">
        <v>10</v>
      </c>
      <c r="C987" s="2">
        <v>46102.186557870373</v>
      </c>
      <c r="D987">
        <v>3</v>
      </c>
      <c r="F987" s="2">
        <v>46101.894891203701</v>
      </c>
      <c r="G987" s="3">
        <v>46101</v>
      </c>
      <c r="H987" t="s">
        <v>115</v>
      </c>
      <c r="I987">
        <v>21</v>
      </c>
    </row>
    <row r="988" spans="1:9" x14ac:dyDescent="0.2">
      <c r="A988" s="16" t="s">
        <v>1137</v>
      </c>
      <c r="B988" s="16" t="s">
        <v>10</v>
      </c>
      <c r="C988" s="2">
        <v>46102.226183692132</v>
      </c>
      <c r="D988">
        <v>575</v>
      </c>
      <c r="F988" s="2">
        <v>46101.93451702546</v>
      </c>
      <c r="G988" s="3">
        <v>46101</v>
      </c>
      <c r="H988" t="s">
        <v>115</v>
      </c>
      <c r="I988">
        <v>22</v>
      </c>
    </row>
    <row r="989" spans="1:9" x14ac:dyDescent="0.2">
      <c r="A989" s="16" t="s">
        <v>1138</v>
      </c>
      <c r="B989" s="16" t="s">
        <v>10</v>
      </c>
      <c r="C989" s="2">
        <v>46102.391724155095</v>
      </c>
      <c r="D989">
        <v>3</v>
      </c>
      <c r="E989" s="7" t="s">
        <v>1139</v>
      </c>
      <c r="F989" s="2">
        <v>46102.100057488424</v>
      </c>
      <c r="G989" s="3">
        <v>46102</v>
      </c>
      <c r="H989" t="s">
        <v>120</v>
      </c>
      <c r="I989">
        <v>2</v>
      </c>
    </row>
    <row r="990" spans="1:9" x14ac:dyDescent="0.2">
      <c r="A990" s="16" t="s">
        <v>1140</v>
      </c>
      <c r="B990" s="16" t="s">
        <v>10</v>
      </c>
      <c r="C990" s="2">
        <v>46102.407829768519</v>
      </c>
      <c r="D990">
        <v>575</v>
      </c>
      <c r="F990" s="2">
        <v>46102.116163101855</v>
      </c>
      <c r="G990" s="3">
        <v>46102</v>
      </c>
      <c r="H990" t="s">
        <v>120</v>
      </c>
      <c r="I990">
        <v>2</v>
      </c>
    </row>
    <row r="991" spans="1:9" x14ac:dyDescent="0.2">
      <c r="A991" s="16" t="s">
        <v>1141</v>
      </c>
      <c r="B991" s="16" t="s">
        <v>10</v>
      </c>
      <c r="C991" s="2">
        <v>46102.419711111113</v>
      </c>
      <c r="D991">
        <v>3</v>
      </c>
      <c r="E991" s="7" t="s">
        <v>1139</v>
      </c>
      <c r="F991" s="2">
        <v>46102.128044444442</v>
      </c>
      <c r="G991" s="3">
        <v>46102</v>
      </c>
      <c r="H991" t="s">
        <v>120</v>
      </c>
      <c r="I991">
        <v>3</v>
      </c>
    </row>
    <row r="992" spans="1:9" x14ac:dyDescent="0.2">
      <c r="A992" s="16" t="s">
        <v>1142</v>
      </c>
      <c r="B992" s="16" t="s">
        <v>10</v>
      </c>
      <c r="C992" s="2">
        <v>46102.437674189816</v>
      </c>
      <c r="D992">
        <v>3</v>
      </c>
      <c r="F992" s="2">
        <v>46102.146007523152</v>
      </c>
      <c r="G992" s="3">
        <v>46102</v>
      </c>
      <c r="H992" t="s">
        <v>120</v>
      </c>
      <c r="I992">
        <v>3</v>
      </c>
    </row>
    <row r="993" spans="1:9" x14ac:dyDescent="0.2">
      <c r="A993" s="16" t="s">
        <v>1143</v>
      </c>
      <c r="B993" s="16" t="s">
        <v>10</v>
      </c>
      <c r="C993" s="2">
        <v>46102.443562361113</v>
      </c>
      <c r="D993">
        <v>3</v>
      </c>
      <c r="E993" s="7" t="s">
        <v>305</v>
      </c>
      <c r="F993" s="2">
        <v>46102.151895694442</v>
      </c>
      <c r="G993" s="3">
        <v>46102</v>
      </c>
      <c r="H993" t="s">
        <v>120</v>
      </c>
      <c r="I993">
        <v>3</v>
      </c>
    </row>
    <row r="994" spans="1:9" x14ac:dyDescent="0.2">
      <c r="A994" s="16" t="s">
        <v>1144</v>
      </c>
      <c r="B994" s="16" t="s">
        <v>10</v>
      </c>
      <c r="C994" s="2">
        <v>46102.455513263892</v>
      </c>
      <c r="D994">
        <v>3</v>
      </c>
      <c r="F994" s="2">
        <v>46102.163846597221</v>
      </c>
      <c r="G994" s="3">
        <v>46102</v>
      </c>
      <c r="H994" t="s">
        <v>120</v>
      </c>
      <c r="I994">
        <v>3</v>
      </c>
    </row>
    <row r="995" spans="1:9" x14ac:dyDescent="0.2">
      <c r="A995" s="16" t="s">
        <v>1145</v>
      </c>
      <c r="B995" s="16" t="s">
        <v>10</v>
      </c>
      <c r="C995" s="2">
        <v>46102.460725127312</v>
      </c>
      <c r="D995">
        <v>572</v>
      </c>
      <c r="F995" s="2">
        <v>46102.169058460648</v>
      </c>
      <c r="G995" s="3">
        <v>46102</v>
      </c>
      <c r="H995" t="s">
        <v>120</v>
      </c>
      <c r="I995">
        <v>4</v>
      </c>
    </row>
    <row r="996" spans="1:9" x14ac:dyDescent="0.2">
      <c r="A996" s="16" t="s">
        <v>1146</v>
      </c>
      <c r="B996" s="16" t="s">
        <v>10</v>
      </c>
      <c r="C996" s="2">
        <v>46102.464767280093</v>
      </c>
      <c r="D996">
        <v>531</v>
      </c>
      <c r="E996" s="7" t="s">
        <v>89</v>
      </c>
      <c r="F996" s="2">
        <v>46102.173100613429</v>
      </c>
      <c r="G996" s="3">
        <v>46102</v>
      </c>
      <c r="H996" t="s">
        <v>120</v>
      </c>
      <c r="I996">
        <v>4</v>
      </c>
    </row>
    <row r="997" spans="1:9" x14ac:dyDescent="0.2">
      <c r="A997" s="16" t="s">
        <v>1147</v>
      </c>
      <c r="B997" s="16" t="s">
        <v>10</v>
      </c>
      <c r="C997" s="2">
        <v>46102.482279328702</v>
      </c>
      <c r="D997">
        <v>2</v>
      </c>
      <c r="F997" s="2">
        <v>46102.190612662038</v>
      </c>
      <c r="G997" s="3">
        <v>46102</v>
      </c>
      <c r="H997" t="s">
        <v>120</v>
      </c>
      <c r="I997">
        <v>4</v>
      </c>
    </row>
    <row r="998" spans="1:9" x14ac:dyDescent="0.2">
      <c r="A998" s="16" t="s">
        <v>1148</v>
      </c>
      <c r="B998" s="16" t="s">
        <v>10</v>
      </c>
      <c r="C998" s="2">
        <v>46102.541031319444</v>
      </c>
      <c r="D998">
        <v>3</v>
      </c>
      <c r="F998" s="2">
        <v>46102.24936465278</v>
      </c>
      <c r="G998" s="3">
        <v>46102</v>
      </c>
      <c r="H998" t="s">
        <v>120</v>
      </c>
      <c r="I998">
        <v>5</v>
      </c>
    </row>
    <row r="999" spans="1:9" x14ac:dyDescent="0.2">
      <c r="A999" s="16" t="s">
        <v>1149</v>
      </c>
      <c r="B999" s="16" t="s">
        <v>10</v>
      </c>
      <c r="C999" s="2">
        <v>46102.621892326388</v>
      </c>
      <c r="D999">
        <v>531</v>
      </c>
      <c r="F999" s="2">
        <v>46102.330225659724</v>
      </c>
      <c r="G999" s="3">
        <v>46102</v>
      </c>
      <c r="H999" t="s">
        <v>120</v>
      </c>
      <c r="I999">
        <v>7</v>
      </c>
    </row>
    <row r="1000" spans="1:9" x14ac:dyDescent="0.2">
      <c r="A1000" s="16" t="s">
        <v>1150</v>
      </c>
      <c r="B1000" s="16" t="s">
        <v>10</v>
      </c>
      <c r="C1000" s="2">
        <v>46102.700329155094</v>
      </c>
      <c r="D1000">
        <v>3</v>
      </c>
      <c r="E1000" s="7" t="s">
        <v>1151</v>
      </c>
      <c r="F1000" s="2">
        <v>46102.408662488429</v>
      </c>
      <c r="G1000" s="3">
        <v>46102</v>
      </c>
      <c r="H1000" t="s">
        <v>120</v>
      </c>
      <c r="I1000">
        <v>9</v>
      </c>
    </row>
    <row r="1001" spans="1:9" x14ac:dyDescent="0.2">
      <c r="A1001" s="16" t="s">
        <v>1164</v>
      </c>
      <c r="B1001" s="16" t="s">
        <v>10</v>
      </c>
      <c r="C1001" s="2">
        <v>46102.71026240741</v>
      </c>
      <c r="D1001">
        <v>3</v>
      </c>
      <c r="E1001" s="7" t="s">
        <v>1151</v>
      </c>
      <c r="F1001" s="2">
        <v>46102.418595740739</v>
      </c>
      <c r="G1001" s="3">
        <v>46102</v>
      </c>
      <c r="H1001" t="s">
        <v>120</v>
      </c>
      <c r="I1001">
        <v>10</v>
      </c>
    </row>
    <row r="1002" spans="1:9" x14ac:dyDescent="0.2">
      <c r="A1002" s="16" t="s">
        <v>1165</v>
      </c>
      <c r="B1002" s="16" t="s">
        <v>10</v>
      </c>
      <c r="C1002" s="2">
        <v>46102.990061388889</v>
      </c>
      <c r="D1002">
        <v>575</v>
      </c>
      <c r="F1002" s="2">
        <v>46102.698394722225</v>
      </c>
      <c r="G1002" s="3">
        <v>46102</v>
      </c>
      <c r="H1002" t="s">
        <v>120</v>
      </c>
      <c r="I1002">
        <v>16</v>
      </c>
    </row>
    <row r="1003" spans="1:9" x14ac:dyDescent="0.2">
      <c r="A1003" s="16" t="s">
        <v>1166</v>
      </c>
      <c r="B1003" s="16" t="s">
        <v>10</v>
      </c>
      <c r="C1003" s="2">
        <v>46103.210762199073</v>
      </c>
      <c r="D1003">
        <v>3</v>
      </c>
      <c r="F1003" s="2">
        <v>46102.919095532408</v>
      </c>
      <c r="G1003" s="3">
        <v>46102</v>
      </c>
      <c r="H1003" t="s">
        <v>120</v>
      </c>
      <c r="I1003">
        <v>22</v>
      </c>
    </row>
    <row r="1004" spans="1:9" x14ac:dyDescent="0.2">
      <c r="A1004" s="16" t="s">
        <v>1167</v>
      </c>
      <c r="B1004" s="16" t="s">
        <v>10</v>
      </c>
      <c r="C1004" s="2">
        <v>46103.468402638886</v>
      </c>
      <c r="D1004">
        <v>3</v>
      </c>
      <c r="F1004" s="2">
        <v>46103.176735972222</v>
      </c>
      <c r="G1004" s="3">
        <v>46103</v>
      </c>
      <c r="H1004" t="s">
        <v>125</v>
      </c>
      <c r="I1004">
        <v>4</v>
      </c>
    </row>
    <row r="1005" spans="1:9" x14ac:dyDescent="0.2">
      <c r="A1005" s="16" t="s">
        <v>1168</v>
      </c>
      <c r="B1005" s="16" t="s">
        <v>10</v>
      </c>
      <c r="C1005" s="2">
        <v>46103.468600925924</v>
      </c>
      <c r="D1005">
        <v>3</v>
      </c>
      <c r="F1005" s="2">
        <v>46103.17693425926</v>
      </c>
      <c r="G1005" s="3">
        <v>46103</v>
      </c>
      <c r="H1005" t="s">
        <v>125</v>
      </c>
      <c r="I1005">
        <v>4</v>
      </c>
    </row>
    <row r="1006" spans="1:9" x14ac:dyDescent="0.2">
      <c r="A1006" s="16" t="s">
        <v>1169</v>
      </c>
      <c r="B1006" s="16" t="s">
        <v>10</v>
      </c>
      <c r="C1006" s="2">
        <v>46103.469651608793</v>
      </c>
      <c r="D1006">
        <v>2</v>
      </c>
      <c r="F1006" s="2">
        <v>46103.177984942129</v>
      </c>
      <c r="G1006" s="3">
        <v>46103</v>
      </c>
      <c r="H1006" t="s">
        <v>125</v>
      </c>
      <c r="I1006">
        <v>4</v>
      </c>
    </row>
    <row r="1007" spans="1:9" x14ac:dyDescent="0.2">
      <c r="A1007" s="16" t="s">
        <v>1170</v>
      </c>
      <c r="B1007" s="16" t="s">
        <v>10</v>
      </c>
      <c r="C1007" s="2">
        <v>46103.475049479166</v>
      </c>
      <c r="D1007">
        <v>531</v>
      </c>
      <c r="F1007" s="2">
        <v>46103.183382812502</v>
      </c>
      <c r="G1007" s="3">
        <v>46103</v>
      </c>
      <c r="H1007" t="s">
        <v>125</v>
      </c>
      <c r="I1007">
        <v>4</v>
      </c>
    </row>
    <row r="1008" spans="1:9" x14ac:dyDescent="0.2">
      <c r="A1008" s="16" t="s">
        <v>1171</v>
      </c>
      <c r="B1008" s="16" t="s">
        <v>10</v>
      </c>
      <c r="C1008" s="2">
        <v>46103.495603900461</v>
      </c>
      <c r="D1008">
        <v>531</v>
      </c>
      <c r="E1008" s="7" t="s">
        <v>31</v>
      </c>
      <c r="F1008" s="2">
        <v>46103.203937233797</v>
      </c>
      <c r="G1008" s="3">
        <v>46103</v>
      </c>
      <c r="H1008" t="s">
        <v>125</v>
      </c>
      <c r="I1008">
        <v>4</v>
      </c>
    </row>
    <row r="1009" spans="1:9" x14ac:dyDescent="0.2">
      <c r="A1009" s="16" t="s">
        <v>1172</v>
      </c>
      <c r="B1009" s="16" t="s">
        <v>10</v>
      </c>
      <c r="C1009" s="2">
        <v>46103.503232546296</v>
      </c>
      <c r="D1009">
        <v>531</v>
      </c>
      <c r="E1009" s="7" t="s">
        <v>31</v>
      </c>
      <c r="F1009" s="2">
        <v>46103.211565879632</v>
      </c>
      <c r="G1009" s="3">
        <v>46103</v>
      </c>
      <c r="H1009" t="s">
        <v>125</v>
      </c>
      <c r="I1009">
        <v>5</v>
      </c>
    </row>
    <row r="1010" spans="1:9" x14ac:dyDescent="0.2">
      <c r="A1010" s="16" t="s">
        <v>1173</v>
      </c>
      <c r="B1010" s="16" t="s">
        <v>10</v>
      </c>
      <c r="C1010" s="2">
        <v>46103.593313113422</v>
      </c>
      <c r="D1010">
        <v>531</v>
      </c>
      <c r="E1010" s="7" t="s">
        <v>275</v>
      </c>
      <c r="F1010" s="2">
        <v>46103.301646446758</v>
      </c>
      <c r="G1010" s="3">
        <v>46103</v>
      </c>
      <c r="H1010" t="s">
        <v>125</v>
      </c>
      <c r="I1010">
        <v>7</v>
      </c>
    </row>
    <row r="1011" spans="1:9" x14ac:dyDescent="0.2">
      <c r="A1011" s="16" t="s">
        <v>1174</v>
      </c>
      <c r="B1011" s="16" t="s">
        <v>10</v>
      </c>
      <c r="C1011" s="2">
        <v>46103.611841192127</v>
      </c>
      <c r="D1011">
        <v>531</v>
      </c>
      <c r="E1011" s="7" t="s">
        <v>1175</v>
      </c>
      <c r="F1011" s="2">
        <v>46103.320174525463</v>
      </c>
      <c r="G1011" s="3">
        <v>46103</v>
      </c>
      <c r="H1011" t="s">
        <v>125</v>
      </c>
      <c r="I1011">
        <v>7</v>
      </c>
    </row>
    <row r="1012" spans="1:9" x14ac:dyDescent="0.2">
      <c r="A1012" s="16" t="s">
        <v>1176</v>
      </c>
      <c r="B1012" s="16" t="s">
        <v>10</v>
      </c>
      <c r="C1012" s="2">
        <v>46103.671348506941</v>
      </c>
      <c r="D1012">
        <v>3</v>
      </c>
      <c r="F1012" s="2">
        <v>46103.379681840277</v>
      </c>
      <c r="G1012" s="3">
        <v>46103</v>
      </c>
      <c r="H1012" t="s">
        <v>125</v>
      </c>
      <c r="I1012">
        <v>9</v>
      </c>
    </row>
    <row r="1013" spans="1:9" x14ac:dyDescent="0.2">
      <c r="A1013" s="16" t="s">
        <v>1177</v>
      </c>
      <c r="B1013" s="16" t="s">
        <v>10</v>
      </c>
      <c r="C1013" s="2">
        <v>46103.674721261574</v>
      </c>
      <c r="D1013">
        <v>35</v>
      </c>
      <c r="F1013" s="2">
        <v>46103.383054594909</v>
      </c>
      <c r="G1013" s="3">
        <v>46103</v>
      </c>
      <c r="H1013" t="s">
        <v>125</v>
      </c>
      <c r="I1013">
        <v>9</v>
      </c>
    </row>
    <row r="1014" spans="1:9" x14ac:dyDescent="0.2">
      <c r="A1014" s="16" t="s">
        <v>1178</v>
      </c>
      <c r="B1014" s="16" t="s">
        <v>10</v>
      </c>
      <c r="C1014" s="2">
        <v>46103.681660601855</v>
      </c>
      <c r="D1014">
        <v>3</v>
      </c>
      <c r="E1014" s="7" t="s">
        <v>990</v>
      </c>
      <c r="F1014" s="2">
        <v>46103.389993935183</v>
      </c>
      <c r="G1014" s="3">
        <v>46103</v>
      </c>
      <c r="H1014" t="s">
        <v>125</v>
      </c>
      <c r="I1014">
        <v>9</v>
      </c>
    </row>
    <row r="1015" spans="1:9" x14ac:dyDescent="0.2">
      <c r="A1015" s="16" t="s">
        <v>1179</v>
      </c>
      <c r="B1015" s="16" t="s">
        <v>10</v>
      </c>
      <c r="C1015" s="2">
        <v>46103.682083553242</v>
      </c>
      <c r="D1015">
        <v>3</v>
      </c>
      <c r="E1015" s="7" t="s">
        <v>1180</v>
      </c>
      <c r="F1015" s="2">
        <v>46103.390416886577</v>
      </c>
      <c r="G1015" s="3">
        <v>46103</v>
      </c>
      <c r="H1015" t="s">
        <v>125</v>
      </c>
      <c r="I1015">
        <v>9</v>
      </c>
    </row>
    <row r="1016" spans="1:9" x14ac:dyDescent="0.2">
      <c r="A1016" s="16" t="s">
        <v>1267</v>
      </c>
      <c r="B1016" s="16" t="s">
        <v>10</v>
      </c>
      <c r="C1016" s="2">
        <v>46103.753342222219</v>
      </c>
      <c r="D1016">
        <v>3</v>
      </c>
      <c r="F1016" s="2">
        <v>46103.461675555554</v>
      </c>
      <c r="G1016" s="3">
        <v>46103</v>
      </c>
      <c r="H1016" t="s">
        <v>125</v>
      </c>
      <c r="I1016">
        <v>11</v>
      </c>
    </row>
    <row r="1017" spans="1:9" x14ac:dyDescent="0.2">
      <c r="A1017" s="16" t="s">
        <v>1268</v>
      </c>
      <c r="B1017" s="16" t="s">
        <v>10</v>
      </c>
      <c r="C1017" s="2">
        <v>46103.906425416666</v>
      </c>
      <c r="D1017">
        <v>531</v>
      </c>
      <c r="E1017" s="7" t="s">
        <v>89</v>
      </c>
      <c r="F1017" s="2">
        <v>46103.614758750002</v>
      </c>
      <c r="G1017" s="3">
        <v>46103</v>
      </c>
      <c r="H1017" t="s">
        <v>125</v>
      </c>
      <c r="I1017">
        <v>14</v>
      </c>
    </row>
    <row r="1018" spans="1:9" x14ac:dyDescent="0.2">
      <c r="A1018" s="16" t="s">
        <v>1269</v>
      </c>
      <c r="B1018" s="16" t="s">
        <v>10</v>
      </c>
      <c r="C1018" s="2">
        <v>46103.987017210646</v>
      </c>
      <c r="D1018">
        <v>531</v>
      </c>
      <c r="F1018" s="2">
        <v>46103.695350543981</v>
      </c>
      <c r="G1018" s="3">
        <v>46103</v>
      </c>
      <c r="H1018" t="s">
        <v>125</v>
      </c>
      <c r="I1018">
        <v>16</v>
      </c>
    </row>
    <row r="1019" spans="1:9" x14ac:dyDescent="0.2">
      <c r="A1019" s="16" t="s">
        <v>1270</v>
      </c>
      <c r="B1019" s="16" t="s">
        <v>10</v>
      </c>
      <c r="C1019" s="2">
        <v>46104.3227468287</v>
      </c>
      <c r="D1019">
        <v>575</v>
      </c>
      <c r="F1019" s="2">
        <v>46104.031080162036</v>
      </c>
      <c r="G1019" s="3">
        <v>46104</v>
      </c>
      <c r="H1019" t="s">
        <v>11</v>
      </c>
      <c r="I1019">
        <v>0</v>
      </c>
    </row>
    <row r="1020" spans="1:9" x14ac:dyDescent="0.2">
      <c r="A1020" s="16" t="s">
        <v>1271</v>
      </c>
      <c r="B1020" s="16" t="s">
        <v>10</v>
      </c>
      <c r="C1020" s="2">
        <v>46104.389749108799</v>
      </c>
      <c r="D1020">
        <v>3</v>
      </c>
      <c r="F1020" s="2">
        <v>46104.098082442128</v>
      </c>
      <c r="G1020" s="3">
        <v>46104</v>
      </c>
      <c r="H1020" t="s">
        <v>11</v>
      </c>
      <c r="I1020">
        <v>2</v>
      </c>
    </row>
    <row r="1021" spans="1:9" x14ac:dyDescent="0.2">
      <c r="A1021" s="16" t="s">
        <v>1272</v>
      </c>
      <c r="B1021" s="16" t="s">
        <v>10</v>
      </c>
      <c r="C1021" s="2">
        <v>46104.549907754626</v>
      </c>
      <c r="D1021">
        <v>1</v>
      </c>
      <c r="F1021" s="2">
        <v>46104.258241087962</v>
      </c>
      <c r="G1021" s="3">
        <v>46104</v>
      </c>
      <c r="H1021" t="s">
        <v>11</v>
      </c>
      <c r="I1021">
        <v>6</v>
      </c>
    </row>
    <row r="1022" spans="1:9" x14ac:dyDescent="0.2">
      <c r="A1022" s="16" t="s">
        <v>1273</v>
      </c>
      <c r="B1022" s="16" t="s">
        <v>10</v>
      </c>
      <c r="C1022" s="2">
        <v>46104.648427002314</v>
      </c>
      <c r="D1022">
        <v>575</v>
      </c>
      <c r="F1022" s="2">
        <v>46104.35676033565</v>
      </c>
      <c r="G1022" s="3">
        <v>46104</v>
      </c>
      <c r="H1022" t="s">
        <v>11</v>
      </c>
      <c r="I1022">
        <v>8</v>
      </c>
    </row>
    <row r="1023" spans="1:9" x14ac:dyDescent="0.2">
      <c r="A1023" s="16" t="s">
        <v>1274</v>
      </c>
      <c r="B1023" s="16" t="s">
        <v>10</v>
      </c>
      <c r="C1023" s="2">
        <v>46104.697347083333</v>
      </c>
      <c r="D1023">
        <v>575</v>
      </c>
      <c r="F1023" s="2">
        <v>46104.405680416668</v>
      </c>
      <c r="G1023" s="3">
        <v>46104</v>
      </c>
      <c r="H1023" t="s">
        <v>11</v>
      </c>
      <c r="I1023">
        <v>9</v>
      </c>
    </row>
    <row r="1024" spans="1:9" x14ac:dyDescent="0.2">
      <c r="A1024" s="16" t="s">
        <v>1278</v>
      </c>
      <c r="B1024" s="16" t="s">
        <v>10</v>
      </c>
      <c r="C1024" s="2">
        <v>46104.711560266202</v>
      </c>
      <c r="D1024">
        <v>3</v>
      </c>
      <c r="F1024" s="2">
        <v>46104.419893599537</v>
      </c>
      <c r="G1024" s="3">
        <v>46104</v>
      </c>
      <c r="H1024" t="s">
        <v>11</v>
      </c>
      <c r="I1024">
        <v>10</v>
      </c>
    </row>
    <row r="1025" spans="1:9" x14ac:dyDescent="0.2">
      <c r="A1025" s="16" t="s">
        <v>1279</v>
      </c>
      <c r="B1025" s="16" t="s">
        <v>10</v>
      </c>
      <c r="C1025" s="2">
        <v>46104.720968182868</v>
      </c>
      <c r="D1025">
        <v>575</v>
      </c>
      <c r="E1025" s="7" t="s">
        <v>1280</v>
      </c>
      <c r="F1025" s="2">
        <v>46104.429301516204</v>
      </c>
      <c r="G1025" s="3">
        <v>46104</v>
      </c>
      <c r="H1025" t="s">
        <v>11</v>
      </c>
      <c r="I1025">
        <v>10</v>
      </c>
    </row>
    <row r="1026" spans="1:9" x14ac:dyDescent="0.2">
      <c r="A1026" s="16" t="s">
        <v>1281</v>
      </c>
      <c r="B1026" s="16" t="s">
        <v>10</v>
      </c>
      <c r="C1026" s="2">
        <v>46104.722799212963</v>
      </c>
      <c r="D1026">
        <v>575</v>
      </c>
      <c r="F1026" s="2">
        <v>46104.431132546299</v>
      </c>
      <c r="G1026" s="3">
        <v>46104</v>
      </c>
      <c r="H1026" t="s">
        <v>11</v>
      </c>
      <c r="I1026">
        <v>10</v>
      </c>
    </row>
    <row r="1027" spans="1:9" x14ac:dyDescent="0.2">
      <c r="A1027" s="16" t="s">
        <v>1282</v>
      </c>
      <c r="B1027" s="16" t="s">
        <v>10</v>
      </c>
      <c r="C1027" s="2">
        <v>46104.727812106481</v>
      </c>
      <c r="D1027">
        <v>3</v>
      </c>
      <c r="E1027" s="7" t="s">
        <v>267</v>
      </c>
      <c r="F1027" s="2">
        <v>46104.436145439817</v>
      </c>
      <c r="G1027" s="3">
        <v>46104</v>
      </c>
      <c r="H1027" t="s">
        <v>11</v>
      </c>
      <c r="I1027">
        <v>10</v>
      </c>
    </row>
    <row r="1028" spans="1:9" x14ac:dyDescent="0.2">
      <c r="A1028" s="16" t="s">
        <v>1283</v>
      </c>
      <c r="B1028" s="16" t="s">
        <v>10</v>
      </c>
      <c r="C1028" s="2">
        <v>46104.863372951389</v>
      </c>
      <c r="D1028">
        <v>531</v>
      </c>
      <c r="F1028" s="2">
        <v>46104.571706284725</v>
      </c>
      <c r="G1028" s="3">
        <v>46104</v>
      </c>
      <c r="H1028" t="s">
        <v>11</v>
      </c>
      <c r="I1028">
        <v>13</v>
      </c>
    </row>
    <row r="1029" spans="1:9" x14ac:dyDescent="0.2">
      <c r="A1029" s="16" t="s">
        <v>1284</v>
      </c>
      <c r="B1029" s="16" t="s">
        <v>10</v>
      </c>
      <c r="C1029" s="2">
        <v>46104.933948113423</v>
      </c>
      <c r="D1029">
        <v>3</v>
      </c>
      <c r="E1029" s="7" t="s">
        <v>709</v>
      </c>
      <c r="F1029" s="2">
        <v>46104.642281446759</v>
      </c>
      <c r="G1029" s="3">
        <v>46104</v>
      </c>
      <c r="H1029" t="s">
        <v>11</v>
      </c>
      <c r="I1029">
        <v>15</v>
      </c>
    </row>
    <row r="1030" spans="1:9" x14ac:dyDescent="0.2">
      <c r="A1030" s="16" t="s">
        <v>1285</v>
      </c>
      <c r="B1030" s="16" t="s">
        <v>10</v>
      </c>
      <c r="C1030" s="2">
        <v>46104.935878842596</v>
      </c>
      <c r="D1030">
        <v>3</v>
      </c>
      <c r="F1030" s="2">
        <v>46104.644212175925</v>
      </c>
      <c r="G1030" s="3">
        <v>46104</v>
      </c>
      <c r="H1030" t="s">
        <v>11</v>
      </c>
      <c r="I1030">
        <v>15</v>
      </c>
    </row>
    <row r="1031" spans="1:9" x14ac:dyDescent="0.2">
      <c r="A1031" s="16" t="s">
        <v>1286</v>
      </c>
      <c r="B1031" s="16" t="s">
        <v>10</v>
      </c>
      <c r="C1031" s="2">
        <v>46104.959911967591</v>
      </c>
      <c r="D1031">
        <v>5</v>
      </c>
      <c r="E1031" s="7" t="s">
        <v>709</v>
      </c>
      <c r="F1031" s="2">
        <v>46104.668245300927</v>
      </c>
      <c r="G1031" s="3">
        <v>46104</v>
      </c>
      <c r="H1031" t="s">
        <v>11</v>
      </c>
      <c r="I1031">
        <v>16</v>
      </c>
    </row>
    <row r="1032" spans="1:9" x14ac:dyDescent="0.2">
      <c r="A1032" s="16" t="s">
        <v>1287</v>
      </c>
      <c r="B1032" s="16" t="s">
        <v>10</v>
      </c>
      <c r="C1032" s="2">
        <v>46105.043822106483</v>
      </c>
      <c r="D1032">
        <v>2</v>
      </c>
      <c r="E1032" s="7" t="s">
        <v>613</v>
      </c>
      <c r="F1032" s="2">
        <v>46104.752155439812</v>
      </c>
      <c r="G1032" s="3">
        <v>46104</v>
      </c>
      <c r="H1032" t="s">
        <v>11</v>
      </c>
      <c r="I1032">
        <v>18</v>
      </c>
    </row>
    <row r="1033" spans="1:9" x14ac:dyDescent="0.2">
      <c r="A1033" s="16" t="s">
        <v>1288</v>
      </c>
      <c r="B1033" s="16" t="s">
        <v>10</v>
      </c>
      <c r="C1033" s="2">
        <v>46105.046435995369</v>
      </c>
      <c r="D1033">
        <v>3</v>
      </c>
      <c r="F1033" s="2">
        <v>46104.754769328705</v>
      </c>
      <c r="G1033" s="3">
        <v>46104</v>
      </c>
      <c r="H1033" t="s">
        <v>11</v>
      </c>
      <c r="I1033">
        <v>18</v>
      </c>
    </row>
    <row r="1034" spans="1:9" x14ac:dyDescent="0.2">
      <c r="A1034" s="16" t="s">
        <v>1289</v>
      </c>
      <c r="B1034" s="16" t="s">
        <v>10</v>
      </c>
      <c r="C1034" s="2">
        <v>46105.058931493055</v>
      </c>
      <c r="D1034">
        <v>5</v>
      </c>
      <c r="E1034" s="7" t="s">
        <v>709</v>
      </c>
      <c r="F1034" s="2">
        <v>46104.767264826391</v>
      </c>
      <c r="G1034" s="3">
        <v>46104</v>
      </c>
      <c r="H1034" t="s">
        <v>11</v>
      </c>
      <c r="I1034">
        <v>18</v>
      </c>
    </row>
    <row r="1035" spans="1:9" x14ac:dyDescent="0.2">
      <c r="A1035" s="16" t="s">
        <v>1290</v>
      </c>
      <c r="B1035" s="16" t="s">
        <v>10</v>
      </c>
      <c r="C1035" s="2">
        <v>46105.106195439817</v>
      </c>
      <c r="D1035">
        <v>5</v>
      </c>
      <c r="E1035" s="7" t="s">
        <v>709</v>
      </c>
      <c r="F1035" s="2">
        <v>46104.814528773146</v>
      </c>
      <c r="G1035" s="3">
        <v>46104</v>
      </c>
      <c r="H1035" t="s">
        <v>11</v>
      </c>
      <c r="I1035">
        <v>19</v>
      </c>
    </row>
    <row r="1036" spans="1:9" x14ac:dyDescent="0.2">
      <c r="A1036" s="16" t="s">
        <v>1291</v>
      </c>
      <c r="B1036" s="16" t="s">
        <v>10</v>
      </c>
      <c r="C1036" s="2">
        <v>46105.10626818287</v>
      </c>
      <c r="D1036">
        <v>36</v>
      </c>
      <c r="E1036" s="7" t="s">
        <v>613</v>
      </c>
      <c r="F1036" s="2">
        <v>46104.814601516206</v>
      </c>
      <c r="G1036" s="3">
        <v>46104</v>
      </c>
      <c r="H1036" t="s">
        <v>11</v>
      </c>
      <c r="I1036">
        <v>19</v>
      </c>
    </row>
    <row r="1037" spans="1:9" x14ac:dyDescent="0.2">
      <c r="A1037" s="16" t="s">
        <v>1292</v>
      </c>
      <c r="B1037" s="16" t="s">
        <v>10</v>
      </c>
      <c r="C1037" s="2">
        <v>46105.296520763892</v>
      </c>
      <c r="D1037">
        <v>531</v>
      </c>
      <c r="E1037" s="7" t="s">
        <v>34</v>
      </c>
      <c r="F1037" s="2">
        <v>46105.00485409722</v>
      </c>
      <c r="G1037" s="3">
        <v>46105</v>
      </c>
      <c r="H1037" t="s">
        <v>28</v>
      </c>
      <c r="I1037">
        <v>0</v>
      </c>
    </row>
    <row r="1038" spans="1:9" x14ac:dyDescent="0.2">
      <c r="A1038" s="16" t="s">
        <v>1293</v>
      </c>
      <c r="B1038" s="16" t="s">
        <v>10</v>
      </c>
      <c r="C1038" s="2">
        <v>46105.338615486115</v>
      </c>
      <c r="D1038">
        <v>3</v>
      </c>
      <c r="E1038" s="7" t="s">
        <v>1294</v>
      </c>
      <c r="F1038" s="2">
        <v>46105.046948819443</v>
      </c>
      <c r="G1038" s="3">
        <v>46105</v>
      </c>
      <c r="H1038" t="s">
        <v>28</v>
      </c>
      <c r="I1038">
        <v>1</v>
      </c>
    </row>
    <row r="1039" spans="1:9" x14ac:dyDescent="0.2">
      <c r="A1039" s="16" t="s">
        <v>1295</v>
      </c>
      <c r="B1039" s="16" t="s">
        <v>10</v>
      </c>
      <c r="C1039" s="2">
        <v>46105.404223287034</v>
      </c>
      <c r="D1039">
        <v>531</v>
      </c>
      <c r="E1039" s="7" t="s">
        <v>31</v>
      </c>
      <c r="F1039" s="2">
        <v>46105.11255662037</v>
      </c>
      <c r="G1039" s="3">
        <v>46105</v>
      </c>
      <c r="H1039" t="s">
        <v>28</v>
      </c>
      <c r="I1039">
        <v>2</v>
      </c>
    </row>
    <row r="1040" spans="1:9" x14ac:dyDescent="0.2">
      <c r="A1040" s="16" t="s">
        <v>1296</v>
      </c>
      <c r="B1040" s="16" t="s">
        <v>10</v>
      </c>
      <c r="C1040" s="2">
        <v>46105.411896087964</v>
      </c>
      <c r="D1040">
        <v>2</v>
      </c>
      <c r="F1040" s="2">
        <v>46105.1202294213</v>
      </c>
      <c r="G1040" s="3">
        <v>46105</v>
      </c>
      <c r="H1040" t="s">
        <v>28</v>
      </c>
      <c r="I1040">
        <v>2</v>
      </c>
    </row>
    <row r="1041" spans="1:9" x14ac:dyDescent="0.2">
      <c r="A1041" s="16" t="s">
        <v>1297</v>
      </c>
      <c r="B1041" s="16" t="s">
        <v>10</v>
      </c>
      <c r="C1041" s="2">
        <v>46105.420724675925</v>
      </c>
      <c r="D1041">
        <v>531</v>
      </c>
      <c r="E1041" s="7" t="s">
        <v>275</v>
      </c>
      <c r="F1041" s="2">
        <v>46105.129058009261</v>
      </c>
      <c r="G1041" s="3">
        <v>46105</v>
      </c>
      <c r="H1041" t="s">
        <v>28</v>
      </c>
      <c r="I1041">
        <v>3</v>
      </c>
    </row>
    <row r="1042" spans="1:9" x14ac:dyDescent="0.2">
      <c r="A1042" s="16" t="s">
        <v>1298</v>
      </c>
      <c r="B1042" s="16" t="s">
        <v>10</v>
      </c>
      <c r="C1042" s="2">
        <v>46105.423109895833</v>
      </c>
      <c r="D1042">
        <v>1</v>
      </c>
      <c r="F1042" s="2">
        <v>46105.131443229169</v>
      </c>
      <c r="G1042" s="3">
        <v>46105</v>
      </c>
      <c r="H1042" t="s">
        <v>28</v>
      </c>
      <c r="I1042">
        <v>3</v>
      </c>
    </row>
    <row r="1043" spans="1:9" x14ac:dyDescent="0.2">
      <c r="A1043" s="16" t="s">
        <v>1299</v>
      </c>
      <c r="B1043" s="16" t="s">
        <v>10</v>
      </c>
      <c r="C1043" s="2">
        <v>46105.450344039353</v>
      </c>
      <c r="D1043">
        <v>575</v>
      </c>
      <c r="F1043" s="2">
        <v>46105.158677372689</v>
      </c>
      <c r="G1043" s="3">
        <v>46105</v>
      </c>
      <c r="H1043" t="s">
        <v>28</v>
      </c>
      <c r="I1043">
        <v>3</v>
      </c>
    </row>
    <row r="1044" spans="1:9" x14ac:dyDescent="0.2">
      <c r="A1044" s="16" t="s">
        <v>1300</v>
      </c>
      <c r="B1044" s="16" t="s">
        <v>10</v>
      </c>
      <c r="C1044" s="2">
        <v>46105.451446122686</v>
      </c>
      <c r="D1044">
        <v>3</v>
      </c>
      <c r="F1044" s="2">
        <v>46105.159779456022</v>
      </c>
      <c r="G1044" s="3">
        <v>46105</v>
      </c>
      <c r="H1044" t="s">
        <v>28</v>
      </c>
      <c r="I1044">
        <v>3</v>
      </c>
    </row>
    <row r="1045" spans="1:9" x14ac:dyDescent="0.2">
      <c r="A1045" s="16" t="s">
        <v>1301</v>
      </c>
      <c r="B1045" s="16" t="s">
        <v>10</v>
      </c>
      <c r="C1045" s="2">
        <v>46105.453006597221</v>
      </c>
      <c r="D1045">
        <v>3</v>
      </c>
      <c r="E1045" s="7" t="s">
        <v>1302</v>
      </c>
      <c r="F1045" s="2">
        <v>46105.161339930557</v>
      </c>
      <c r="G1045" s="3">
        <v>46105</v>
      </c>
      <c r="H1045" t="s">
        <v>28</v>
      </c>
      <c r="I1045">
        <v>3</v>
      </c>
    </row>
    <row r="1046" spans="1:9" x14ac:dyDescent="0.2">
      <c r="A1046" s="16" t="s">
        <v>1303</v>
      </c>
      <c r="B1046" s="16" t="s">
        <v>10</v>
      </c>
      <c r="C1046" s="2">
        <v>46105.463571932873</v>
      </c>
      <c r="D1046">
        <v>575</v>
      </c>
      <c r="E1046" s="7" t="s">
        <v>89</v>
      </c>
      <c r="F1046" s="2">
        <v>46105.171905266201</v>
      </c>
      <c r="G1046" s="3">
        <v>46105</v>
      </c>
      <c r="H1046" t="s">
        <v>28</v>
      </c>
      <c r="I1046">
        <v>4</v>
      </c>
    </row>
    <row r="1047" spans="1:9" x14ac:dyDescent="0.2">
      <c r="A1047" s="16" t="s">
        <v>1304</v>
      </c>
      <c r="B1047" s="16" t="s">
        <v>10</v>
      </c>
      <c r="C1047" s="2">
        <v>46105.463603078701</v>
      </c>
      <c r="D1047">
        <v>3</v>
      </c>
      <c r="F1047" s="2">
        <v>46105.171936412036</v>
      </c>
      <c r="G1047" s="3">
        <v>46105</v>
      </c>
      <c r="H1047" t="s">
        <v>28</v>
      </c>
      <c r="I1047">
        <v>4</v>
      </c>
    </row>
    <row r="1048" spans="1:9" x14ac:dyDescent="0.2">
      <c r="A1048" s="16" t="s">
        <v>1305</v>
      </c>
      <c r="B1048" s="16" t="s">
        <v>10</v>
      </c>
      <c r="C1048" s="2">
        <v>46105.496175057873</v>
      </c>
      <c r="D1048">
        <v>35</v>
      </c>
      <c r="F1048" s="2">
        <v>46105.204508391202</v>
      </c>
      <c r="G1048" s="3">
        <v>46105</v>
      </c>
      <c r="H1048" t="s">
        <v>28</v>
      </c>
      <c r="I1048">
        <v>4</v>
      </c>
    </row>
    <row r="1049" spans="1:9" x14ac:dyDescent="0.2">
      <c r="A1049" s="16" t="s">
        <v>1306</v>
      </c>
      <c r="B1049" s="16" t="s">
        <v>10</v>
      </c>
      <c r="C1049" s="2">
        <v>46105.499283819445</v>
      </c>
      <c r="D1049">
        <v>531</v>
      </c>
      <c r="E1049" s="7" t="s">
        <v>34</v>
      </c>
      <c r="F1049" s="2">
        <v>46105.207617152781</v>
      </c>
      <c r="G1049" s="3">
        <v>46105</v>
      </c>
      <c r="H1049" t="s">
        <v>28</v>
      </c>
      <c r="I1049">
        <v>4</v>
      </c>
    </row>
    <row r="1050" spans="1:9" x14ac:dyDescent="0.2">
      <c r="A1050" s="16" t="s">
        <v>1307</v>
      </c>
      <c r="B1050" s="16" t="s">
        <v>10</v>
      </c>
      <c r="C1050" s="2">
        <v>46105.501609930558</v>
      </c>
      <c r="D1050">
        <v>575</v>
      </c>
      <c r="E1050" s="7" t="s">
        <v>34</v>
      </c>
      <c r="F1050" s="2">
        <v>46105.209943263886</v>
      </c>
      <c r="G1050" s="3">
        <v>46105</v>
      </c>
      <c r="H1050" t="s">
        <v>28</v>
      </c>
      <c r="I1050">
        <v>5</v>
      </c>
    </row>
    <row r="1051" spans="1:9" x14ac:dyDescent="0.2">
      <c r="A1051" s="16" t="s">
        <v>1308</v>
      </c>
      <c r="B1051" s="16" t="s">
        <v>10</v>
      </c>
      <c r="C1051" s="2">
        <v>46105.525591666665</v>
      </c>
      <c r="D1051">
        <v>3</v>
      </c>
      <c r="F1051" s="2">
        <v>46105.233925</v>
      </c>
      <c r="G1051" s="3">
        <v>46105</v>
      </c>
      <c r="H1051" t="s">
        <v>28</v>
      </c>
      <c r="I1051">
        <v>5</v>
      </c>
    </row>
    <row r="1052" spans="1:9" x14ac:dyDescent="0.2">
      <c r="A1052" s="16" t="s">
        <v>1309</v>
      </c>
      <c r="B1052" s="16" t="s">
        <v>10</v>
      </c>
      <c r="C1052" s="2">
        <v>46105.543075069443</v>
      </c>
      <c r="D1052">
        <v>575</v>
      </c>
      <c r="E1052" s="7" t="s">
        <v>89</v>
      </c>
      <c r="F1052" s="2">
        <v>46105.251408402779</v>
      </c>
      <c r="G1052" s="3">
        <v>46105</v>
      </c>
      <c r="H1052" t="s">
        <v>28</v>
      </c>
      <c r="I1052">
        <v>6</v>
      </c>
    </row>
    <row r="1053" spans="1:9" x14ac:dyDescent="0.2">
      <c r="A1053" s="16" t="s">
        <v>1310</v>
      </c>
      <c r="B1053" s="16" t="s">
        <v>10</v>
      </c>
      <c r="C1053" s="2">
        <v>46105.543702442126</v>
      </c>
      <c r="D1053">
        <v>575</v>
      </c>
      <c r="F1053" s="2">
        <v>46105.252035775462</v>
      </c>
      <c r="G1053" s="3">
        <v>46105</v>
      </c>
      <c r="H1053" t="s">
        <v>28</v>
      </c>
      <c r="I1053">
        <v>6</v>
      </c>
    </row>
    <row r="1054" spans="1:9" x14ac:dyDescent="0.2">
      <c r="A1054" s="16" t="s">
        <v>1311</v>
      </c>
      <c r="B1054" s="16" t="s">
        <v>10</v>
      </c>
      <c r="C1054" s="2">
        <v>46105.57983263889</v>
      </c>
      <c r="D1054">
        <v>3</v>
      </c>
      <c r="F1054" s="2">
        <v>46105.288165972219</v>
      </c>
      <c r="G1054" s="3">
        <v>46105</v>
      </c>
      <c r="H1054" t="s">
        <v>28</v>
      </c>
      <c r="I1054">
        <v>6</v>
      </c>
    </row>
    <row r="1055" spans="1:9" x14ac:dyDescent="0.2">
      <c r="A1055" s="16" t="s">
        <v>1312</v>
      </c>
      <c r="B1055" s="16" t="s">
        <v>10</v>
      </c>
      <c r="C1055" s="2">
        <v>46105.593718263888</v>
      </c>
      <c r="D1055">
        <v>2</v>
      </c>
      <c r="F1055" s="2">
        <v>46105.302051597224</v>
      </c>
      <c r="G1055" s="3">
        <v>46105</v>
      </c>
      <c r="H1055" t="s">
        <v>28</v>
      </c>
      <c r="I1055">
        <v>7</v>
      </c>
    </row>
    <row r="1056" spans="1:9" x14ac:dyDescent="0.2">
      <c r="A1056" s="16" t="s">
        <v>1313</v>
      </c>
      <c r="B1056" s="16" t="s">
        <v>10</v>
      </c>
      <c r="C1056" s="2">
        <v>46105.646764155092</v>
      </c>
      <c r="D1056">
        <v>5</v>
      </c>
      <c r="E1056" s="7" t="s">
        <v>709</v>
      </c>
      <c r="F1056" s="2">
        <v>46105.355097488427</v>
      </c>
      <c r="G1056" s="3">
        <v>46105</v>
      </c>
      <c r="H1056" t="s">
        <v>28</v>
      </c>
      <c r="I1056">
        <v>8</v>
      </c>
    </row>
    <row r="1057" spans="1:9" x14ac:dyDescent="0.2">
      <c r="A1057" s="16" t="s">
        <v>1314</v>
      </c>
      <c r="B1057" s="16" t="s">
        <v>10</v>
      </c>
      <c r="C1057" s="2">
        <v>46105.668830185183</v>
      </c>
      <c r="D1057">
        <v>3</v>
      </c>
      <c r="F1057" s="2">
        <v>46105.377163518519</v>
      </c>
      <c r="G1057" s="3">
        <v>46105</v>
      </c>
      <c r="H1057" t="s">
        <v>28</v>
      </c>
      <c r="I1057">
        <v>9</v>
      </c>
    </row>
    <row r="1058" spans="1:9" x14ac:dyDescent="0.2">
      <c r="A1058" s="16" t="s">
        <v>1319</v>
      </c>
      <c r="B1058" s="16" t="s">
        <v>10</v>
      </c>
      <c r="C1058" s="2">
        <v>46105.711148796297</v>
      </c>
      <c r="D1058">
        <v>575</v>
      </c>
      <c r="E1058" s="7" t="s">
        <v>89</v>
      </c>
      <c r="F1058" s="2">
        <v>46105.419482129633</v>
      </c>
      <c r="G1058" s="3">
        <v>46105</v>
      </c>
      <c r="H1058" t="s">
        <v>28</v>
      </c>
      <c r="I1058">
        <v>10</v>
      </c>
    </row>
    <row r="1059" spans="1:9" x14ac:dyDescent="0.2">
      <c r="A1059" s="16" t="s">
        <v>1320</v>
      </c>
      <c r="B1059" s="16" t="s">
        <v>10</v>
      </c>
      <c r="C1059" s="2">
        <v>46105.88569422454</v>
      </c>
      <c r="D1059">
        <v>531</v>
      </c>
      <c r="E1059" s="7" t="s">
        <v>709</v>
      </c>
      <c r="F1059" s="2">
        <v>46105.594027557869</v>
      </c>
      <c r="G1059" s="3">
        <v>46105</v>
      </c>
      <c r="H1059" t="s">
        <v>28</v>
      </c>
      <c r="I1059">
        <v>14</v>
      </c>
    </row>
    <row r="1060" spans="1:9" x14ac:dyDescent="0.2">
      <c r="A1060" s="16" t="s">
        <v>1321</v>
      </c>
      <c r="B1060" s="16" t="s">
        <v>10</v>
      </c>
      <c r="C1060" s="2">
        <v>46105.887712118056</v>
      </c>
      <c r="D1060">
        <v>3</v>
      </c>
      <c r="F1060" s="2">
        <v>46105.596045451392</v>
      </c>
      <c r="G1060" s="3">
        <v>46105</v>
      </c>
      <c r="H1060" t="s">
        <v>28</v>
      </c>
      <c r="I1060">
        <v>14</v>
      </c>
    </row>
    <row r="1061" spans="1:9" x14ac:dyDescent="0.2">
      <c r="A1061" s="16" t="s">
        <v>1322</v>
      </c>
      <c r="B1061" s="16" t="s">
        <v>10</v>
      </c>
      <c r="C1061" s="2">
        <v>46105.887809548614</v>
      </c>
      <c r="D1061">
        <v>3</v>
      </c>
      <c r="E1061" s="7" t="s">
        <v>60</v>
      </c>
      <c r="F1061" s="2">
        <v>46105.596142881943</v>
      </c>
      <c r="G1061" s="3">
        <v>46105</v>
      </c>
      <c r="H1061" t="s">
        <v>28</v>
      </c>
      <c r="I1061">
        <v>14</v>
      </c>
    </row>
    <row r="1062" spans="1:9" x14ac:dyDescent="0.2">
      <c r="A1062" s="16" t="s">
        <v>1323</v>
      </c>
      <c r="B1062" s="16" t="s">
        <v>10</v>
      </c>
      <c r="C1062" s="2">
        <v>46105.904056874999</v>
      </c>
      <c r="D1062">
        <v>531</v>
      </c>
      <c r="F1062" s="2">
        <v>46105.612390208335</v>
      </c>
      <c r="G1062" s="3">
        <v>46105</v>
      </c>
      <c r="H1062" t="s">
        <v>28</v>
      </c>
      <c r="I1062">
        <v>14</v>
      </c>
    </row>
    <row r="1063" spans="1:9" x14ac:dyDescent="0.2">
      <c r="A1063" s="16" t="s">
        <v>1324</v>
      </c>
      <c r="B1063" s="16" t="s">
        <v>10</v>
      </c>
      <c r="C1063" s="2">
        <v>46105.919936840277</v>
      </c>
      <c r="D1063">
        <v>531</v>
      </c>
      <c r="E1063" s="7" t="s">
        <v>709</v>
      </c>
      <c r="F1063" s="2">
        <v>46105.628270173613</v>
      </c>
      <c r="G1063" s="3">
        <v>46105</v>
      </c>
      <c r="H1063" t="s">
        <v>28</v>
      </c>
      <c r="I1063">
        <v>15</v>
      </c>
    </row>
    <row r="1064" spans="1:9" x14ac:dyDescent="0.2">
      <c r="A1064" s="16" t="s">
        <v>1325</v>
      </c>
      <c r="B1064" s="16" t="s">
        <v>10</v>
      </c>
      <c r="C1064" s="2">
        <v>46105.964968773151</v>
      </c>
      <c r="D1064">
        <v>531</v>
      </c>
      <c r="E1064" s="7" t="s">
        <v>709</v>
      </c>
      <c r="F1064" s="2">
        <v>46105.673302106479</v>
      </c>
      <c r="G1064" s="3">
        <v>46105</v>
      </c>
      <c r="H1064" t="s">
        <v>28</v>
      </c>
      <c r="I1064">
        <v>16</v>
      </c>
    </row>
    <row r="1065" spans="1:9" x14ac:dyDescent="0.2">
      <c r="A1065" s="16" t="s">
        <v>1326</v>
      </c>
      <c r="B1065" s="16" t="s">
        <v>10</v>
      </c>
      <c r="C1065" s="2">
        <v>46106.033690856479</v>
      </c>
      <c r="D1065">
        <v>531</v>
      </c>
      <c r="E1065" s="7" t="s">
        <v>709</v>
      </c>
      <c r="F1065" s="2">
        <v>46105.742024189814</v>
      </c>
      <c r="G1065" s="3">
        <v>46105</v>
      </c>
      <c r="H1065" t="s">
        <v>28</v>
      </c>
      <c r="I1065">
        <v>17</v>
      </c>
    </row>
    <row r="1066" spans="1:9" x14ac:dyDescent="0.2">
      <c r="A1066" s="16" t="s">
        <v>1327</v>
      </c>
      <c r="B1066" s="16" t="s">
        <v>10</v>
      </c>
      <c r="C1066" s="2">
        <v>46106.084664988426</v>
      </c>
      <c r="D1066">
        <v>531</v>
      </c>
      <c r="E1066" s="7" t="s">
        <v>709</v>
      </c>
      <c r="F1066" s="2">
        <v>46105.792998321762</v>
      </c>
      <c r="G1066" s="3">
        <v>46105</v>
      </c>
      <c r="H1066" t="s">
        <v>28</v>
      </c>
      <c r="I1066">
        <v>19</v>
      </c>
    </row>
    <row r="1067" spans="1:9" x14ac:dyDescent="0.2">
      <c r="A1067" s="16" t="s">
        <v>1328</v>
      </c>
      <c r="B1067" s="16" t="s">
        <v>10</v>
      </c>
      <c r="C1067" s="2">
        <v>46106.32637516204</v>
      </c>
      <c r="D1067">
        <v>36</v>
      </c>
      <c r="F1067" s="2">
        <v>46106.034708495368</v>
      </c>
      <c r="G1067" s="3">
        <v>46106</v>
      </c>
      <c r="H1067" t="s">
        <v>63</v>
      </c>
      <c r="I1067">
        <v>0</v>
      </c>
    </row>
    <row r="1068" spans="1:9" x14ac:dyDescent="0.2">
      <c r="A1068" s="16" t="s">
        <v>1329</v>
      </c>
      <c r="B1068" s="16" t="s">
        <v>10</v>
      </c>
      <c r="C1068" s="2">
        <v>46106.330663182867</v>
      </c>
      <c r="D1068">
        <v>3</v>
      </c>
      <c r="E1068" s="7" t="s">
        <v>1115</v>
      </c>
      <c r="F1068" s="2">
        <v>46106.038996516203</v>
      </c>
      <c r="G1068" s="3">
        <v>46106</v>
      </c>
      <c r="H1068" t="s">
        <v>63</v>
      </c>
      <c r="I1068">
        <v>0</v>
      </c>
    </row>
    <row r="1069" spans="1:9" x14ac:dyDescent="0.2">
      <c r="A1069" s="16" t="s">
        <v>1330</v>
      </c>
      <c r="B1069" s="16" t="s">
        <v>10</v>
      </c>
      <c r="C1069" s="2">
        <v>46106.33376134259</v>
      </c>
      <c r="D1069">
        <v>3</v>
      </c>
      <c r="E1069" s="7" t="s">
        <v>1115</v>
      </c>
      <c r="F1069" s="2">
        <v>46106.042094675926</v>
      </c>
      <c r="G1069" s="3">
        <v>46106</v>
      </c>
      <c r="H1069" t="s">
        <v>63</v>
      </c>
      <c r="I1069">
        <v>1</v>
      </c>
    </row>
    <row r="1070" spans="1:9" x14ac:dyDescent="0.2">
      <c r="A1070" s="16" t="s">
        <v>1331</v>
      </c>
      <c r="B1070" s="16" t="s">
        <v>10</v>
      </c>
      <c r="C1070" s="2">
        <v>46106.354134108798</v>
      </c>
      <c r="D1070">
        <v>36</v>
      </c>
      <c r="F1070" s="2">
        <v>46106.062467442127</v>
      </c>
      <c r="G1070" s="3">
        <v>46106</v>
      </c>
      <c r="H1070" t="s">
        <v>63</v>
      </c>
      <c r="I1070">
        <v>1</v>
      </c>
    </row>
    <row r="1071" spans="1:9" x14ac:dyDescent="0.2">
      <c r="A1071" s="16" t="s">
        <v>1332</v>
      </c>
      <c r="B1071" s="16" t="s">
        <v>10</v>
      </c>
      <c r="C1071" s="2">
        <v>46106.449750266205</v>
      </c>
      <c r="D1071">
        <v>36</v>
      </c>
      <c r="F1071" s="2">
        <v>46106.158083599534</v>
      </c>
      <c r="G1071" s="3">
        <v>46106</v>
      </c>
      <c r="H1071" t="s">
        <v>63</v>
      </c>
      <c r="I1071">
        <v>3</v>
      </c>
    </row>
    <row r="1072" spans="1:9" x14ac:dyDescent="0.2">
      <c r="A1072" s="16" t="s">
        <v>1333</v>
      </c>
      <c r="B1072" s="16" t="s">
        <v>10</v>
      </c>
      <c r="C1072" s="2">
        <v>46106.468030787037</v>
      </c>
      <c r="D1072">
        <v>2</v>
      </c>
      <c r="E1072" s="7" t="s">
        <v>1334</v>
      </c>
      <c r="F1072" s="2">
        <v>46106.176364120372</v>
      </c>
      <c r="G1072" s="3">
        <v>46106</v>
      </c>
      <c r="H1072" t="s">
        <v>63</v>
      </c>
      <c r="I1072">
        <v>4</v>
      </c>
    </row>
    <row r="1073" spans="1:9" x14ac:dyDescent="0.2">
      <c r="A1073" s="16" t="s">
        <v>1335</v>
      </c>
      <c r="B1073" s="16" t="s">
        <v>10</v>
      </c>
      <c r="C1073" s="2">
        <v>46106.47683796296</v>
      </c>
      <c r="D1073">
        <v>593</v>
      </c>
      <c r="F1073" s="2">
        <v>46106.185171296296</v>
      </c>
      <c r="G1073" s="3">
        <v>46106</v>
      </c>
      <c r="H1073" t="s">
        <v>63</v>
      </c>
      <c r="I1073">
        <v>4</v>
      </c>
    </row>
    <row r="1074" spans="1:9" x14ac:dyDescent="0.2">
      <c r="A1074" s="16" t="s">
        <v>1336</v>
      </c>
      <c r="B1074" s="16" t="s">
        <v>10</v>
      </c>
      <c r="C1074" s="2">
        <v>46106.518391724538</v>
      </c>
      <c r="D1074">
        <v>36</v>
      </c>
      <c r="F1074" s="2">
        <v>46106.226725057873</v>
      </c>
      <c r="G1074" s="3">
        <v>46106</v>
      </c>
      <c r="H1074" t="s">
        <v>63</v>
      </c>
      <c r="I1074">
        <v>5</v>
      </c>
    </row>
    <row r="1075" spans="1:9" x14ac:dyDescent="0.2">
      <c r="A1075" s="16" t="s">
        <v>1337</v>
      </c>
      <c r="B1075" s="16" t="s">
        <v>10</v>
      </c>
      <c r="C1075" s="2">
        <v>46106.571522129627</v>
      </c>
      <c r="D1075">
        <v>3</v>
      </c>
      <c r="F1075" s="2">
        <v>46106.279855462963</v>
      </c>
      <c r="G1075" s="3">
        <v>46106</v>
      </c>
      <c r="H1075" t="s">
        <v>63</v>
      </c>
      <c r="I1075">
        <v>6</v>
      </c>
    </row>
    <row r="1076" spans="1:9" x14ac:dyDescent="0.2">
      <c r="A1076" s="16" t="s">
        <v>1338</v>
      </c>
      <c r="B1076" s="16" t="s">
        <v>10</v>
      </c>
      <c r="C1076" s="2">
        <v>46106.625753472224</v>
      </c>
      <c r="D1076">
        <v>3</v>
      </c>
      <c r="E1076" s="7" t="s">
        <v>709</v>
      </c>
      <c r="F1076" s="2">
        <v>46106.334086805553</v>
      </c>
      <c r="G1076" s="3">
        <v>46106</v>
      </c>
      <c r="H1076" t="s">
        <v>63</v>
      </c>
      <c r="I1076">
        <v>8</v>
      </c>
    </row>
    <row r="1077" spans="1:9" x14ac:dyDescent="0.2">
      <c r="A1077" s="16" t="s">
        <v>1339</v>
      </c>
      <c r="B1077" s="16" t="s">
        <v>10</v>
      </c>
      <c r="C1077" s="2">
        <v>46106.632238622682</v>
      </c>
      <c r="D1077">
        <v>575</v>
      </c>
      <c r="F1077" s="2">
        <v>46106.340571956018</v>
      </c>
      <c r="G1077" s="3">
        <v>46106</v>
      </c>
      <c r="H1077" t="s">
        <v>63</v>
      </c>
      <c r="I1077">
        <v>8</v>
      </c>
    </row>
    <row r="1078" spans="1:9" x14ac:dyDescent="0.2">
      <c r="A1078" s="16" t="s">
        <v>1374</v>
      </c>
      <c r="B1078" s="16" t="s">
        <v>10</v>
      </c>
      <c r="C1078" s="2">
        <v>46106.638987442129</v>
      </c>
      <c r="D1078">
        <v>531</v>
      </c>
      <c r="E1078" s="7" t="s">
        <v>709</v>
      </c>
      <c r="F1078" s="2">
        <v>46106.347320775465</v>
      </c>
      <c r="G1078" s="3">
        <v>46106</v>
      </c>
      <c r="H1078" t="s">
        <v>63</v>
      </c>
      <c r="I1078">
        <v>8</v>
      </c>
    </row>
    <row r="1079" spans="1:9" x14ac:dyDescent="0.2">
      <c r="A1079" s="16" t="s">
        <v>1340</v>
      </c>
      <c r="B1079" s="16" t="s">
        <v>10</v>
      </c>
      <c r="C1079" s="2">
        <v>46106.680528912038</v>
      </c>
      <c r="D1079">
        <v>531</v>
      </c>
      <c r="E1079" s="7" t="s">
        <v>89</v>
      </c>
      <c r="F1079" s="2">
        <v>46106.388862245367</v>
      </c>
      <c r="G1079" s="3">
        <v>46106</v>
      </c>
      <c r="H1079" t="s">
        <v>63</v>
      </c>
      <c r="I1079">
        <v>9</v>
      </c>
    </row>
    <row r="1080" spans="1:9" x14ac:dyDescent="0.2">
      <c r="A1080" s="16" t="s">
        <v>1343</v>
      </c>
      <c r="B1080" s="16" t="s">
        <v>10</v>
      </c>
      <c r="C1080" s="2">
        <v>46106.705131053241</v>
      </c>
      <c r="D1080">
        <v>531</v>
      </c>
      <c r="E1080" s="7" t="s">
        <v>89</v>
      </c>
      <c r="F1080" s="2">
        <v>46106.413464386576</v>
      </c>
      <c r="G1080" s="3">
        <v>46106</v>
      </c>
      <c r="H1080" t="s">
        <v>63</v>
      </c>
      <c r="I1080">
        <v>9</v>
      </c>
    </row>
    <row r="1081" spans="1:9" x14ac:dyDescent="0.2">
      <c r="A1081" s="16" t="s">
        <v>1344</v>
      </c>
      <c r="B1081" s="16" t="s">
        <v>10</v>
      </c>
      <c r="C1081" s="2">
        <v>46106.712643171297</v>
      </c>
      <c r="D1081">
        <v>1</v>
      </c>
      <c r="E1081" s="7" t="s">
        <v>1115</v>
      </c>
      <c r="F1081" s="2">
        <v>46106.420976504633</v>
      </c>
      <c r="G1081" s="3">
        <v>46106</v>
      </c>
      <c r="H1081" t="s">
        <v>63</v>
      </c>
      <c r="I1081">
        <v>10</v>
      </c>
    </row>
    <row r="1082" spans="1:9" x14ac:dyDescent="0.2">
      <c r="A1082" s="16" t="s">
        <v>1345</v>
      </c>
      <c r="B1082" s="16" t="s">
        <v>10</v>
      </c>
      <c r="C1082" s="2">
        <v>46106.717769606483</v>
      </c>
      <c r="D1082">
        <v>575</v>
      </c>
      <c r="E1082" s="7" t="s">
        <v>60</v>
      </c>
      <c r="F1082" s="2">
        <v>46106.426102939811</v>
      </c>
      <c r="G1082" s="3">
        <v>46106</v>
      </c>
      <c r="H1082" t="s">
        <v>63</v>
      </c>
      <c r="I1082">
        <v>10</v>
      </c>
    </row>
    <row r="1083" spans="1:9" x14ac:dyDescent="0.2">
      <c r="A1083" s="16" t="s">
        <v>1346</v>
      </c>
      <c r="B1083" s="16" t="s">
        <v>10</v>
      </c>
      <c r="C1083" s="2">
        <v>46106.723203182868</v>
      </c>
      <c r="D1083">
        <v>531</v>
      </c>
      <c r="E1083" s="7" t="s">
        <v>89</v>
      </c>
      <c r="F1083" s="2">
        <v>46106.431536516204</v>
      </c>
      <c r="G1083" s="3">
        <v>46106</v>
      </c>
      <c r="H1083" t="s">
        <v>63</v>
      </c>
      <c r="I1083">
        <v>10</v>
      </c>
    </row>
    <row r="1084" spans="1:9" x14ac:dyDescent="0.2">
      <c r="A1084" s="16" t="s">
        <v>1347</v>
      </c>
      <c r="B1084" s="16" t="s">
        <v>10</v>
      </c>
      <c r="C1084" s="2">
        <v>46106.95060275463</v>
      </c>
      <c r="D1084">
        <v>3</v>
      </c>
      <c r="E1084" s="7" t="s">
        <v>60</v>
      </c>
      <c r="F1084" s="2">
        <v>46106.658936087966</v>
      </c>
      <c r="G1084" s="3">
        <v>46106</v>
      </c>
      <c r="H1084" t="s">
        <v>63</v>
      </c>
      <c r="I1084">
        <v>15</v>
      </c>
    </row>
    <row r="1085" spans="1:9" x14ac:dyDescent="0.2">
      <c r="A1085" s="16" t="s">
        <v>1348</v>
      </c>
      <c r="B1085" s="16" t="s">
        <v>10</v>
      </c>
      <c r="C1085" s="2">
        <v>46106.954307835651</v>
      </c>
      <c r="D1085">
        <v>531</v>
      </c>
      <c r="F1085" s="2">
        <v>46106.662641168979</v>
      </c>
      <c r="G1085" s="3">
        <v>46106</v>
      </c>
      <c r="H1085" t="s">
        <v>63</v>
      </c>
      <c r="I1085">
        <v>15</v>
      </c>
    </row>
    <row r="1086" spans="1:9" x14ac:dyDescent="0.2">
      <c r="A1086" s="16" t="s">
        <v>1349</v>
      </c>
      <c r="B1086" s="16" t="s">
        <v>10</v>
      </c>
      <c r="C1086" s="2">
        <v>46106.961066261574</v>
      </c>
      <c r="D1086">
        <v>4</v>
      </c>
      <c r="E1086" s="7" t="s">
        <v>60</v>
      </c>
      <c r="F1086" s="2">
        <v>46106.66939959491</v>
      </c>
      <c r="G1086" s="3">
        <v>46106</v>
      </c>
      <c r="H1086" t="s">
        <v>63</v>
      </c>
      <c r="I1086">
        <v>16</v>
      </c>
    </row>
    <row r="1087" spans="1:9" x14ac:dyDescent="0.2">
      <c r="A1087" s="16" t="s">
        <v>1350</v>
      </c>
      <c r="B1087" s="16" t="s">
        <v>10</v>
      </c>
      <c r="C1087" s="2">
        <v>46107.292439745368</v>
      </c>
      <c r="D1087">
        <v>891</v>
      </c>
      <c r="F1087" s="2">
        <v>46107.000773078704</v>
      </c>
      <c r="G1087" s="3">
        <v>46107</v>
      </c>
      <c r="H1087" t="s">
        <v>95</v>
      </c>
      <c r="I1087">
        <v>0</v>
      </c>
    </row>
    <row r="1088" spans="1:9" x14ac:dyDescent="0.2">
      <c r="A1088" s="16" t="s">
        <v>1351</v>
      </c>
      <c r="B1088" s="16" t="s">
        <v>10</v>
      </c>
      <c r="C1088" s="2">
        <v>46107.39035115741</v>
      </c>
      <c r="D1088">
        <v>1</v>
      </c>
      <c r="E1088" s="7" t="s">
        <v>1115</v>
      </c>
      <c r="F1088" s="2">
        <v>46107.098684490738</v>
      </c>
      <c r="G1088" s="3">
        <v>46107</v>
      </c>
      <c r="H1088" t="s">
        <v>95</v>
      </c>
      <c r="I1088">
        <v>2</v>
      </c>
    </row>
    <row r="1089" spans="1:9" x14ac:dyDescent="0.2">
      <c r="A1089" s="16" t="s">
        <v>1352</v>
      </c>
      <c r="B1089" s="16" t="s">
        <v>10</v>
      </c>
      <c r="C1089" s="2">
        <v>46107.44612310185</v>
      </c>
      <c r="D1089">
        <v>3</v>
      </c>
      <c r="F1089" s="2">
        <v>46107.154456435186</v>
      </c>
      <c r="G1089" s="3">
        <v>46107</v>
      </c>
      <c r="H1089" t="s">
        <v>95</v>
      </c>
      <c r="I1089">
        <v>3</v>
      </c>
    </row>
    <row r="1090" spans="1:9" x14ac:dyDescent="0.2">
      <c r="A1090" s="16" t="s">
        <v>1353</v>
      </c>
      <c r="B1090" s="16" t="s">
        <v>10</v>
      </c>
      <c r="C1090" s="2">
        <v>46107.460546840281</v>
      </c>
      <c r="D1090">
        <v>3</v>
      </c>
      <c r="F1090" s="2">
        <v>46107.168880173609</v>
      </c>
      <c r="G1090" s="3">
        <v>46107</v>
      </c>
      <c r="H1090" t="s">
        <v>95</v>
      </c>
      <c r="I1090">
        <v>4</v>
      </c>
    </row>
    <row r="1091" spans="1:9" x14ac:dyDescent="0.2">
      <c r="A1091" s="16" t="s">
        <v>1354</v>
      </c>
      <c r="B1091" s="16" t="s">
        <v>10</v>
      </c>
      <c r="C1091" s="2">
        <v>46107.500777997688</v>
      </c>
      <c r="D1091">
        <v>1</v>
      </c>
      <c r="F1091" s="2">
        <v>46107.209111331016</v>
      </c>
      <c r="G1091" s="3">
        <v>46107</v>
      </c>
      <c r="H1091" t="s">
        <v>95</v>
      </c>
      <c r="I1091">
        <v>5</v>
      </c>
    </row>
    <row r="1092" spans="1:9" x14ac:dyDescent="0.2">
      <c r="A1092" s="16" t="s">
        <v>1355</v>
      </c>
      <c r="B1092" s="16" t="s">
        <v>10</v>
      </c>
      <c r="C1092" s="2">
        <v>46107.510817025461</v>
      </c>
      <c r="D1092">
        <v>891</v>
      </c>
      <c r="F1092" s="2">
        <v>46107.219150358796</v>
      </c>
      <c r="G1092" s="3">
        <v>46107</v>
      </c>
      <c r="H1092" t="s">
        <v>95</v>
      </c>
      <c r="I1092">
        <v>5</v>
      </c>
    </row>
    <row r="1093" spans="1:9" x14ac:dyDescent="0.2">
      <c r="A1093" s="16" t="s">
        <v>1356</v>
      </c>
      <c r="B1093" s="16" t="s">
        <v>10</v>
      </c>
      <c r="C1093" s="2">
        <v>46107.575537546298</v>
      </c>
      <c r="D1093">
        <v>531</v>
      </c>
      <c r="F1093" s="2">
        <v>46107.283870879626</v>
      </c>
      <c r="G1093" s="3">
        <v>46107</v>
      </c>
      <c r="H1093" t="s">
        <v>95</v>
      </c>
      <c r="I1093">
        <v>6</v>
      </c>
    </row>
    <row r="1094" spans="1:9" x14ac:dyDescent="0.2">
      <c r="A1094" s="16" t="s">
        <v>1357</v>
      </c>
      <c r="B1094" s="16" t="s">
        <v>10</v>
      </c>
      <c r="C1094" s="2">
        <v>46107.59436412037</v>
      </c>
      <c r="D1094">
        <v>575</v>
      </c>
      <c r="E1094" s="7" t="s">
        <v>582</v>
      </c>
      <c r="F1094" s="2">
        <v>46107.302697453706</v>
      </c>
      <c r="G1094" s="3">
        <v>46107</v>
      </c>
      <c r="H1094" t="s">
        <v>95</v>
      </c>
      <c r="I1094">
        <v>7</v>
      </c>
    </row>
    <row r="1095" spans="1:9" x14ac:dyDescent="0.2">
      <c r="A1095" s="16" t="s">
        <v>1358</v>
      </c>
      <c r="B1095" s="16" t="s">
        <v>10</v>
      </c>
      <c r="C1095" s="2">
        <v>46107.607034791668</v>
      </c>
      <c r="D1095">
        <v>3</v>
      </c>
      <c r="F1095" s="2">
        <v>46107.315368124997</v>
      </c>
      <c r="G1095" s="3">
        <v>46107</v>
      </c>
      <c r="H1095" t="s">
        <v>95</v>
      </c>
      <c r="I1095">
        <v>7</v>
      </c>
    </row>
    <row r="1096" spans="1:9" x14ac:dyDescent="0.2">
      <c r="A1096" s="16" t="s">
        <v>1359</v>
      </c>
      <c r="B1096" s="16" t="s">
        <v>10</v>
      </c>
      <c r="C1096" s="2">
        <v>46107.631538553243</v>
      </c>
      <c r="D1096">
        <v>531</v>
      </c>
      <c r="F1096" s="2">
        <v>46107.339871886572</v>
      </c>
      <c r="G1096" s="3">
        <v>46107</v>
      </c>
      <c r="H1096" t="s">
        <v>95</v>
      </c>
      <c r="I1096">
        <v>8</v>
      </c>
    </row>
    <row r="1097" spans="1:9" x14ac:dyDescent="0.2">
      <c r="A1097" s="16" t="s">
        <v>1360</v>
      </c>
      <c r="B1097" s="16" t="s">
        <v>10</v>
      </c>
      <c r="C1097" s="2">
        <v>46107.68575665509</v>
      </c>
      <c r="D1097">
        <v>891</v>
      </c>
      <c r="F1097" s="2">
        <v>46107.394089988426</v>
      </c>
      <c r="G1097" s="3">
        <v>46107</v>
      </c>
      <c r="H1097" t="s">
        <v>95</v>
      </c>
      <c r="I1097">
        <v>9</v>
      </c>
    </row>
    <row r="1098" spans="1:9" x14ac:dyDescent="0.2">
      <c r="A1098" s="16" t="s">
        <v>1364</v>
      </c>
      <c r="B1098" s="16" t="s">
        <v>10</v>
      </c>
      <c r="C1098" s="2">
        <v>46107.708744942131</v>
      </c>
      <c r="D1098">
        <v>531</v>
      </c>
      <c r="F1098" s="2">
        <v>46107.417078275466</v>
      </c>
      <c r="G1098" s="3">
        <v>46107</v>
      </c>
      <c r="H1098" t="s">
        <v>95</v>
      </c>
      <c r="I1098">
        <v>10</v>
      </c>
    </row>
    <row r="1099" spans="1:9" x14ac:dyDescent="0.2">
      <c r="A1099" s="16" t="s">
        <v>1365</v>
      </c>
      <c r="B1099" s="16" t="s">
        <v>10</v>
      </c>
      <c r="C1099" s="2">
        <v>46107.986115300926</v>
      </c>
      <c r="D1099">
        <v>531</v>
      </c>
      <c r="F1099" s="2">
        <v>46107.694448634262</v>
      </c>
      <c r="G1099" s="3">
        <v>46107</v>
      </c>
      <c r="H1099" t="s">
        <v>95</v>
      </c>
      <c r="I1099">
        <v>16</v>
      </c>
    </row>
    <row r="1100" spans="1:9" x14ac:dyDescent="0.2">
      <c r="A1100" s="16" t="s">
        <v>1366</v>
      </c>
      <c r="B1100" s="16" t="s">
        <v>10</v>
      </c>
      <c r="C1100" s="2">
        <v>46108.168776597224</v>
      </c>
      <c r="D1100">
        <v>3</v>
      </c>
      <c r="F1100" s="2">
        <v>46107.877109930552</v>
      </c>
      <c r="G1100" s="3">
        <v>46107</v>
      </c>
      <c r="H1100" t="s">
        <v>95</v>
      </c>
      <c r="I1100">
        <v>21</v>
      </c>
    </row>
    <row r="1101" spans="1:9" x14ac:dyDescent="0.2">
      <c r="A1101" s="16" t="s">
        <v>1367</v>
      </c>
      <c r="B1101" s="16" t="s">
        <v>10</v>
      </c>
      <c r="C1101" s="2">
        <v>46108.278416469904</v>
      </c>
      <c r="D1101">
        <v>575</v>
      </c>
      <c r="E1101" s="7" t="s">
        <v>582</v>
      </c>
      <c r="F1101" s="2">
        <v>46107.98674980324</v>
      </c>
      <c r="G1101" s="3">
        <v>46107</v>
      </c>
      <c r="H1101" t="s">
        <v>95</v>
      </c>
      <c r="I1101">
        <v>23</v>
      </c>
    </row>
    <row r="1102" spans="1:9" x14ac:dyDescent="0.2">
      <c r="A1102" s="16" t="s">
        <v>1368</v>
      </c>
      <c r="B1102" s="16" t="s">
        <v>10</v>
      </c>
      <c r="C1102" s="2">
        <v>46108.38528170139</v>
      </c>
      <c r="D1102">
        <v>531</v>
      </c>
      <c r="F1102" s="2">
        <v>46108.093615034719</v>
      </c>
      <c r="G1102" s="3">
        <v>46108</v>
      </c>
      <c r="H1102" t="s">
        <v>115</v>
      </c>
      <c r="I1102">
        <v>2</v>
      </c>
    </row>
    <row r="1103" spans="1:9" x14ac:dyDescent="0.2">
      <c r="A1103" s="16" t="s">
        <v>1369</v>
      </c>
      <c r="B1103" s="16" t="s">
        <v>10</v>
      </c>
      <c r="C1103" s="2">
        <v>46108.472763333331</v>
      </c>
      <c r="D1103">
        <v>3</v>
      </c>
      <c r="F1103" s="2">
        <v>46108.181096666667</v>
      </c>
      <c r="G1103" s="3">
        <v>46108</v>
      </c>
      <c r="H1103" t="s">
        <v>115</v>
      </c>
      <c r="I1103">
        <v>4</v>
      </c>
    </row>
    <row r="1104" spans="1:9" x14ac:dyDescent="0.2">
      <c r="A1104" s="16" t="s">
        <v>1370</v>
      </c>
      <c r="B1104" s="16" t="s">
        <v>10</v>
      </c>
      <c r="C1104" s="2">
        <v>46108.516784247688</v>
      </c>
      <c r="D1104">
        <v>531</v>
      </c>
      <c r="F1104" s="2">
        <v>46108.225117581016</v>
      </c>
      <c r="G1104" s="3">
        <v>46108</v>
      </c>
      <c r="H1104" t="s">
        <v>115</v>
      </c>
      <c r="I1104">
        <v>5</v>
      </c>
    </row>
    <row r="1105" spans="1:9" x14ac:dyDescent="0.2">
      <c r="A1105" s="16" t="s">
        <v>1375</v>
      </c>
      <c r="B1105" s="16" t="s">
        <v>10</v>
      </c>
      <c r="C1105" s="2">
        <v>46108.711080057874</v>
      </c>
      <c r="D1105">
        <v>3</v>
      </c>
      <c r="F1105" s="2">
        <v>46108.419413391202</v>
      </c>
      <c r="G1105" s="3">
        <v>46108</v>
      </c>
      <c r="H1105" t="s">
        <v>115</v>
      </c>
      <c r="I1105">
        <v>10</v>
      </c>
    </row>
    <row r="1106" spans="1:9" x14ac:dyDescent="0.2">
      <c r="A1106" s="16" t="s">
        <v>1376</v>
      </c>
      <c r="B1106" s="16" t="s">
        <v>10</v>
      </c>
      <c r="C1106" s="2">
        <v>46108.764624780095</v>
      </c>
      <c r="D1106">
        <v>3</v>
      </c>
      <c r="F1106" s="2">
        <v>46108.472958113423</v>
      </c>
      <c r="G1106" s="3">
        <v>46108</v>
      </c>
      <c r="H1106" t="s">
        <v>115</v>
      </c>
      <c r="I1106">
        <v>11</v>
      </c>
    </row>
    <row r="1107" spans="1:9" x14ac:dyDescent="0.2">
      <c r="A1107" s="16" t="s">
        <v>1377</v>
      </c>
      <c r="B1107" s="16" t="s">
        <v>10</v>
      </c>
      <c r="C1107" s="2">
        <v>46108.906764664353</v>
      </c>
      <c r="D1107">
        <v>3</v>
      </c>
      <c r="F1107" s="2">
        <v>46108.615097997688</v>
      </c>
      <c r="G1107" s="3">
        <v>46108</v>
      </c>
      <c r="H1107" t="s">
        <v>115</v>
      </c>
      <c r="I1107">
        <v>14</v>
      </c>
    </row>
    <row r="1108" spans="1:9" x14ac:dyDescent="0.2">
      <c r="A1108" s="16" t="s">
        <v>1378</v>
      </c>
      <c r="B1108" s="16" t="s">
        <v>10</v>
      </c>
      <c r="C1108" s="2">
        <v>46108.907201817128</v>
      </c>
      <c r="D1108">
        <v>531</v>
      </c>
      <c r="E1108" s="7" t="s">
        <v>1379</v>
      </c>
      <c r="F1108" s="2">
        <v>46108.615535150464</v>
      </c>
      <c r="G1108" s="3">
        <v>46108</v>
      </c>
      <c r="H1108" t="s">
        <v>115</v>
      </c>
      <c r="I1108">
        <v>14</v>
      </c>
    </row>
    <row r="1109" spans="1:9" x14ac:dyDescent="0.2">
      <c r="A1109" s="16" t="s">
        <v>1380</v>
      </c>
      <c r="B1109" s="16" t="s">
        <v>10</v>
      </c>
      <c r="C1109" s="2">
        <v>46108.917906631941</v>
      </c>
      <c r="D1109">
        <v>531</v>
      </c>
      <c r="E1109" s="7" t="s">
        <v>1379</v>
      </c>
      <c r="F1109" s="2">
        <v>46108.626239965277</v>
      </c>
      <c r="G1109" s="3">
        <v>46108</v>
      </c>
      <c r="H1109" t="s">
        <v>115</v>
      </c>
      <c r="I1109">
        <v>15</v>
      </c>
    </row>
    <row r="1110" spans="1:9" x14ac:dyDescent="0.2">
      <c r="A1110" s="16" t="s">
        <v>1381</v>
      </c>
      <c r="B1110" s="16" t="s">
        <v>10</v>
      </c>
      <c r="C1110" s="2">
        <v>46109.007922314813</v>
      </c>
      <c r="D1110">
        <v>3</v>
      </c>
      <c r="F1110" s="2">
        <v>46108.716255648149</v>
      </c>
      <c r="G1110" s="3">
        <v>46108</v>
      </c>
      <c r="H1110" t="s">
        <v>115</v>
      </c>
      <c r="I1110">
        <v>17</v>
      </c>
    </row>
    <row r="1111" spans="1:9" x14ac:dyDescent="0.2">
      <c r="A1111" s="16" t="s">
        <v>1382</v>
      </c>
      <c r="B1111" s="16" t="s">
        <v>10</v>
      </c>
      <c r="C1111" s="2">
        <v>46109.601040162037</v>
      </c>
      <c r="D1111">
        <v>531</v>
      </c>
      <c r="E1111" s="7" t="s">
        <v>275</v>
      </c>
      <c r="F1111" s="2">
        <v>46109.309373495373</v>
      </c>
      <c r="G1111" s="3">
        <v>46109</v>
      </c>
      <c r="H1111" t="s">
        <v>120</v>
      </c>
      <c r="I1111">
        <v>7</v>
      </c>
    </row>
    <row r="1112" spans="1:9" x14ac:dyDescent="0.2">
      <c r="A1112" s="16" t="s">
        <v>1383</v>
      </c>
      <c r="B1112" s="16" t="s">
        <v>10</v>
      </c>
      <c r="C1112" s="2">
        <v>46109.602806886571</v>
      </c>
      <c r="D1112">
        <v>531</v>
      </c>
      <c r="E1112" s="7" t="s">
        <v>31</v>
      </c>
      <c r="F1112" s="2">
        <v>46109.311140219907</v>
      </c>
      <c r="G1112" s="3">
        <v>46109</v>
      </c>
      <c r="H1112" t="s">
        <v>120</v>
      </c>
      <c r="I1112">
        <v>7</v>
      </c>
    </row>
    <row r="1113" spans="1:9" x14ac:dyDescent="0.2">
      <c r="A1113" s="16" t="s">
        <v>1384</v>
      </c>
      <c r="B1113" s="16" t="s">
        <v>10</v>
      </c>
      <c r="C1113" s="2">
        <v>46109.697956932869</v>
      </c>
      <c r="D1113">
        <v>3</v>
      </c>
      <c r="E1113" s="7" t="s">
        <v>1385</v>
      </c>
      <c r="F1113" s="2">
        <v>46109.406290266204</v>
      </c>
      <c r="G1113" s="3">
        <v>46109</v>
      </c>
      <c r="H1113" t="s">
        <v>120</v>
      </c>
      <c r="I1113">
        <v>9</v>
      </c>
    </row>
    <row r="1114" spans="1:9" x14ac:dyDescent="0.2">
      <c r="A1114" s="16" t="s">
        <v>1386</v>
      </c>
      <c r="B1114" s="16" t="s">
        <v>10</v>
      </c>
      <c r="C1114" s="2">
        <v>46109.700186828704</v>
      </c>
      <c r="D1114">
        <v>531</v>
      </c>
      <c r="F1114" s="2">
        <v>46109.40852016204</v>
      </c>
      <c r="G1114" s="3">
        <v>46109</v>
      </c>
      <c r="H1114" t="s">
        <v>120</v>
      </c>
      <c r="I1114">
        <v>9</v>
      </c>
    </row>
    <row r="1115" spans="1:9" x14ac:dyDescent="0.2">
      <c r="A1115" s="16" t="s">
        <v>1388</v>
      </c>
      <c r="B1115" s="16" t="s">
        <v>10</v>
      </c>
      <c r="C1115" s="2">
        <v>46109.745393495374</v>
      </c>
      <c r="D1115">
        <v>531</v>
      </c>
      <c r="F1115" s="2">
        <v>46109.453726828702</v>
      </c>
      <c r="G1115" s="3">
        <v>46109</v>
      </c>
      <c r="H1115" t="s">
        <v>120</v>
      </c>
      <c r="I1115">
        <v>10</v>
      </c>
    </row>
    <row r="1116" spans="1:9" x14ac:dyDescent="0.2">
      <c r="A1116" s="16" t="s">
        <v>1389</v>
      </c>
      <c r="B1116" s="16" t="s">
        <v>10</v>
      </c>
      <c r="C1116" s="2">
        <v>46109.92667119213</v>
      </c>
      <c r="D1116">
        <v>3</v>
      </c>
      <c r="E1116" s="7" t="s">
        <v>728</v>
      </c>
      <c r="F1116" s="2">
        <v>46109.635004525466</v>
      </c>
      <c r="G1116" s="3">
        <v>46109</v>
      </c>
      <c r="H1116" t="s">
        <v>120</v>
      </c>
      <c r="I1116">
        <v>15</v>
      </c>
    </row>
    <row r="1117" spans="1:9" x14ac:dyDescent="0.2">
      <c r="A1117" s="16" t="s">
        <v>1390</v>
      </c>
      <c r="B1117" s="16" t="s">
        <v>10</v>
      </c>
      <c r="C1117" s="2">
        <v>46110.353296851848</v>
      </c>
      <c r="D1117">
        <v>575</v>
      </c>
      <c r="E1117" s="7" t="s">
        <v>1391</v>
      </c>
      <c r="F1117" s="2">
        <v>46110.061630185184</v>
      </c>
      <c r="G1117" s="3">
        <v>46110</v>
      </c>
      <c r="H1117" t="s">
        <v>125</v>
      </c>
      <c r="I1117">
        <v>1</v>
      </c>
    </row>
    <row r="1118" spans="1:9" x14ac:dyDescent="0.2">
      <c r="A1118" s="16" t="s">
        <v>1392</v>
      </c>
      <c r="B1118" s="16" t="s">
        <v>10</v>
      </c>
      <c r="C1118" s="2">
        <v>46110.606193356478</v>
      </c>
      <c r="D1118">
        <v>3</v>
      </c>
      <c r="F1118" s="2">
        <v>46110.314526689814</v>
      </c>
      <c r="G1118" s="3">
        <v>46110</v>
      </c>
      <c r="H1118" t="s">
        <v>125</v>
      </c>
      <c r="I1118">
        <v>7</v>
      </c>
    </row>
    <row r="1119" spans="1:9" x14ac:dyDescent="0.2">
      <c r="A1119" s="16" t="s">
        <v>1393</v>
      </c>
      <c r="B1119" s="16" t="s">
        <v>10</v>
      </c>
      <c r="C1119" s="2">
        <v>46110.66461240741</v>
      </c>
      <c r="D1119">
        <v>3</v>
      </c>
      <c r="E1119" s="7" t="s">
        <v>1394</v>
      </c>
      <c r="F1119" s="2">
        <v>46110.372945740739</v>
      </c>
      <c r="G1119" s="3">
        <v>46110</v>
      </c>
      <c r="H1119" t="s">
        <v>125</v>
      </c>
      <c r="I1119">
        <v>8</v>
      </c>
    </row>
    <row r="1120" spans="1:9" x14ac:dyDescent="0.2">
      <c r="A1120" s="16" t="s">
        <v>1395</v>
      </c>
      <c r="B1120" s="16" t="s">
        <v>10</v>
      </c>
      <c r="C1120" s="2">
        <v>46110.665861689813</v>
      </c>
      <c r="D1120">
        <v>575</v>
      </c>
      <c r="E1120" s="7" t="s">
        <v>1396</v>
      </c>
      <c r="F1120" s="2">
        <v>46110.374195023149</v>
      </c>
      <c r="G1120" s="3">
        <v>46110</v>
      </c>
      <c r="H1120" t="s">
        <v>125</v>
      </c>
      <c r="I1120">
        <v>8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6CE5DE-FF4E-CF4E-849E-8BD2C137649C}">
  <dimension ref="A1:J93"/>
  <sheetViews>
    <sheetView workbookViewId="0"/>
  </sheetViews>
  <sheetFormatPr baseColWidth="10" defaultRowHeight="15" x14ac:dyDescent="0.2"/>
  <cols>
    <col min="1" max="1" width="15.33203125" bestFit="1" customWidth="1"/>
    <col min="2" max="2" width="13.1640625" bestFit="1" customWidth="1"/>
    <col min="3" max="3" width="12" bestFit="1" customWidth="1"/>
    <col min="4" max="4" width="11.5" bestFit="1" customWidth="1"/>
    <col min="5" max="5" width="19.1640625" bestFit="1" customWidth="1"/>
    <col min="6" max="6" width="19.33203125" bestFit="1" customWidth="1"/>
    <col min="7" max="7" width="14.83203125" bestFit="1" customWidth="1"/>
    <col min="8" max="8" width="15.33203125" bestFit="1" customWidth="1"/>
    <col min="9" max="9" width="17.33203125" bestFit="1" customWidth="1"/>
    <col min="10" max="10" width="34.83203125" bestFit="1" customWidth="1"/>
  </cols>
  <sheetData>
    <row r="1" spans="1:10" x14ac:dyDescent="0.2">
      <c r="A1" t="s">
        <v>1181</v>
      </c>
      <c r="B1" t="s">
        <v>1182</v>
      </c>
      <c r="C1" t="s">
        <v>1183</v>
      </c>
      <c r="D1" t="s">
        <v>1184</v>
      </c>
      <c r="E1" t="s">
        <v>1185</v>
      </c>
      <c r="F1" t="s">
        <v>1186</v>
      </c>
      <c r="G1" t="s">
        <v>1187</v>
      </c>
      <c r="H1" t="s">
        <v>1188</v>
      </c>
      <c r="I1" t="s">
        <v>1189</v>
      </c>
      <c r="J1" t="s">
        <v>1190</v>
      </c>
    </row>
    <row r="2" spans="1:10" x14ac:dyDescent="0.2">
      <c r="A2" s="2">
        <v>46111.583437499998</v>
      </c>
      <c r="B2">
        <v>1112</v>
      </c>
      <c r="C2">
        <v>1119</v>
      </c>
      <c r="D2">
        <v>7</v>
      </c>
      <c r="E2" s="3">
        <v>46087</v>
      </c>
      <c r="F2" s="3">
        <v>46110</v>
      </c>
      <c r="G2">
        <v>2</v>
      </c>
      <c r="H2">
        <v>28.6</v>
      </c>
      <c r="I2">
        <v>1</v>
      </c>
      <c r="J2" t="s">
        <v>1397</v>
      </c>
    </row>
    <row r="3" spans="1:10" x14ac:dyDescent="0.2">
      <c r="A3" s="2">
        <v>46111.375219907408</v>
      </c>
      <c r="B3">
        <v>1112</v>
      </c>
      <c r="C3">
        <v>1112</v>
      </c>
      <c r="D3">
        <v>0</v>
      </c>
      <c r="E3" s="3"/>
      <c r="F3" s="3"/>
      <c r="G3">
        <v>0</v>
      </c>
      <c r="H3">
        <v>0</v>
      </c>
      <c r="I3">
        <v>0</v>
      </c>
      <c r="J3" t="s">
        <v>1195</v>
      </c>
    </row>
    <row r="4" spans="1:10" x14ac:dyDescent="0.2">
      <c r="A4" s="2">
        <v>46110.583437499998</v>
      </c>
      <c r="B4">
        <v>1098</v>
      </c>
      <c r="C4">
        <v>1112</v>
      </c>
      <c r="D4">
        <v>14</v>
      </c>
      <c r="E4" s="3">
        <v>46085</v>
      </c>
      <c r="F4" s="3">
        <v>46109</v>
      </c>
      <c r="G4">
        <v>8</v>
      </c>
      <c r="H4">
        <v>57.1</v>
      </c>
      <c r="I4">
        <v>4</v>
      </c>
      <c r="J4" t="s">
        <v>1398</v>
      </c>
    </row>
    <row r="5" spans="1:10" x14ac:dyDescent="0.2">
      <c r="A5" s="2"/>
      <c r="E5" s="3"/>
      <c r="F5" s="3"/>
      <c r="J5" t="s">
        <v>1399</v>
      </c>
    </row>
    <row r="6" spans="1:10" x14ac:dyDescent="0.2">
      <c r="A6" s="2"/>
      <c r="E6" s="3"/>
      <c r="F6" s="3"/>
      <c r="J6" t="s">
        <v>1400</v>
      </c>
    </row>
    <row r="7" spans="1:10" x14ac:dyDescent="0.2">
      <c r="A7" s="2"/>
      <c r="E7" s="3"/>
      <c r="F7" s="3"/>
      <c r="J7" t="s">
        <v>1401</v>
      </c>
    </row>
    <row r="8" spans="1:10" x14ac:dyDescent="0.2">
      <c r="A8" s="2">
        <v>46110.375185185185</v>
      </c>
      <c r="B8">
        <v>1098</v>
      </c>
      <c r="C8">
        <v>1098</v>
      </c>
      <c r="D8">
        <v>0</v>
      </c>
      <c r="E8" s="3"/>
      <c r="F8" s="3"/>
      <c r="G8">
        <v>0</v>
      </c>
      <c r="H8">
        <v>0</v>
      </c>
      <c r="I8">
        <v>0</v>
      </c>
      <c r="J8" t="s">
        <v>1195</v>
      </c>
    </row>
    <row r="9" spans="1:10" x14ac:dyDescent="0.2">
      <c r="A9" s="2">
        <v>46109.583472222221</v>
      </c>
      <c r="B9">
        <v>1090</v>
      </c>
      <c r="C9">
        <v>1098</v>
      </c>
      <c r="D9">
        <v>8</v>
      </c>
      <c r="E9" s="3">
        <v>46098</v>
      </c>
      <c r="F9" s="3">
        <v>46108</v>
      </c>
      <c r="G9">
        <v>7</v>
      </c>
      <c r="H9">
        <v>87.5</v>
      </c>
      <c r="I9">
        <v>1</v>
      </c>
      <c r="J9" t="s">
        <v>1402</v>
      </c>
    </row>
    <row r="10" spans="1:10" x14ac:dyDescent="0.2">
      <c r="A10" s="2">
        <v>46109.375162037039</v>
      </c>
      <c r="B10">
        <v>1090</v>
      </c>
      <c r="C10">
        <v>1090</v>
      </c>
      <c r="D10">
        <v>0</v>
      </c>
      <c r="E10" s="3"/>
      <c r="F10" s="3"/>
      <c r="G10">
        <v>0</v>
      </c>
      <c r="H10">
        <v>0</v>
      </c>
      <c r="I10">
        <v>0</v>
      </c>
      <c r="J10" t="s">
        <v>1195</v>
      </c>
    </row>
    <row r="11" spans="1:10" x14ac:dyDescent="0.2">
      <c r="A11" s="2">
        <v>46108.583425925928</v>
      </c>
      <c r="B11">
        <v>1070</v>
      </c>
      <c r="C11">
        <v>1090</v>
      </c>
      <c r="D11">
        <v>20</v>
      </c>
      <c r="E11" s="3">
        <v>46087</v>
      </c>
      <c r="F11" s="3">
        <v>46107</v>
      </c>
      <c r="G11">
        <v>11</v>
      </c>
      <c r="H11">
        <v>55</v>
      </c>
      <c r="I11">
        <v>2</v>
      </c>
      <c r="J11" t="s">
        <v>1361</v>
      </c>
    </row>
    <row r="12" spans="1:10" x14ac:dyDescent="0.2">
      <c r="A12" s="2"/>
      <c r="E12" s="3"/>
      <c r="F12" s="3"/>
      <c r="J12" t="s">
        <v>1362</v>
      </c>
    </row>
    <row r="13" spans="1:10" x14ac:dyDescent="0.2">
      <c r="A13" s="2">
        <v>46108.375092592592</v>
      </c>
      <c r="B13">
        <v>1070</v>
      </c>
      <c r="C13">
        <v>1070</v>
      </c>
      <c r="D13">
        <v>0</v>
      </c>
      <c r="E13" s="3"/>
      <c r="F13" s="3"/>
      <c r="G13">
        <v>0</v>
      </c>
      <c r="H13">
        <v>0</v>
      </c>
      <c r="I13">
        <v>0</v>
      </c>
      <c r="J13" t="s">
        <v>1195</v>
      </c>
    </row>
    <row r="14" spans="1:10" x14ac:dyDescent="0.2">
      <c r="A14" s="2">
        <v>46107.583402777775</v>
      </c>
      <c r="B14">
        <v>1045</v>
      </c>
      <c r="C14">
        <v>1070</v>
      </c>
      <c r="D14">
        <v>25</v>
      </c>
      <c r="E14" s="3">
        <v>46090</v>
      </c>
      <c r="F14" s="3">
        <v>46106</v>
      </c>
      <c r="G14">
        <v>10</v>
      </c>
      <c r="H14">
        <v>40</v>
      </c>
      <c r="I14">
        <v>4</v>
      </c>
      <c r="J14" t="s">
        <v>1191</v>
      </c>
    </row>
    <row r="15" spans="1:10" x14ac:dyDescent="0.2">
      <c r="A15" s="2"/>
      <c r="E15" s="3"/>
      <c r="F15" s="3"/>
      <c r="J15" t="s">
        <v>1192</v>
      </c>
    </row>
    <row r="16" spans="1:10" x14ac:dyDescent="0.2">
      <c r="A16" s="2"/>
      <c r="E16" s="3"/>
      <c r="F16" s="3"/>
      <c r="J16" t="s">
        <v>1193</v>
      </c>
    </row>
    <row r="17" spans="1:10" x14ac:dyDescent="0.2">
      <c r="A17" s="2"/>
      <c r="E17" s="3"/>
      <c r="F17" s="3"/>
      <c r="J17" t="s">
        <v>1194</v>
      </c>
    </row>
    <row r="18" spans="1:10" x14ac:dyDescent="0.2">
      <c r="A18" s="2">
        <v>46107.375185185185</v>
      </c>
      <c r="B18">
        <v>1045</v>
      </c>
      <c r="C18">
        <v>1045</v>
      </c>
      <c r="D18">
        <v>0</v>
      </c>
      <c r="E18" s="3"/>
      <c r="F18" s="3"/>
      <c r="G18">
        <v>0</v>
      </c>
      <c r="H18">
        <v>0</v>
      </c>
      <c r="I18">
        <v>0</v>
      </c>
      <c r="J18" t="s">
        <v>1195</v>
      </c>
    </row>
    <row r="19" spans="1:10" x14ac:dyDescent="0.2">
      <c r="A19" s="2">
        <v>46106.583541666667</v>
      </c>
      <c r="B19">
        <v>1008</v>
      </c>
      <c r="C19">
        <v>1045</v>
      </c>
      <c r="D19">
        <v>37</v>
      </c>
      <c r="E19" s="3">
        <v>46078</v>
      </c>
      <c r="F19" s="3">
        <v>46105</v>
      </c>
      <c r="G19">
        <v>18</v>
      </c>
      <c r="H19">
        <v>48.6</v>
      </c>
      <c r="I19">
        <v>3</v>
      </c>
      <c r="J19" t="s">
        <v>1196</v>
      </c>
    </row>
    <row r="20" spans="1:10" x14ac:dyDescent="0.2">
      <c r="A20" s="2"/>
      <c r="E20" s="3"/>
      <c r="F20" s="3"/>
      <c r="J20" t="s">
        <v>1197</v>
      </c>
    </row>
    <row r="21" spans="1:10" x14ac:dyDescent="0.2">
      <c r="A21" s="2"/>
      <c r="E21" s="3"/>
      <c r="F21" s="3"/>
      <c r="J21" t="s">
        <v>1198</v>
      </c>
    </row>
    <row r="22" spans="1:10" x14ac:dyDescent="0.2">
      <c r="A22" s="2">
        <v>46106.3753125</v>
      </c>
      <c r="B22">
        <v>1008</v>
      </c>
      <c r="C22">
        <v>1008</v>
      </c>
      <c r="D22">
        <v>0</v>
      </c>
      <c r="E22" s="3"/>
      <c r="F22" s="3"/>
      <c r="G22">
        <v>0</v>
      </c>
      <c r="H22">
        <v>0</v>
      </c>
      <c r="I22">
        <v>0</v>
      </c>
      <c r="J22" t="s">
        <v>1195</v>
      </c>
    </row>
    <row r="23" spans="1:10" x14ac:dyDescent="0.2">
      <c r="A23" s="2">
        <v>46105.770162037035</v>
      </c>
      <c r="B23">
        <v>994</v>
      </c>
      <c r="C23">
        <v>1008</v>
      </c>
      <c r="D23">
        <v>14</v>
      </c>
      <c r="E23" s="3">
        <v>46076</v>
      </c>
      <c r="F23" s="3">
        <v>46104</v>
      </c>
      <c r="G23">
        <v>11</v>
      </c>
      <c r="H23">
        <v>78.599999999999994</v>
      </c>
      <c r="I23">
        <v>6</v>
      </c>
      <c r="J23" t="s">
        <v>1199</v>
      </c>
    </row>
    <row r="24" spans="1:10" x14ac:dyDescent="0.2">
      <c r="A24" s="2"/>
      <c r="E24" s="3"/>
      <c r="F24" s="3"/>
      <c r="J24" t="s">
        <v>1200</v>
      </c>
    </row>
    <row r="25" spans="1:10" x14ac:dyDescent="0.2">
      <c r="A25" s="2"/>
      <c r="E25" s="3"/>
      <c r="F25" s="3"/>
      <c r="J25" t="s">
        <v>1201</v>
      </c>
    </row>
    <row r="26" spans="1:10" x14ac:dyDescent="0.2">
      <c r="A26" s="2"/>
      <c r="E26" s="3"/>
      <c r="F26" s="3"/>
      <c r="J26" t="s">
        <v>1202</v>
      </c>
    </row>
    <row r="27" spans="1:10" x14ac:dyDescent="0.2">
      <c r="A27" s="2"/>
      <c r="E27" s="3"/>
      <c r="F27" s="3"/>
      <c r="J27" t="s">
        <v>1203</v>
      </c>
    </row>
    <row r="28" spans="1:10" x14ac:dyDescent="0.2">
      <c r="A28" s="2"/>
      <c r="E28" s="3"/>
      <c r="F28" s="3"/>
      <c r="J28" t="s">
        <v>1204</v>
      </c>
    </row>
    <row r="29" spans="1:10" x14ac:dyDescent="0.2">
      <c r="A29" s="2">
        <v>46105.375185185185</v>
      </c>
      <c r="B29">
        <v>994</v>
      </c>
      <c r="C29">
        <v>994</v>
      </c>
      <c r="D29">
        <v>0</v>
      </c>
      <c r="E29" s="3"/>
      <c r="F29" s="3"/>
      <c r="G29">
        <v>0</v>
      </c>
      <c r="H29">
        <v>0</v>
      </c>
      <c r="I29">
        <v>0</v>
      </c>
      <c r="J29" t="s">
        <v>1195</v>
      </c>
    </row>
    <row r="30" spans="1:10" x14ac:dyDescent="0.2">
      <c r="A30" s="2">
        <v>46104.583333333336</v>
      </c>
      <c r="B30">
        <v>967</v>
      </c>
      <c r="C30">
        <v>994</v>
      </c>
      <c r="D30">
        <v>27</v>
      </c>
      <c r="E30" s="3">
        <v>46076</v>
      </c>
      <c r="F30" s="3">
        <v>46103</v>
      </c>
      <c r="G30">
        <v>13</v>
      </c>
      <c r="H30">
        <v>48.1</v>
      </c>
      <c r="I30">
        <v>12</v>
      </c>
      <c r="J30" t="s">
        <v>1205</v>
      </c>
    </row>
    <row r="31" spans="1:10" x14ac:dyDescent="0.2">
      <c r="A31" s="2"/>
      <c r="E31" s="3"/>
      <c r="F31" s="3"/>
      <c r="J31" t="s">
        <v>1206</v>
      </c>
    </row>
    <row r="32" spans="1:10" x14ac:dyDescent="0.2">
      <c r="A32" s="2"/>
      <c r="E32" s="3"/>
      <c r="F32" s="3"/>
      <c r="J32" t="s">
        <v>1207</v>
      </c>
    </row>
    <row r="33" spans="1:10" x14ac:dyDescent="0.2">
      <c r="A33" s="2"/>
      <c r="E33" s="3"/>
      <c r="F33" s="3"/>
      <c r="J33" t="s">
        <v>1208</v>
      </c>
    </row>
    <row r="34" spans="1:10" x14ac:dyDescent="0.2">
      <c r="A34" s="2"/>
      <c r="E34" s="3"/>
      <c r="F34" s="3"/>
      <c r="J34" t="s">
        <v>1209</v>
      </c>
    </row>
    <row r="35" spans="1:10" x14ac:dyDescent="0.2">
      <c r="A35" s="2"/>
      <c r="E35" s="3"/>
      <c r="F35" s="3"/>
      <c r="J35" t="s">
        <v>1210</v>
      </c>
    </row>
    <row r="36" spans="1:10" x14ac:dyDescent="0.2">
      <c r="A36" s="2"/>
      <c r="E36" s="3"/>
      <c r="F36" s="3"/>
      <c r="J36" t="s">
        <v>1211</v>
      </c>
    </row>
    <row r="37" spans="1:10" x14ac:dyDescent="0.2">
      <c r="A37" s="2"/>
      <c r="E37" s="3"/>
      <c r="F37" s="3"/>
      <c r="J37" t="s">
        <v>1212</v>
      </c>
    </row>
    <row r="38" spans="1:10" x14ac:dyDescent="0.2">
      <c r="A38" s="2"/>
      <c r="E38" s="3"/>
      <c r="F38" s="3"/>
      <c r="J38" t="s">
        <v>1213</v>
      </c>
    </row>
    <row r="39" spans="1:10" x14ac:dyDescent="0.2">
      <c r="A39" s="2"/>
      <c r="E39" s="3"/>
      <c r="F39" s="3"/>
      <c r="J39" t="s">
        <v>1214</v>
      </c>
    </row>
    <row r="40" spans="1:10" x14ac:dyDescent="0.2">
      <c r="A40" s="2"/>
      <c r="E40" s="3"/>
      <c r="F40" s="3"/>
      <c r="J40" t="s">
        <v>1215</v>
      </c>
    </row>
    <row r="41" spans="1:10" x14ac:dyDescent="0.2">
      <c r="A41" s="2"/>
      <c r="E41" s="3"/>
      <c r="F41" s="3"/>
      <c r="J41" t="s">
        <v>1216</v>
      </c>
    </row>
    <row r="42" spans="1:10" x14ac:dyDescent="0.2">
      <c r="A42" s="2">
        <v>46104.375</v>
      </c>
      <c r="B42">
        <v>967</v>
      </c>
      <c r="C42">
        <v>967</v>
      </c>
      <c r="D42">
        <v>0</v>
      </c>
      <c r="E42" s="3"/>
      <c r="F42" s="3"/>
      <c r="G42">
        <v>0</v>
      </c>
      <c r="H42">
        <v>0</v>
      </c>
      <c r="I42">
        <v>0</v>
      </c>
      <c r="J42" t="s">
        <v>1195</v>
      </c>
    </row>
    <row r="43" spans="1:10" x14ac:dyDescent="0.2">
      <c r="A43" s="2">
        <v>46103.583333333336</v>
      </c>
      <c r="B43">
        <v>967</v>
      </c>
      <c r="C43">
        <v>967</v>
      </c>
      <c r="D43">
        <v>0</v>
      </c>
      <c r="E43" s="3"/>
      <c r="F43" s="3"/>
      <c r="G43">
        <v>0</v>
      </c>
      <c r="H43">
        <v>0</v>
      </c>
      <c r="I43">
        <v>0</v>
      </c>
      <c r="J43" t="s">
        <v>1195</v>
      </c>
    </row>
    <row r="44" spans="1:10" x14ac:dyDescent="0.2">
      <c r="A44" s="2">
        <v>46103.474305555559</v>
      </c>
      <c r="B44">
        <v>905</v>
      </c>
      <c r="C44">
        <v>967</v>
      </c>
      <c r="D44">
        <v>62</v>
      </c>
      <c r="E44" s="3">
        <v>46076</v>
      </c>
      <c r="F44" s="3">
        <v>46102</v>
      </c>
      <c r="G44">
        <v>42</v>
      </c>
      <c r="H44">
        <v>67.7</v>
      </c>
      <c r="I44">
        <v>3</v>
      </c>
      <c r="J44" t="s">
        <v>1217</v>
      </c>
    </row>
    <row r="45" spans="1:10" x14ac:dyDescent="0.2">
      <c r="A45" s="2"/>
      <c r="E45" s="3"/>
      <c r="F45" s="3"/>
      <c r="J45" t="s">
        <v>1218</v>
      </c>
    </row>
    <row r="46" spans="1:10" x14ac:dyDescent="0.2">
      <c r="A46" s="2"/>
      <c r="E46" s="3"/>
      <c r="F46" s="3"/>
      <c r="J46" t="s">
        <v>1219</v>
      </c>
    </row>
    <row r="47" spans="1:10" x14ac:dyDescent="0.2">
      <c r="A47" s="2">
        <v>46103.375</v>
      </c>
      <c r="B47">
        <v>905</v>
      </c>
      <c r="C47">
        <v>905</v>
      </c>
      <c r="D47">
        <v>0</v>
      </c>
      <c r="E47" s="3"/>
      <c r="F47" s="3"/>
      <c r="G47">
        <v>0</v>
      </c>
      <c r="H47">
        <v>0</v>
      </c>
      <c r="I47">
        <v>0</v>
      </c>
      <c r="J47" t="s">
        <v>1195</v>
      </c>
    </row>
    <row r="48" spans="1:10" x14ac:dyDescent="0.2">
      <c r="A48" s="2">
        <v>46102.579861111109</v>
      </c>
      <c r="B48">
        <v>886</v>
      </c>
      <c r="C48">
        <v>905</v>
      </c>
      <c r="D48">
        <v>19</v>
      </c>
      <c r="E48" s="3">
        <v>46076</v>
      </c>
      <c r="F48" s="3">
        <v>46101</v>
      </c>
      <c r="G48">
        <v>11</v>
      </c>
      <c r="H48">
        <v>57.9</v>
      </c>
      <c r="I48">
        <v>10</v>
      </c>
      <c r="J48" t="s">
        <v>1220</v>
      </c>
    </row>
    <row r="49" spans="1:10" x14ac:dyDescent="0.2">
      <c r="A49" s="2"/>
      <c r="E49" s="3"/>
      <c r="F49" s="3"/>
      <c r="J49" t="s">
        <v>1221</v>
      </c>
    </row>
    <row r="50" spans="1:10" x14ac:dyDescent="0.2">
      <c r="A50" s="2"/>
      <c r="E50" s="3"/>
      <c r="F50" s="3"/>
      <c r="J50" t="s">
        <v>1222</v>
      </c>
    </row>
    <row r="51" spans="1:10" x14ac:dyDescent="0.2">
      <c r="A51" s="2"/>
      <c r="E51" s="3"/>
      <c r="F51" s="3"/>
      <c r="J51" t="s">
        <v>1223</v>
      </c>
    </row>
    <row r="52" spans="1:10" x14ac:dyDescent="0.2">
      <c r="A52" s="2"/>
      <c r="E52" s="3"/>
      <c r="F52" s="3"/>
      <c r="J52" t="s">
        <v>1224</v>
      </c>
    </row>
    <row r="53" spans="1:10" x14ac:dyDescent="0.2">
      <c r="A53" s="2"/>
      <c r="E53" s="3"/>
      <c r="F53" s="3"/>
      <c r="J53" t="s">
        <v>1225</v>
      </c>
    </row>
    <row r="54" spans="1:10" x14ac:dyDescent="0.2">
      <c r="A54" s="2"/>
      <c r="E54" s="3"/>
      <c r="F54" s="3"/>
      <c r="J54" t="s">
        <v>1226</v>
      </c>
    </row>
    <row r="55" spans="1:10" x14ac:dyDescent="0.2">
      <c r="A55" s="2"/>
      <c r="E55" s="3"/>
      <c r="F55" s="3"/>
      <c r="J55" t="s">
        <v>1227</v>
      </c>
    </row>
    <row r="56" spans="1:10" x14ac:dyDescent="0.2">
      <c r="A56" s="2"/>
      <c r="E56" s="3"/>
      <c r="F56" s="3"/>
      <c r="J56" t="s">
        <v>1228</v>
      </c>
    </row>
    <row r="57" spans="1:10" x14ac:dyDescent="0.2">
      <c r="A57" s="2"/>
      <c r="E57" s="3"/>
      <c r="F57" s="3"/>
      <c r="J57" t="s">
        <v>1229</v>
      </c>
    </row>
    <row r="58" spans="1:10" x14ac:dyDescent="0.2">
      <c r="A58" s="2">
        <v>46102.375</v>
      </c>
      <c r="B58">
        <v>886</v>
      </c>
      <c r="C58">
        <v>886</v>
      </c>
      <c r="D58">
        <v>0</v>
      </c>
      <c r="E58" s="3"/>
      <c r="F58" s="3"/>
      <c r="G58">
        <v>0</v>
      </c>
      <c r="H58">
        <v>0</v>
      </c>
      <c r="I58">
        <v>0</v>
      </c>
      <c r="J58" t="s">
        <v>1195</v>
      </c>
    </row>
    <row r="59" spans="1:10" x14ac:dyDescent="0.2">
      <c r="A59" s="2">
        <v>46101.396527777775</v>
      </c>
      <c r="B59">
        <v>854</v>
      </c>
      <c r="C59">
        <v>886</v>
      </c>
      <c r="D59">
        <v>32</v>
      </c>
      <c r="E59" s="3">
        <v>46095</v>
      </c>
      <c r="F59" s="3">
        <v>46100</v>
      </c>
      <c r="G59">
        <v>24</v>
      </c>
      <c r="H59">
        <v>75</v>
      </c>
      <c r="I59">
        <v>1</v>
      </c>
      <c r="J59" t="s">
        <v>1230</v>
      </c>
    </row>
    <row r="60" spans="1:10" x14ac:dyDescent="0.2">
      <c r="A60" s="2">
        <v>46100.375</v>
      </c>
      <c r="B60">
        <v>822</v>
      </c>
      <c r="C60">
        <v>854</v>
      </c>
      <c r="D60">
        <v>32</v>
      </c>
      <c r="E60" s="3">
        <v>46074</v>
      </c>
      <c r="F60" s="3">
        <v>46099</v>
      </c>
      <c r="G60">
        <v>21</v>
      </c>
      <c r="H60">
        <v>65.599999999999994</v>
      </c>
      <c r="I60">
        <v>6</v>
      </c>
      <c r="J60" t="s">
        <v>1231</v>
      </c>
    </row>
    <row r="61" spans="1:10" x14ac:dyDescent="0.2">
      <c r="A61" s="2"/>
      <c r="E61" s="3"/>
      <c r="F61" s="3"/>
      <c r="J61" t="s">
        <v>1232</v>
      </c>
    </row>
    <row r="62" spans="1:10" x14ac:dyDescent="0.2">
      <c r="A62" s="2"/>
      <c r="E62" s="3"/>
      <c r="F62" s="3"/>
      <c r="J62" t="s">
        <v>1233</v>
      </c>
    </row>
    <row r="63" spans="1:10" x14ac:dyDescent="0.2">
      <c r="A63" s="2"/>
      <c r="E63" s="3"/>
      <c r="F63" s="3"/>
      <c r="J63" t="s">
        <v>1234</v>
      </c>
    </row>
    <row r="64" spans="1:10" x14ac:dyDescent="0.2">
      <c r="A64" s="2"/>
      <c r="E64" s="3"/>
      <c r="F64" s="3"/>
      <c r="J64" t="s">
        <v>1235</v>
      </c>
    </row>
    <row r="65" spans="1:10" x14ac:dyDescent="0.2">
      <c r="A65" s="2"/>
      <c r="E65" s="3"/>
      <c r="F65" s="3"/>
      <c r="J65" t="s">
        <v>1236</v>
      </c>
    </row>
    <row r="66" spans="1:10" x14ac:dyDescent="0.2">
      <c r="A66" s="2">
        <v>46099.375</v>
      </c>
      <c r="B66">
        <v>777</v>
      </c>
      <c r="C66">
        <v>822</v>
      </c>
      <c r="D66">
        <v>45</v>
      </c>
      <c r="E66" s="3">
        <v>46072</v>
      </c>
      <c r="F66" s="3">
        <v>46098</v>
      </c>
      <c r="G66">
        <v>22</v>
      </c>
      <c r="H66">
        <v>48.9</v>
      </c>
      <c r="I66">
        <v>11</v>
      </c>
      <c r="J66" t="s">
        <v>1237</v>
      </c>
    </row>
    <row r="67" spans="1:10" x14ac:dyDescent="0.2">
      <c r="A67" s="2"/>
      <c r="E67" s="3"/>
      <c r="F67" s="3"/>
      <c r="J67" t="s">
        <v>1238</v>
      </c>
    </row>
    <row r="68" spans="1:10" x14ac:dyDescent="0.2">
      <c r="A68" s="2"/>
      <c r="E68" s="3"/>
      <c r="F68" s="3"/>
      <c r="J68" t="s">
        <v>1239</v>
      </c>
    </row>
    <row r="69" spans="1:10" x14ac:dyDescent="0.2">
      <c r="A69" s="2"/>
      <c r="E69" s="3"/>
      <c r="F69" s="3"/>
      <c r="J69" t="s">
        <v>1240</v>
      </c>
    </row>
    <row r="70" spans="1:10" x14ac:dyDescent="0.2">
      <c r="A70" s="2"/>
      <c r="E70" s="3"/>
      <c r="F70" s="3"/>
      <c r="J70" t="s">
        <v>1241</v>
      </c>
    </row>
    <row r="71" spans="1:10" x14ac:dyDescent="0.2">
      <c r="A71" s="2"/>
      <c r="E71" s="3"/>
      <c r="F71" s="3"/>
      <c r="J71" t="s">
        <v>1242</v>
      </c>
    </row>
    <row r="72" spans="1:10" x14ac:dyDescent="0.2">
      <c r="A72" s="2"/>
      <c r="E72" s="3"/>
      <c r="F72" s="3"/>
      <c r="J72" t="s">
        <v>1243</v>
      </c>
    </row>
    <row r="73" spans="1:10" x14ac:dyDescent="0.2">
      <c r="A73" s="2"/>
      <c r="E73" s="3"/>
      <c r="F73" s="3"/>
      <c r="J73" t="s">
        <v>1244</v>
      </c>
    </row>
    <row r="74" spans="1:10" x14ac:dyDescent="0.2">
      <c r="A74" s="2"/>
      <c r="E74" s="3"/>
      <c r="F74" s="3"/>
      <c r="J74" t="s">
        <v>1245</v>
      </c>
    </row>
    <row r="75" spans="1:10" x14ac:dyDescent="0.2">
      <c r="A75" s="2"/>
      <c r="E75" s="3"/>
      <c r="F75" s="3"/>
      <c r="J75" t="s">
        <v>1246</v>
      </c>
    </row>
    <row r="76" spans="1:10" x14ac:dyDescent="0.2">
      <c r="A76" s="2"/>
      <c r="E76" s="3"/>
      <c r="F76" s="3"/>
      <c r="J76" t="s">
        <v>1247</v>
      </c>
    </row>
    <row r="77" spans="1:10" x14ac:dyDescent="0.2">
      <c r="A77" s="2">
        <v>46098.375</v>
      </c>
      <c r="B77">
        <v>753</v>
      </c>
      <c r="C77">
        <v>777</v>
      </c>
      <c r="D77">
        <v>24</v>
      </c>
      <c r="E77" s="3">
        <v>46072</v>
      </c>
      <c r="F77" s="3">
        <v>46097</v>
      </c>
      <c r="G77">
        <v>13</v>
      </c>
      <c r="H77">
        <v>54.2</v>
      </c>
      <c r="I77">
        <v>5</v>
      </c>
      <c r="J77" t="s">
        <v>1248</v>
      </c>
    </row>
    <row r="78" spans="1:10" x14ac:dyDescent="0.2">
      <c r="A78" s="2"/>
      <c r="E78" s="3"/>
      <c r="F78" s="3"/>
      <c r="J78" t="s">
        <v>1249</v>
      </c>
    </row>
    <row r="79" spans="1:10" x14ac:dyDescent="0.2">
      <c r="A79" s="2"/>
      <c r="E79" s="3"/>
      <c r="F79" s="3"/>
      <c r="J79" t="s">
        <v>1250</v>
      </c>
    </row>
    <row r="80" spans="1:10" x14ac:dyDescent="0.2">
      <c r="A80" s="2"/>
      <c r="E80" s="3"/>
      <c r="F80" s="3"/>
      <c r="J80" t="s">
        <v>1251</v>
      </c>
    </row>
    <row r="81" spans="1:10" x14ac:dyDescent="0.2">
      <c r="A81" s="2"/>
      <c r="E81" s="3"/>
      <c r="F81" s="3"/>
      <c r="J81" t="s">
        <v>1252</v>
      </c>
    </row>
    <row r="82" spans="1:10" x14ac:dyDescent="0.2">
      <c r="A82" s="2">
        <v>46097.527777777781</v>
      </c>
      <c r="B82">
        <v>753</v>
      </c>
      <c r="C82">
        <v>753</v>
      </c>
      <c r="D82">
        <v>0</v>
      </c>
      <c r="E82" s="3"/>
      <c r="F82" s="3"/>
      <c r="G82">
        <v>0</v>
      </c>
      <c r="H82">
        <v>0</v>
      </c>
      <c r="I82">
        <v>0</v>
      </c>
      <c r="J82" t="s">
        <v>1195</v>
      </c>
    </row>
    <row r="83" spans="1:10" x14ac:dyDescent="0.2">
      <c r="A83" s="2">
        <v>46097.526388888888</v>
      </c>
      <c r="B83">
        <v>741</v>
      </c>
      <c r="C83">
        <v>753</v>
      </c>
      <c r="D83">
        <v>12</v>
      </c>
      <c r="E83" s="3">
        <v>46069</v>
      </c>
      <c r="F83" s="3">
        <v>46096</v>
      </c>
      <c r="G83">
        <v>6</v>
      </c>
      <c r="H83">
        <v>0.5</v>
      </c>
      <c r="I83">
        <v>8</v>
      </c>
      <c r="J83" t="s">
        <v>1253</v>
      </c>
    </row>
    <row r="84" spans="1:10" x14ac:dyDescent="0.2">
      <c r="A84" s="2"/>
      <c r="E84" s="3"/>
      <c r="F84" s="3"/>
      <c r="J84" t="s">
        <v>1254</v>
      </c>
    </row>
    <row r="85" spans="1:10" x14ac:dyDescent="0.2">
      <c r="A85" s="2"/>
      <c r="E85" s="3"/>
      <c r="F85" s="3"/>
      <c r="J85" t="s">
        <v>1255</v>
      </c>
    </row>
    <row r="86" spans="1:10" x14ac:dyDescent="0.2">
      <c r="A86" s="2"/>
      <c r="E86" s="3"/>
      <c r="F86" s="3"/>
      <c r="J86" t="s">
        <v>1256</v>
      </c>
    </row>
    <row r="87" spans="1:10" x14ac:dyDescent="0.2">
      <c r="A87" s="2"/>
      <c r="E87" s="3"/>
      <c r="F87" s="3"/>
      <c r="J87" t="s">
        <v>1257</v>
      </c>
    </row>
    <row r="88" spans="1:10" x14ac:dyDescent="0.2">
      <c r="A88" s="2">
        <v>46097.375</v>
      </c>
      <c r="B88">
        <v>718</v>
      </c>
      <c r="C88">
        <v>741</v>
      </c>
      <c r="D88">
        <v>23</v>
      </c>
      <c r="E88" s="3">
        <v>46076</v>
      </c>
      <c r="F88" s="3">
        <v>46095</v>
      </c>
      <c r="G88">
        <v>10</v>
      </c>
      <c r="H88">
        <v>0.43480000000000002</v>
      </c>
      <c r="I88">
        <v>7</v>
      </c>
      <c r="J88" t="s">
        <v>1254</v>
      </c>
    </row>
    <row r="89" spans="1:10" x14ac:dyDescent="0.2">
      <c r="A89" s="2"/>
      <c r="E89" s="3"/>
      <c r="F89" s="3"/>
      <c r="J89" t="s">
        <v>1258</v>
      </c>
    </row>
    <row r="90" spans="1:10" x14ac:dyDescent="0.2">
      <c r="A90" s="2"/>
      <c r="E90" s="3"/>
      <c r="F90" s="3"/>
      <c r="J90" t="s">
        <v>1259</v>
      </c>
    </row>
    <row r="91" spans="1:10" x14ac:dyDescent="0.2">
      <c r="A91" s="2"/>
      <c r="E91" s="3"/>
      <c r="F91" s="3"/>
      <c r="J91" t="s">
        <v>1260</v>
      </c>
    </row>
    <row r="92" spans="1:10" x14ac:dyDescent="0.2">
      <c r="A92" s="2"/>
      <c r="E92" s="3"/>
      <c r="F92" s="3"/>
      <c r="J92" t="s">
        <v>1255</v>
      </c>
    </row>
    <row r="93" spans="1:10" x14ac:dyDescent="0.2">
      <c r="A93" s="2"/>
      <c r="E93" s="3"/>
      <c r="F93" s="3"/>
      <c r="J93" t="s">
        <v>1257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0453C51-B0A9-BE41-B861-F1C47C9E3D3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Late Night Analysis</vt:lpstr>
      <vt:lpstr>Reason Graph</vt:lpstr>
      <vt:lpstr>Searches by Hour</vt:lpstr>
      <vt:lpstr>Network Analysis</vt:lpstr>
      <vt:lpstr>Search Audit</vt:lpstr>
      <vt:lpstr>flock_run_log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Thomas Hammock</cp:lastModifiedBy>
  <dcterms:created xsi:type="dcterms:W3CDTF">2026-03-10T13:42:35Z</dcterms:created>
  <dcterms:modified xsi:type="dcterms:W3CDTF">2026-03-30T21:44:38Z</dcterms:modified>
</cp:coreProperties>
</file>